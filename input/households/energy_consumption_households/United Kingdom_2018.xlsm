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20" yWindow="15" windowWidth="22440" windowHeight="1237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G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9" i="5"/>
  <c r="J11" i="5"/>
  <c r="E8" i="5"/>
  <c r="H15" i="5"/>
  <c r="J14" i="5"/>
  <c r="E18" i="5"/>
  <c r="J13" i="5"/>
  <c r="F6" i="5"/>
  <c r="H11" i="5"/>
  <c r="J12" i="5"/>
  <c r="G16" i="5"/>
  <c r="H8" i="5"/>
  <c r="H6" i="5"/>
  <c r="J8" i="5"/>
  <c r="I6" i="5"/>
  <c r="E14" i="5"/>
  <c r="G11" i="5"/>
  <c r="G15" i="5"/>
  <c r="H12" i="5"/>
  <c r="H13" i="5"/>
  <c r="H10" i="5"/>
  <c r="G7" i="5"/>
  <c r="H16" i="5"/>
  <c r="J6" i="5"/>
  <c r="G18" i="5"/>
  <c r="E7" i="5"/>
  <c r="G6" i="5"/>
  <c r="G13" i="5"/>
  <c r="H7" i="5"/>
  <c r="K9" i="5"/>
  <c r="J9" i="5"/>
  <c r="G9" i="5"/>
  <c r="H14" i="5"/>
  <c r="J15" i="5"/>
  <c r="G12" i="5"/>
  <c r="H18" i="5"/>
  <c r="G14" i="5"/>
  <c r="G8" i="5"/>
  <c r="E11" i="5"/>
  <c r="J10" i="5"/>
  <c r="E6" i="5"/>
  <c r="J18" i="5"/>
  <c r="E16" i="5"/>
  <c r="J7" i="5"/>
  <c r="E13" i="5"/>
  <c r="J16" i="5"/>
  <c r="G10" i="5"/>
  <c r="E12" i="5"/>
  <c r="H9" i="5"/>
  <c r="E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<sst xmlns="http://schemas.openxmlformats.org/spreadsheetml/2006/main" count="952" uniqueCount="315">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</sst>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71</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C8" sqref="C8"/>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GB</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v>29279.931807872315</v>
      </c>
      <c r="E9" s="93">
        <v>29467.610475255533</v>
      </c>
      <c r="F9" s="93">
        <v>29454.449373964086</v>
      </c>
      <c r="G9" s="93">
        <v>29595.427891485844</v>
      </c>
      <c r="H9" s="93">
        <v>29518.262261427022</v>
      </c>
      <c r="I9" s="93">
        <v>29574.589614163782</v>
      </c>
      <c r="J9" s="93">
        <v>28794.606792599745</v>
      </c>
      <c r="K9" s="93">
        <v>27749.037341208226</v>
      </c>
      <c r="L9" s="93">
        <v>27565.636398517148</v>
      </c>
      <c r="M9" s="94"/>
      <c r="N9" s="94"/>
      <c r="O9" s="94"/>
      <c r="DT9" s="4" t="s">
        <v>279</v>
      </c>
      <c r="EB9" s="4" t="s">
        <v>300</v>
      </c>
      <c r="ED9" s="4" t="s">
        <v>301</v>
      </c>
    </row>
    <row r="10" spans="1:134" ht="24" customHeight="1" x14ac:dyDescent="0.2">
      <c r="A10" s="183" t="s">
        <v>20</v>
      </c>
      <c r="B10" s="184"/>
      <c r="C10" s="9" t="s">
        <v>132</v>
      </c>
      <c r="D10" s="93">
        <v>44025.900056893988</v>
      </c>
      <c r="E10" s="93">
        <v>44024.765753508036</v>
      </c>
      <c r="F10" s="93">
        <v>44030.403850341732</v>
      </c>
      <c r="G10" s="93">
        <v>44047.950081213137</v>
      </c>
      <c r="H10" s="93">
        <v>43973.188910251964</v>
      </c>
      <c r="I10" s="93">
        <v>43980.955167092958</v>
      </c>
      <c r="J10" s="93">
        <v>43959.017809393481</v>
      </c>
      <c r="K10" s="93">
        <v>43947.384119982467</v>
      </c>
      <c r="L10" s="93">
        <v>43962.888734689855</v>
      </c>
      <c r="M10" s="94"/>
      <c r="N10" s="94"/>
      <c r="O10" s="94"/>
      <c r="DT10" s="4" t="s">
        <v>280</v>
      </c>
      <c r="EB10" s="4" t="s">
        <v>300</v>
      </c>
      <c r="ED10" s="4" t="s">
        <v>301</v>
      </c>
    </row>
    <row r="11" spans="1:134" s="13" customFormat="1" ht="15" customHeight="1" x14ac:dyDescent="0.2">
      <c r="A11" s="182" t="s">
        <v>18</v>
      </c>
      <c r="B11" s="110" t="s">
        <v>21</v>
      </c>
      <c r="C11" s="111" t="s">
        <v>132</v>
      </c>
      <c r="D11" s="115">
        <v>45611.722632745601</v>
      </c>
      <c r="E11" s="115">
        <v>45703.391683271991</v>
      </c>
      <c r="F11" s="115">
        <v>45681.871109070147</v>
      </c>
      <c r="G11" s="115">
        <v>45667.552018171431</v>
      </c>
      <c r="H11" s="115">
        <v>45599.786499408874</v>
      </c>
      <c r="I11" s="115">
        <v>45588.123197725072</v>
      </c>
      <c r="J11" s="115">
        <v>45552.020644817821</v>
      </c>
      <c r="K11" s="115">
        <v>45541.562712970685</v>
      </c>
      <c r="L11" s="115">
        <v>45553.53346446214</v>
      </c>
      <c r="M11" s="116"/>
      <c r="N11" s="116"/>
      <c r="O11" s="116"/>
      <c r="DT11" s="13" t="s">
        <v>281</v>
      </c>
      <c r="EB11" s="13" t="s">
        <v>300</v>
      </c>
      <c r="ED11" s="13" t="s">
        <v>301</v>
      </c>
    </row>
    <row r="12" spans="1:134" s="13" customFormat="1" ht="15" customHeight="1" x14ac:dyDescent="0.2">
      <c r="A12" s="182"/>
      <c r="B12" s="110" t="s">
        <v>22</v>
      </c>
      <c r="C12" s="111" t="s">
        <v>132</v>
      </c>
      <c r="D12" s="115">
        <v>43856.623536794235</v>
      </c>
      <c r="E12" s="115">
        <v>43878.838641194321</v>
      </c>
      <c r="F12" s="115">
        <v>43878.824033428937</v>
      </c>
      <c r="G12" s="115">
        <v>43902.881597164713</v>
      </c>
      <c r="H12" s="115">
        <v>43888.429343487645</v>
      </c>
      <c r="I12" s="115">
        <v>43901.510281935276</v>
      </c>
      <c r="J12" s="115">
        <v>43888.64119981449</v>
      </c>
      <c r="K12" s="115">
        <v>43872.228542131023</v>
      </c>
      <c r="L12" s="115">
        <v>43888.564440389964</v>
      </c>
      <c r="M12" s="115"/>
      <c r="N12" s="115"/>
      <c r="O12" s="115"/>
      <c r="DT12" s="13" t="s">
        <v>282</v>
      </c>
      <c r="EB12" s="13" t="s">
        <v>300</v>
      </c>
      <c r="ED12" s="13" t="s">
        <v>301</v>
      </c>
    </row>
    <row r="13" spans="1:134" s="13" customFormat="1" ht="15" customHeight="1" x14ac:dyDescent="0.2">
      <c r="A13" s="182"/>
      <c r="B13" s="110" t="s">
        <v>23</v>
      </c>
      <c r="C13" s="111" t="s">
        <v>132</v>
      </c>
      <c r="D13" s="115">
        <v>42826.400000000001</v>
      </c>
      <c r="E13" s="115">
        <v>42674.061903678965</v>
      </c>
      <c r="F13" s="115">
        <v>42696.275163709506</v>
      </c>
      <c r="G13" s="115">
        <v>42717.584337247019</v>
      </c>
      <c r="H13" s="115">
        <v>42630.919751579764</v>
      </c>
      <c r="I13" s="115">
        <v>42750.415317270912</v>
      </c>
      <c r="J13" s="115">
        <v>42701.872756859491</v>
      </c>
      <c r="K13" s="115">
        <v>42706.707450396971</v>
      </c>
      <c r="L13" s="115">
        <v>42716.594062805016</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20" sqref="D20"/>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United Kingdom</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105064.54676977906</v>
      </c>
      <c r="E6" s="121">
        <f ca="1">INDIRECT(ADDRESS(ROW(K6),$C$3 -2010 + 4,,,"1a_SpaceHeating"))</f>
        <v>18121.01263069372</v>
      </c>
      <c r="F6" s="121">
        <f ca="1">INDIRECT(ADDRESS(ROW(K6),$C$3-2010+4,,,"1b_SpaceCooling"))</f>
        <v>0</v>
      </c>
      <c r="G6" s="121">
        <f ca="1">INDIRECT(ADDRESS(ROW(K6),$C$3-2010+4,,,"1c_WaterHeating"))</f>
        <v>4678.1044535557157</v>
      </c>
      <c r="H6" s="121">
        <f ca="1">INDIRECT(ADDRESS(ROW(K6),$C$3-2010+4,,,"1d_Cooking"))</f>
        <v>5713.8236337794297</v>
      </c>
      <c r="I6" s="121">
        <f ca="1">INDIRECT(ADDRESS(ROW(K6),$C$3-2010+4,,,"1e_LightingAndAppliances"))</f>
        <v>76551.60605175019</v>
      </c>
      <c r="J6" s="121">
        <f ca="1">INDIRECT(ADDRESS(ROW(K6),$C$3-2010+4,,,"1f_OtherEndUses"))</f>
        <v>0</v>
      </c>
      <c r="K6" s="122"/>
    </row>
    <row r="7" spans="1:11" ht="24" customHeight="1" x14ac:dyDescent="0.25">
      <c r="A7" s="186" t="s">
        <v>15</v>
      </c>
      <c r="B7" s="187"/>
      <c r="C7" s="109" t="s">
        <v>16</v>
      </c>
      <c r="D7" s="123">
        <f t="shared" ref="D7:D16" ca="1" si="0">SUM(E7:J7)</f>
        <v>10904.187132706345</v>
      </c>
      <c r="E7" s="124">
        <f t="shared" ref="E7:E16" ca="1" si="1">INDIRECT(ADDRESS(ROW(K7),$C$3 -2010 + 4,,,"1a_SpaceHeating"))</f>
        <v>10904.187132706345</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1113013.1806285682</v>
      </c>
      <c r="E8" s="124">
        <f t="shared" ca="1" si="1"/>
        <v>840602.57895745337</v>
      </c>
      <c r="F8" s="125"/>
      <c r="G8" s="124">
        <f t="shared" ca="1" si="2"/>
        <v>245781.35390978286</v>
      </c>
      <c r="H8" s="124">
        <f t="shared" ca="1" si="3"/>
        <v>26629.247761331964</v>
      </c>
      <c r="I8" s="125"/>
      <c r="J8" s="124">
        <f t="shared" ca="1" si="4"/>
        <v>0</v>
      </c>
      <c r="K8" s="125"/>
    </row>
    <row r="9" spans="1:11" ht="24" customHeight="1" x14ac:dyDescent="0.25">
      <c r="A9" s="186" t="s">
        <v>156</v>
      </c>
      <c r="B9" s="187"/>
      <c r="C9" s="109" t="s">
        <v>19</v>
      </c>
      <c r="D9" s="123">
        <f t="shared" ca="1" si="0"/>
        <v>757.99999999999989</v>
      </c>
      <c r="E9" s="124">
        <f t="shared" ca="1" si="1"/>
        <v>727.59850551862155</v>
      </c>
      <c r="F9" s="125"/>
      <c r="G9" s="124">
        <f t="shared" ca="1" si="2"/>
        <v>30.401494481378382</v>
      </c>
      <c r="H9" s="124">
        <f t="shared" ca="1" si="3"/>
        <v>0</v>
      </c>
      <c r="I9" s="125"/>
      <c r="J9" s="124">
        <f t="shared" ca="1" si="4"/>
        <v>0</v>
      </c>
      <c r="K9" s="126">
        <f ca="1">INDIRECT(ADDRESS(ROW(K9),$C$3-2010+4,,,"Calorific_Values"))</f>
        <v>27565.636398517148</v>
      </c>
    </row>
    <row r="10" spans="1:11" ht="24" customHeight="1" x14ac:dyDescent="0.25">
      <c r="A10" s="186" t="s">
        <v>42</v>
      </c>
      <c r="B10" s="187"/>
      <c r="C10" s="109" t="s">
        <v>19</v>
      </c>
      <c r="D10" s="123">
        <f t="shared" ca="1" si="0"/>
        <v>2232.5513999999998</v>
      </c>
      <c r="E10" s="124">
        <f t="shared" ca="1" si="1"/>
        <v>1806.8352891544946</v>
      </c>
      <c r="F10" s="125"/>
      <c r="G10" s="124">
        <f t="shared" ca="1" si="2"/>
        <v>425.71611084550506</v>
      </c>
      <c r="H10" s="124">
        <f t="shared" ca="1" si="3"/>
        <v>0</v>
      </c>
      <c r="I10" s="125"/>
      <c r="J10" s="124">
        <f t="shared" ca="1" si="4"/>
        <v>0</v>
      </c>
      <c r="K10" s="126">
        <f ca="1">INDIRECT(ADDRESS(ROW(K10),$C$3-2010+4,,,"Calorific_Values"))</f>
        <v>43962.888734689855</v>
      </c>
    </row>
    <row r="11" spans="1:11" s="34" customFormat="1" ht="15" customHeight="1" x14ac:dyDescent="0.25">
      <c r="A11" s="185" t="s">
        <v>18</v>
      </c>
      <c r="B11" s="10" t="s">
        <v>21</v>
      </c>
      <c r="C11" s="11" t="s">
        <v>19</v>
      </c>
      <c r="D11" s="127">
        <f t="shared" ca="1" si="0"/>
        <v>208.64189999999996</v>
      </c>
      <c r="E11" s="128">
        <f t="shared" ca="1" si="1"/>
        <v>168.85682798445006</v>
      </c>
      <c r="F11" s="129"/>
      <c r="G11" s="128">
        <f t="shared" ca="1" si="2"/>
        <v>39.785072015549908</v>
      </c>
      <c r="H11" s="128">
        <f t="shared" ca="1" si="3"/>
        <v>0</v>
      </c>
      <c r="I11" s="129"/>
      <c r="J11" s="128">
        <f t="shared" ca="1" si="4"/>
        <v>0</v>
      </c>
      <c r="K11" s="130">
        <f t="shared" ref="K11:K13" ca="1" si="5">INDIRECT(ADDRESS(ROW(K11),$C$3-2010+4,,,"Calorific_Values"))</f>
        <v>45553.53346446214</v>
      </c>
    </row>
    <row r="12" spans="1:11" s="34" customFormat="1" ht="15" customHeight="1" x14ac:dyDescent="0.25">
      <c r="A12" s="185"/>
      <c r="B12" s="10" t="s">
        <v>22</v>
      </c>
      <c r="C12" s="11" t="s">
        <v>19</v>
      </c>
      <c r="D12" s="127">
        <f t="shared" ca="1" si="0"/>
        <v>1869.0851999999998</v>
      </c>
      <c r="E12" s="128">
        <f t="shared" ca="1" si="1"/>
        <v>1512.6769747815824</v>
      </c>
      <c r="F12" s="129"/>
      <c r="G12" s="128">
        <f t="shared" ca="1" si="2"/>
        <v>356.40822521841733</v>
      </c>
      <c r="H12" s="128">
        <f t="shared" ca="1" si="3"/>
        <v>0</v>
      </c>
      <c r="I12" s="129"/>
      <c r="J12" s="128">
        <f t="shared" ca="1" si="4"/>
        <v>0</v>
      </c>
      <c r="K12" s="130">
        <f t="shared" ca="1" si="5"/>
        <v>43888.564440389964</v>
      </c>
    </row>
    <row r="13" spans="1:11" s="34" customFormat="1" ht="15" customHeight="1" x14ac:dyDescent="0.25">
      <c r="A13" s="185"/>
      <c r="B13" s="10" t="s">
        <v>23</v>
      </c>
      <c r="C13" s="11" t="s">
        <v>19</v>
      </c>
      <c r="D13" s="127">
        <f t="shared" ca="1" si="0"/>
        <v>154.82429999999997</v>
      </c>
      <c r="E13" s="128">
        <f t="shared" ca="1" si="1"/>
        <v>125.30148638846219</v>
      </c>
      <c r="F13" s="129"/>
      <c r="G13" s="128">
        <f t="shared" ca="1" si="2"/>
        <v>29.522813611537774</v>
      </c>
      <c r="H13" s="128">
        <f t="shared" ca="1" si="3"/>
        <v>0</v>
      </c>
      <c r="I13" s="129"/>
      <c r="J13" s="128">
        <f t="shared" ca="1" si="4"/>
        <v>0</v>
      </c>
      <c r="K13" s="130">
        <f t="shared" ca="1" si="5"/>
        <v>42716.594062805016</v>
      </c>
    </row>
    <row r="14" spans="1:11" ht="24" customHeight="1" x14ac:dyDescent="0.25">
      <c r="A14" s="186" t="s">
        <v>43</v>
      </c>
      <c r="B14" s="187"/>
      <c r="C14" s="109" t="s">
        <v>16</v>
      </c>
      <c r="D14" s="123">
        <f t="shared" ca="1" si="0"/>
        <v>84869.02900000001</v>
      </c>
      <c r="E14" s="124">
        <f t="shared" ca="1" si="1"/>
        <v>80267.196081674309</v>
      </c>
      <c r="F14" s="125"/>
      <c r="G14" s="124">
        <f t="shared" ca="1" si="2"/>
        <v>4601.8329183257056</v>
      </c>
      <c r="H14" s="124">
        <f t="shared" ca="1" si="3"/>
        <v>0</v>
      </c>
      <c r="I14" s="125"/>
      <c r="J14" s="124">
        <f t="shared" ca="1" si="4"/>
        <v>0</v>
      </c>
      <c r="K14" s="125"/>
    </row>
    <row r="15" spans="1:11" s="34" customFormat="1" ht="15" customHeight="1" x14ac:dyDescent="0.25">
      <c r="A15" s="185" t="s">
        <v>18</v>
      </c>
      <c r="B15" s="10" t="s">
        <v>26</v>
      </c>
      <c r="C15" s="11" t="s">
        <v>16</v>
      </c>
      <c r="D15" s="127">
        <f t="shared" ca="1" si="0"/>
        <v>2208</v>
      </c>
      <c r="E15" s="128">
        <f t="shared" ca="1" si="1"/>
        <v>2088.2761478081343</v>
      </c>
      <c r="F15" s="129"/>
      <c r="G15" s="128">
        <f t="shared" ca="1" si="2"/>
        <v>119.72385219186563</v>
      </c>
      <c r="H15" s="128">
        <f t="shared" ca="1" si="3"/>
        <v>0</v>
      </c>
      <c r="I15" s="129"/>
      <c r="J15" s="128">
        <f t="shared" ca="1" si="4"/>
        <v>0</v>
      </c>
      <c r="K15" s="129"/>
    </row>
    <row r="16" spans="1:11" s="34" customFormat="1" ht="15" customHeight="1" x14ac:dyDescent="0.25">
      <c r="A16" s="185"/>
      <c r="B16" s="10" t="s">
        <v>27</v>
      </c>
      <c r="C16" s="11" t="s">
        <v>16</v>
      </c>
      <c r="D16" s="127">
        <f t="shared" ca="1" si="0"/>
        <v>78738.000000000015</v>
      </c>
      <c r="E16" s="128">
        <f t="shared" ca="1" si="1"/>
        <v>74468.608390451496</v>
      </c>
      <c r="F16" s="129"/>
      <c r="G16" s="128">
        <f t="shared" ca="1" si="2"/>
        <v>4269.3916095485129</v>
      </c>
      <c r="H16" s="128">
        <f t="shared" ca="1" si="3"/>
        <v>0</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3906.529</v>
      </c>
      <c r="E18" s="128">
        <f ca="1">INDIRECT(ADDRESS(ROW(K18),$C$3 -2010 + 4,,,"1a_SpaceHeating"))</f>
        <v>3694.7062189405633</v>
      </c>
      <c r="F18" s="129"/>
      <c r="G18" s="128">
        <f ca="1">INDIRECT(ADDRESS(ROW(K18),$C$3-2010+4,,,"1c_WaterHeating"))</f>
        <v>211.82278105943689</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0" sqref="D10"/>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United Kingdom</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378232.36837120465</v>
      </c>
      <c r="E6" s="121">
        <f ca="1">Table1_Totals!E6*3.6</f>
        <v>65235.645470497395</v>
      </c>
      <c r="F6" s="121">
        <f ca="1">Table1_Totals!F6*3.6</f>
        <v>0</v>
      </c>
      <c r="G6" s="121">
        <f ca="1">Table1_Totals!G6*3.6</f>
        <v>16841.176032800577</v>
      </c>
      <c r="H6" s="121">
        <f ca="1">Table1_Totals!H6*3.6</f>
        <v>20569.765081605947</v>
      </c>
      <c r="I6" s="121">
        <f ca="1">Table1_Totals!I6*3.6</f>
        <v>275585.78178630071</v>
      </c>
      <c r="J6" s="121">
        <f ca="1">Table1_Totals!J6*3.6</f>
        <v>0</v>
      </c>
      <c r="K6" s="122"/>
    </row>
    <row r="7" spans="1:11" ht="24" customHeight="1" x14ac:dyDescent="0.25">
      <c r="A7" s="186" t="s">
        <v>15</v>
      </c>
      <c r="B7" s="187"/>
      <c r="C7" s="109" t="s">
        <v>16</v>
      </c>
      <c r="D7" s="123">
        <f t="shared" ref="D7:D18" ca="1" si="0">SUM(E7:J7)</f>
        <v>10904.187132706345</v>
      </c>
      <c r="E7" s="124">
        <f ca="1">Table1_Totals!E7</f>
        <v>10904.187132706345</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1001711.8625657114</v>
      </c>
      <c r="E8" s="124">
        <f ca="1">Table1_Totals!E8*0.9</f>
        <v>756542.32106170803</v>
      </c>
      <c r="F8" s="125"/>
      <c r="G8" s="124">
        <f ca="1">Table1_Totals!G8*0.9</f>
        <v>221203.21851880458</v>
      </c>
      <c r="H8" s="124">
        <f ca="1">Table1_Totals!H8*0.9</f>
        <v>23966.322985198767</v>
      </c>
      <c r="I8" s="125"/>
      <c r="J8" s="124">
        <f ca="1">Table1_Totals!J8*0.9</f>
        <v>0</v>
      </c>
      <c r="K8" s="125"/>
    </row>
    <row r="9" spans="1:11" ht="24" customHeight="1" x14ac:dyDescent="0.25">
      <c r="A9" s="186" t="s">
        <v>156</v>
      </c>
      <c r="B9" s="187"/>
      <c r="C9" s="109" t="s">
        <v>16</v>
      </c>
      <c r="D9" s="123">
        <f t="shared" ca="1" si="0"/>
        <v>20894.752390075999</v>
      </c>
      <c r="E9" s="124">
        <f ca="1">IF(Table1_Totals!E9&lt;&gt;0,IF(Table1_Totals!$K9&lt;&gt;0,Table1_Totals!E9*Table1_Totals!$K9/1000,"Please check CV"),"0,000")</f>
        <v>20056.715847230796</v>
      </c>
      <c r="F9" s="125"/>
      <c r="G9" s="124">
        <f ca="1">IF(Table1_Totals!G9&lt;&gt;0,IF(Table1_Totals!$K9&lt;&gt;0,Table1_Totals!G9*Table1_Totals!$K$9/1000,"Please check CV"),"0,000")</f>
        <v>838.03654284520212</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27565.636398517148</v>
      </c>
    </row>
    <row r="10" spans="1:11" ht="24" customHeight="1" x14ac:dyDescent="0.25">
      <c r="A10" s="186" t="s">
        <v>42</v>
      </c>
      <c r="B10" s="187"/>
      <c r="C10" s="109" t="s">
        <v>16</v>
      </c>
      <c r="D10" s="123">
        <f t="shared" ca="1" si="0"/>
        <v>98149.408792676055</v>
      </c>
      <c r="E10" s="124">
        <f ca="1">IF(Table1_Totals!E10&lt;&gt;0,IF(Table1_Totals!$K10&lt;&gt;0,Table1_Totals!E10*Table1_Totals!$K10/1000,"Please check CV"),"0,000")</f>
        <v>79433.698779010228</v>
      </c>
      <c r="F10" s="125"/>
      <c r="G10" s="124">
        <f ca="1">IF(Table1_Totals!G10&lt;&gt;0,IF(Table1_Totals!$K10&lt;&gt;0,Table1_Totals!G10*Table1_Totals!$K10/1000,"Please check CV"),"0,000")</f>
        <v>18715.710013665834</v>
      </c>
      <c r="H10" s="124" t="str">
        <f ca="1">IF(Table1_Totals!H10&lt;&gt;0,IF(Table1_Totals!$K10&lt;&gt;0,Table1_Totals!H10*Table1_Totals!$K10/1000,"Please check CV"),"0,000")</f>
        <v>0,000</v>
      </c>
      <c r="I10" s="125"/>
      <c r="J10" s="124" t="str">
        <f ca="1">IF(Table1_Totals!J10&lt;&gt;0,IF(Table1_Totals!$K10&lt;&gt;0,Table1_Totals!J10*Table1_Totals!$K10/1000,"Please check CV"),"0,000")</f>
        <v>0,000</v>
      </c>
      <c r="K10" s="126">
        <f ca="1">Table1_Totals!K10</f>
        <v>43962.888734689855</v>
      </c>
    </row>
    <row r="11" spans="1:11" s="34" customFormat="1" ht="15" customHeight="1" x14ac:dyDescent="0.25">
      <c r="A11" s="185" t="s">
        <v>18</v>
      </c>
      <c r="B11" s="10" t="s">
        <v>21</v>
      </c>
      <c r="C11" s="11" t="s">
        <v>16</v>
      </c>
      <c r="D11" s="127">
        <f t="shared" ca="1" si="0"/>
        <v>9504.3757737389624</v>
      </c>
      <c r="E11" s="128">
        <f ca="1">IF(Table1_Totals!E11&lt;&gt;0,IF(Table1_Totals!$K11&lt;&gt;0,Table1_Totals!E11*Table1_Totals!$K11/1000,"Please check CV"),"0,000")</f>
        <v>7692.0251642925732</v>
      </c>
      <c r="F11" s="129"/>
      <c r="G11" s="128">
        <f ca="1">IF(Table1_Totals!G11&lt;&gt;0,IF(Table1_Totals!$K11&lt;&gt;0,Table1_Totals!G11*Table1_Totals!$K11/1000,"Please check CV"),"0,000")</f>
        <v>1812.3506094463889</v>
      </c>
      <c r="H11" s="128" t="str">
        <f ca="1">IF(Table1_Totals!H11&lt;&gt;0,IF(Table1_Totals!$K11&lt;&gt;0,Table1_Totals!H11*Table1_Totals!$K11/1000,"Please check CV"),"0,000")</f>
        <v>0,000</v>
      </c>
      <c r="I11" s="129"/>
      <c r="J11" s="128" t="str">
        <f ca="1">IF(Table1_Totals!J11&lt;&gt;0,IF(Table1_Totals!$K11&lt;&gt;0,Table1_Totals!J11*Table1_Totals!$K11/1000,"Please check CV"),"0,000")</f>
        <v>0,000</v>
      </c>
      <c r="K11" s="130">
        <f ca="1">Table1_Totals!K11</f>
        <v>45553.53346446214</v>
      </c>
    </row>
    <row r="12" spans="1:11" s="34" customFormat="1" ht="15" customHeight="1" x14ac:dyDescent="0.25">
      <c r="A12" s="185"/>
      <c r="B12" s="10" t="s">
        <v>22</v>
      </c>
      <c r="C12" s="11" t="s">
        <v>16</v>
      </c>
      <c r="D12" s="127">
        <f t="shared" ca="1" si="0"/>
        <v>82031.466244779149</v>
      </c>
      <c r="E12" s="128">
        <f ca="1">IF(Table1_Totals!E12&lt;&gt;0,IF(Table1_Totals!$K12&lt;&gt;0,Table1_Totals!E12*Table1_Totals!$K12/1000,"Please check CV"),"0,000")</f>
        <v>66389.220885195624</v>
      </c>
      <c r="F12" s="129"/>
      <c r="G12" s="128">
        <f ca="1">IF(Table1_Totals!G12&lt;&gt;0,IF(Table1_Totals!$K12&lt;&gt;0,Table1_Totals!G12*Table1_Totals!$K12/1000,"Please check CV"),"0,000")</f>
        <v>15642.245359583529</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43888.564440389964</v>
      </c>
    </row>
    <row r="13" spans="1:11" s="34" customFormat="1" ht="15" customHeight="1" x14ac:dyDescent="0.25">
      <c r="A13" s="185"/>
      <c r="B13" s="10" t="s">
        <v>23</v>
      </c>
      <c r="C13" s="11" t="s">
        <v>16</v>
      </c>
      <c r="D13" s="127">
        <f t="shared" ca="1" si="0"/>
        <v>6613.5667741579418</v>
      </c>
      <c r="E13" s="128">
        <f ca="1">IF(Table1_Totals!E13&lt;&gt;0,IF(Table1_Totals!$K13&lt;&gt;0,Table1_Totals!E13*Table1_Totals!$K13/1000,"Please check CV"),"0,000")</f>
        <v>5352.4527295220278</v>
      </c>
      <c r="F13" s="129"/>
      <c r="G13" s="128">
        <f ca="1">IF(Table1_Totals!G13&lt;&gt;0,IF(Table1_Totals!$K13&lt;&gt;0,Table1_Totals!G13*Table1_Totals!$K13/1000,"Please check CV"),"0,000")</f>
        <v>1261.1140446359136</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42716.594062805016</v>
      </c>
    </row>
    <row r="14" spans="1:11" ht="24" customHeight="1" x14ac:dyDescent="0.25">
      <c r="A14" s="186" t="s">
        <v>43</v>
      </c>
      <c r="B14" s="187"/>
      <c r="C14" s="109" t="s">
        <v>16</v>
      </c>
      <c r="D14" s="123">
        <f t="shared" ca="1" si="0"/>
        <v>84869.02900000001</v>
      </c>
      <c r="E14" s="124">
        <f ca="1">Table1_Totals!E14</f>
        <v>80267.196081674309</v>
      </c>
      <c r="F14" s="125"/>
      <c r="G14" s="124">
        <f ca="1">Table1_Totals!G14</f>
        <v>4601.8329183257056</v>
      </c>
      <c r="H14" s="124">
        <f ca="1">Table1_Totals!H14</f>
        <v>0</v>
      </c>
      <c r="I14" s="125"/>
      <c r="J14" s="124">
        <f ca="1">Table1_Totals!J14</f>
        <v>0</v>
      </c>
      <c r="K14" s="125"/>
    </row>
    <row r="15" spans="1:11" s="34" customFormat="1" ht="15" customHeight="1" x14ac:dyDescent="0.25">
      <c r="A15" s="185" t="s">
        <v>18</v>
      </c>
      <c r="B15" s="10" t="s">
        <v>26</v>
      </c>
      <c r="C15" s="11" t="s">
        <v>16</v>
      </c>
      <c r="D15" s="127">
        <f t="shared" ca="1" si="0"/>
        <v>2208</v>
      </c>
      <c r="E15" s="128">
        <f ca="1">Table1_Totals!E15</f>
        <v>2088.2761478081343</v>
      </c>
      <c r="F15" s="129"/>
      <c r="G15" s="128">
        <f ca="1">Table1_Totals!G15</f>
        <v>119.72385219186563</v>
      </c>
      <c r="H15" s="128">
        <f ca="1">Table1_Totals!H15</f>
        <v>0</v>
      </c>
      <c r="I15" s="129"/>
      <c r="J15" s="128">
        <f ca="1">Table1_Totals!J15</f>
        <v>0</v>
      </c>
      <c r="K15" s="129"/>
    </row>
    <row r="16" spans="1:11" s="34" customFormat="1" ht="15" customHeight="1" x14ac:dyDescent="0.25">
      <c r="A16" s="185"/>
      <c r="B16" s="10" t="s">
        <v>27</v>
      </c>
      <c r="C16" s="11" t="s">
        <v>16</v>
      </c>
      <c r="D16" s="127">
        <f t="shared" ca="1" si="0"/>
        <v>78738.000000000015</v>
      </c>
      <c r="E16" s="128">
        <f ca="1">Table1_Totals!E16</f>
        <v>74468.608390451496</v>
      </c>
      <c r="F16" s="129"/>
      <c r="G16" s="128">
        <f ca="1">Table1_Totals!G16</f>
        <v>4269.3916095485129</v>
      </c>
      <c r="H16" s="128">
        <f ca="1">Table1_Totals!H16</f>
        <v>0</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3906.529</v>
      </c>
      <c r="E18" s="128">
        <f ca="1">Table1_Totals!E18</f>
        <v>3694.7062189405633</v>
      </c>
      <c r="F18" s="129"/>
      <c r="G18" s="128">
        <f ca="1">Table1_Totals!G18</f>
        <v>211.82278105943689</v>
      </c>
      <c r="H18" s="128">
        <f ca="1">Table1_Totals!H18</f>
        <v>0</v>
      </c>
      <c r="I18" s="129"/>
      <c r="J18" s="128">
        <f ca="1">Table1_Totals!J18</f>
        <v>0</v>
      </c>
      <c r="K18" s="129"/>
    </row>
    <row r="19" spans="1:11" ht="24" customHeight="1" x14ac:dyDescent="0.25">
      <c r="A19" s="186" t="s">
        <v>171</v>
      </c>
      <c r="B19" s="187"/>
      <c r="C19" s="109" t="s">
        <v>16</v>
      </c>
      <c r="D19" s="123">
        <f t="shared" ref="D19" ca="1" si="2">SUM(E19:J19)</f>
        <v>1594761.6082523745</v>
      </c>
      <c r="E19" s="124">
        <f ca="1">SUM(E6:E10,E14)</f>
        <v>1012439.764372827</v>
      </c>
      <c r="F19" s="124">
        <f t="shared" ref="F19:J19" ca="1" si="3">SUM(F6:F10,F14)</f>
        <v>0</v>
      </c>
      <c r="G19" s="124">
        <f t="shared" ca="1" si="3"/>
        <v>262199.97402644192</v>
      </c>
      <c r="H19" s="124">
        <f t="shared" ca="1" si="3"/>
        <v>44536.088066804718</v>
      </c>
      <c r="I19" s="124">
        <f t="shared" ca="1" si="3"/>
        <v>275585.78178630071</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H10" sqref="H10"/>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29373.620601325951</v>
      </c>
      <c r="E6" s="59">
        <v>20669.464637109144</v>
      </c>
      <c r="F6" s="59">
        <v>20616.356017688599</v>
      </c>
      <c r="G6" s="59">
        <v>19428.743875636967</v>
      </c>
      <c r="H6" s="59">
        <v>18174.930583019828</v>
      </c>
      <c r="I6" s="59">
        <v>18533.222803741523</v>
      </c>
      <c r="J6" s="59">
        <v>19371.104927837823</v>
      </c>
      <c r="K6" s="59">
        <v>17573.20408758902</v>
      </c>
      <c r="L6" s="59">
        <v>18121.01263069372</v>
      </c>
      <c r="M6" s="60"/>
      <c r="N6" s="60"/>
      <c r="O6" s="60"/>
      <c r="DS6" s="4" t="str">
        <f>VLOOKUP(Cover!$D$15, Country_list!$B$3:$C$44, 2, 0)</f>
        <v>GB</v>
      </c>
      <c r="DT6" s="33" t="s">
        <v>289</v>
      </c>
      <c r="DV6" s="33" t="s">
        <v>302</v>
      </c>
      <c r="EB6" s="33" t="s">
        <v>291</v>
      </c>
      <c r="ED6" s="33" t="s">
        <v>294</v>
      </c>
    </row>
    <row r="7" spans="1:134" ht="24" customHeight="1" x14ac:dyDescent="0.25">
      <c r="A7" s="183" t="s">
        <v>15</v>
      </c>
      <c r="B7" s="200"/>
      <c r="C7" s="9" t="s">
        <v>25</v>
      </c>
      <c r="D7" s="61">
        <v>2174.4</v>
      </c>
      <c r="E7" s="61">
        <v>2174.4</v>
      </c>
      <c r="F7" s="61">
        <v>2174.4</v>
      </c>
      <c r="G7" s="61">
        <v>2174.4</v>
      </c>
      <c r="H7" s="61">
        <v>2174.4</v>
      </c>
      <c r="I7" s="61">
        <v>10904.187132706345</v>
      </c>
      <c r="J7" s="61">
        <v>10904.187132706345</v>
      </c>
      <c r="K7" s="61">
        <v>10904.187132706345</v>
      </c>
      <c r="L7" s="61">
        <v>10904.187132706345</v>
      </c>
      <c r="M7" s="58"/>
      <c r="N7" s="58"/>
      <c r="O7" s="58"/>
      <c r="DT7" s="33" t="s">
        <v>290</v>
      </c>
      <c r="EB7" s="33" t="s">
        <v>291</v>
      </c>
      <c r="ED7" s="33" t="s">
        <v>295</v>
      </c>
    </row>
    <row r="8" spans="1:134" ht="24" customHeight="1" x14ac:dyDescent="0.25">
      <c r="A8" s="183" t="s">
        <v>29</v>
      </c>
      <c r="B8" s="200"/>
      <c r="C8" s="9" t="s">
        <v>17</v>
      </c>
      <c r="D8" s="61">
        <v>1127257.2695833205</v>
      </c>
      <c r="E8" s="61">
        <v>825514.44117173029</v>
      </c>
      <c r="F8" s="61">
        <v>931097.02459364873</v>
      </c>
      <c r="G8" s="61">
        <v>922872.95671671734</v>
      </c>
      <c r="H8" s="61">
        <v>754355.15262705821</v>
      </c>
      <c r="I8" s="61">
        <v>795461.57459253247</v>
      </c>
      <c r="J8" s="61">
        <v>819262.91701106017</v>
      </c>
      <c r="K8" s="61">
        <v>802866.28344708984</v>
      </c>
      <c r="L8" s="61">
        <v>840602.57895745337</v>
      </c>
      <c r="M8" s="58"/>
      <c r="N8" s="58"/>
      <c r="O8" s="58"/>
      <c r="DT8" s="33" t="s">
        <v>231</v>
      </c>
      <c r="EB8" s="33" t="s">
        <v>291</v>
      </c>
      <c r="ED8" s="33" t="s">
        <v>296</v>
      </c>
    </row>
    <row r="9" spans="1:134" ht="24" customHeight="1" x14ac:dyDescent="0.25">
      <c r="A9" s="183" t="s">
        <v>156</v>
      </c>
      <c r="B9" s="200"/>
      <c r="C9" s="9" t="s">
        <v>19</v>
      </c>
      <c r="D9" s="61">
        <v>986.46400022715363</v>
      </c>
      <c r="E9" s="61">
        <v>916.13231127483937</v>
      </c>
      <c r="F9" s="61">
        <v>866.76578442152356</v>
      </c>
      <c r="G9" s="61">
        <v>884.53663351695445</v>
      </c>
      <c r="H9" s="61">
        <v>751.06985249621187</v>
      </c>
      <c r="I9" s="61">
        <v>740.75826698991989</v>
      </c>
      <c r="J9" s="61">
        <v>744.32668855298994</v>
      </c>
      <c r="K9" s="61">
        <v>746.79635526845334</v>
      </c>
      <c r="L9" s="61">
        <v>727.59850551862155</v>
      </c>
      <c r="M9" s="58"/>
      <c r="N9" s="58"/>
      <c r="O9" s="58"/>
      <c r="DT9" s="33" t="s">
        <v>279</v>
      </c>
      <c r="EB9" s="33" t="s">
        <v>292</v>
      </c>
      <c r="ED9" s="33" t="s">
        <v>293</v>
      </c>
    </row>
    <row r="10" spans="1:134" ht="24" customHeight="1" x14ac:dyDescent="0.25">
      <c r="A10" s="183" t="s">
        <v>20</v>
      </c>
      <c r="B10" s="200"/>
      <c r="C10" s="9" t="s">
        <v>19</v>
      </c>
      <c r="D10" s="61">
        <v>2654.6578509591218</v>
      </c>
      <c r="E10" s="61">
        <v>1967.5178720411093</v>
      </c>
      <c r="F10" s="61">
        <v>2018.8059420223603</v>
      </c>
      <c r="G10" s="61">
        <v>2083.8497615602701</v>
      </c>
      <c r="H10" s="61">
        <v>1802.9267934097629</v>
      </c>
      <c r="I10" s="61">
        <v>1824.513845236517</v>
      </c>
      <c r="J10" s="61">
        <v>1822.0679411393992</v>
      </c>
      <c r="K10" s="61">
        <v>1799.331159281669</v>
      </c>
      <c r="L10" s="61">
        <v>1806.8352891544946</v>
      </c>
      <c r="M10" s="58"/>
      <c r="N10" s="58"/>
      <c r="O10" s="58"/>
      <c r="DT10" s="139" t="s">
        <v>280</v>
      </c>
      <c r="EB10" s="33" t="s">
        <v>292</v>
      </c>
      <c r="ED10" s="33" t="s">
        <v>293</v>
      </c>
    </row>
    <row r="11" spans="1:134" s="34" customFormat="1" ht="15" customHeight="1" x14ac:dyDescent="0.25">
      <c r="A11" s="182" t="s">
        <v>18</v>
      </c>
      <c r="B11" s="110" t="s">
        <v>21</v>
      </c>
      <c r="C11" s="111" t="s">
        <v>19</v>
      </c>
      <c r="D11" s="112">
        <v>339.6091288870598</v>
      </c>
      <c r="E11" s="112">
        <v>234.1391581284756</v>
      </c>
      <c r="F11" s="112">
        <v>246.49050905039104</v>
      </c>
      <c r="G11" s="112">
        <v>244.32117326691176</v>
      </c>
      <c r="H11" s="112">
        <v>170.03610289107414</v>
      </c>
      <c r="I11" s="112">
        <v>164.62504601249066</v>
      </c>
      <c r="J11" s="112">
        <v>172.58422260379513</v>
      </c>
      <c r="K11" s="112">
        <v>168.48823481597199</v>
      </c>
      <c r="L11" s="112">
        <v>168.85682798445006</v>
      </c>
      <c r="M11" s="113"/>
      <c r="N11" s="113"/>
      <c r="O11" s="113"/>
      <c r="DT11" s="34" t="s">
        <v>281</v>
      </c>
      <c r="EB11" s="34" t="s">
        <v>292</v>
      </c>
      <c r="ED11" s="34" t="s">
        <v>293</v>
      </c>
    </row>
    <row r="12" spans="1:134" s="34" customFormat="1" ht="15" customHeight="1" x14ac:dyDescent="0.25">
      <c r="A12" s="182"/>
      <c r="B12" s="110" t="s">
        <v>22</v>
      </c>
      <c r="C12" s="111" t="s">
        <v>19</v>
      </c>
      <c r="D12" s="112">
        <v>2172.6753178717672</v>
      </c>
      <c r="E12" s="112">
        <v>1617.1039657554604</v>
      </c>
      <c r="F12" s="112">
        <v>1655.2600114270988</v>
      </c>
      <c r="G12" s="112">
        <v>1730.8255429454766</v>
      </c>
      <c r="H12" s="112">
        <v>1523.0090574722494</v>
      </c>
      <c r="I12" s="112">
        <v>1544.5981932900152</v>
      </c>
      <c r="J12" s="112">
        <v>1515.6395088803849</v>
      </c>
      <c r="K12" s="112">
        <v>1505.5484139016967</v>
      </c>
      <c r="L12" s="112">
        <v>1512.6769747815824</v>
      </c>
      <c r="M12" s="113"/>
      <c r="N12" s="113"/>
      <c r="O12" s="113"/>
      <c r="DT12" s="34" t="s">
        <v>282</v>
      </c>
      <c r="EB12" s="34" t="s">
        <v>292</v>
      </c>
      <c r="ED12" s="34" t="s">
        <v>293</v>
      </c>
    </row>
    <row r="13" spans="1:134" s="34" customFormat="1" ht="15" customHeight="1" x14ac:dyDescent="0.25">
      <c r="A13" s="182"/>
      <c r="B13" s="110" t="s">
        <v>23</v>
      </c>
      <c r="C13" s="111" t="s">
        <v>19</v>
      </c>
      <c r="D13" s="112">
        <v>142.3734042002946</v>
      </c>
      <c r="E13" s="112">
        <v>116.27474815717326</v>
      </c>
      <c r="F13" s="112">
        <v>117.05542154487065</v>
      </c>
      <c r="G13" s="112">
        <v>108.70304534788178</v>
      </c>
      <c r="H13" s="112">
        <v>109.88163304643945</v>
      </c>
      <c r="I13" s="112">
        <v>115.29060593401127</v>
      </c>
      <c r="J13" s="112">
        <v>133.84420965521923</v>
      </c>
      <c r="K13" s="112">
        <v>125.29451056400025</v>
      </c>
      <c r="L13" s="112">
        <v>125.30148638846219</v>
      </c>
      <c r="M13" s="113"/>
      <c r="N13" s="113"/>
      <c r="O13" s="113"/>
      <c r="DT13" s="34" t="s">
        <v>283</v>
      </c>
      <c r="EB13" s="34" t="s">
        <v>292</v>
      </c>
      <c r="ED13" s="34" t="s">
        <v>293</v>
      </c>
    </row>
    <row r="14" spans="1:134" ht="24" customHeight="1" x14ac:dyDescent="0.25">
      <c r="A14" s="183" t="s">
        <v>24</v>
      </c>
      <c r="B14" s="200"/>
      <c r="C14" s="9" t="s">
        <v>25</v>
      </c>
      <c r="D14" s="61">
        <v>47130.171000000002</v>
      </c>
      <c r="E14" s="61">
        <v>42319.705999999998</v>
      </c>
      <c r="F14" s="61">
        <v>49388.126009342435</v>
      </c>
      <c r="G14" s="61">
        <v>63610.152196066105</v>
      </c>
      <c r="H14" s="61">
        <v>61307.798310323182</v>
      </c>
      <c r="I14" s="61">
        <v>69070.071443456196</v>
      </c>
      <c r="J14" s="61">
        <v>73597.642294709629</v>
      </c>
      <c r="K14" s="61">
        <v>73703.624981180983</v>
      </c>
      <c r="L14" s="61">
        <v>80267.196081674309</v>
      </c>
      <c r="M14" s="58"/>
      <c r="N14" s="58"/>
      <c r="O14" s="58"/>
      <c r="DT14" s="139" t="s">
        <v>284</v>
      </c>
      <c r="EB14" s="33" t="s">
        <v>291</v>
      </c>
      <c r="ED14" s="33" t="s">
        <v>295</v>
      </c>
    </row>
    <row r="15" spans="1:134" s="34" customFormat="1" ht="15" customHeight="1" x14ac:dyDescent="0.25">
      <c r="A15" s="182" t="s">
        <v>18</v>
      </c>
      <c r="B15" s="110" t="s">
        <v>26</v>
      </c>
      <c r="C15" s="111" t="s">
        <v>25</v>
      </c>
      <c r="D15" s="112">
        <v>1591</v>
      </c>
      <c r="E15" s="112">
        <v>1799</v>
      </c>
      <c r="F15" s="112">
        <v>1782.7163510425553</v>
      </c>
      <c r="G15" s="112">
        <v>1866.8378423173617</v>
      </c>
      <c r="H15" s="112">
        <v>1932.0142258396636</v>
      </c>
      <c r="I15" s="112">
        <v>1979.8387913005738</v>
      </c>
      <c r="J15" s="112">
        <v>2018.9663058365672</v>
      </c>
      <c r="K15" s="112">
        <v>2060.8486078233354</v>
      </c>
      <c r="L15" s="112">
        <v>2088.2761478081343</v>
      </c>
      <c r="M15" s="113"/>
      <c r="N15" s="113"/>
      <c r="O15" s="113"/>
      <c r="DT15" s="34" t="s">
        <v>285</v>
      </c>
      <c r="EB15" s="34" t="s">
        <v>291</v>
      </c>
      <c r="ED15" s="34" t="s">
        <v>295</v>
      </c>
    </row>
    <row r="16" spans="1:134" s="34" customFormat="1" ht="15" customHeight="1" x14ac:dyDescent="0.25">
      <c r="A16" s="182"/>
      <c r="B16" s="110" t="s">
        <v>27</v>
      </c>
      <c r="C16" s="111" t="s">
        <v>25</v>
      </c>
      <c r="D16" s="112">
        <v>44824</v>
      </c>
      <c r="E16" s="112">
        <v>39110</v>
      </c>
      <c r="F16" s="112">
        <v>45941.370618616187</v>
      </c>
      <c r="G16" s="112">
        <v>59148.499137682156</v>
      </c>
      <c r="H16" s="112">
        <v>56154.109860428973</v>
      </c>
      <c r="I16" s="112">
        <v>63410.821683295093</v>
      </c>
      <c r="J16" s="112">
        <v>68236.354922110855</v>
      </c>
      <c r="K16" s="112">
        <v>68155.545307743479</v>
      </c>
      <c r="L16" s="112">
        <v>74468.608390451496</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v>715.17100000000005</v>
      </c>
      <c r="E18" s="112">
        <v>1410.7059999999999</v>
      </c>
      <c r="F18" s="112">
        <v>1664.0390396836926</v>
      </c>
      <c r="G18" s="112">
        <v>2594.8152160665877</v>
      </c>
      <c r="H18" s="112">
        <v>3221.6742240545423</v>
      </c>
      <c r="I18" s="112">
        <v>3664.0163693994368</v>
      </c>
      <c r="J18" s="112">
        <v>3326.7905567173161</v>
      </c>
      <c r="K18" s="112">
        <v>3471.6257411400629</v>
      </c>
      <c r="L18" s="112">
        <v>3694.7062189405633</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G11" sqref="G11"/>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c r="J6" s="60"/>
      <c r="K6" s="60"/>
      <c r="L6" s="60"/>
      <c r="M6" s="60"/>
      <c r="N6" s="60"/>
      <c r="O6" s="60"/>
      <c r="DS6" s="4" t="str">
        <f>VLOOKUP(Cover!$D$15, Country_list!$B$3:$C$44, 2, 0)</f>
        <v>GB</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1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6930.8333657105813</v>
      </c>
      <c r="E6" s="59">
        <v>8206.9885029959241</v>
      </c>
      <c r="F6" s="59">
        <v>6655.6414739466727</v>
      </c>
      <c r="G6" s="59">
        <v>6096.980271637357</v>
      </c>
      <c r="H6" s="59">
        <v>5337.6141493971718</v>
      </c>
      <c r="I6" s="59">
        <v>5020.8693976689647</v>
      </c>
      <c r="J6" s="59">
        <v>5185.8709795369232</v>
      </c>
      <c r="K6" s="59">
        <v>4536.6826888110008</v>
      </c>
      <c r="L6" s="59">
        <v>4678.1044535557157</v>
      </c>
      <c r="M6" s="60"/>
      <c r="N6" s="60"/>
      <c r="O6" s="60"/>
      <c r="DS6" s="4" t="str">
        <f>VLOOKUP(Cover!$D$15, Country_list!$B$3:$C$44, 2, 0)</f>
        <v>GB</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v>250022.0831610763</v>
      </c>
      <c r="E8" s="61">
        <v>259934.84447177502</v>
      </c>
      <c r="F8" s="61">
        <v>277819.89700543706</v>
      </c>
      <c r="G8" s="61">
        <v>289123.85984620627</v>
      </c>
      <c r="H8" s="61">
        <v>242527.11394883238</v>
      </c>
      <c r="I8" s="61">
        <v>249757.63791357647</v>
      </c>
      <c r="J8" s="61">
        <v>254803.1478175451</v>
      </c>
      <c r="K8" s="61">
        <v>234747.747739338</v>
      </c>
      <c r="L8" s="61">
        <v>245781.35390978286</v>
      </c>
      <c r="M8" s="58"/>
      <c r="N8" s="58"/>
      <c r="O8" s="58"/>
      <c r="DT8" s="33" t="s">
        <v>231</v>
      </c>
      <c r="EB8" s="33" t="s">
        <v>291</v>
      </c>
      <c r="ED8" s="33" t="s">
        <v>296</v>
      </c>
    </row>
    <row r="9" spans="1:134" ht="24" customHeight="1" x14ac:dyDescent="0.25">
      <c r="A9" s="183" t="s">
        <v>156</v>
      </c>
      <c r="B9" s="200"/>
      <c r="C9" s="9" t="s">
        <v>19</v>
      </c>
      <c r="D9" s="61">
        <v>53.53599977284626</v>
      </c>
      <c r="E9" s="61">
        <v>67.867688725160676</v>
      </c>
      <c r="F9" s="61">
        <v>67.234215578476451</v>
      </c>
      <c r="G9" s="61">
        <v>65.463366483045519</v>
      </c>
      <c r="H9" s="61">
        <v>53.930147503788042</v>
      </c>
      <c r="I9" s="61">
        <v>46.241733010080068</v>
      </c>
      <c r="J9" s="61">
        <v>42.673311447010079</v>
      </c>
      <c r="K9" s="61">
        <v>31.203644731546678</v>
      </c>
      <c r="L9" s="61">
        <v>30.401494481378382</v>
      </c>
      <c r="M9" s="58"/>
      <c r="N9" s="58"/>
      <c r="O9" s="58"/>
      <c r="DT9" s="33" t="s">
        <v>279</v>
      </c>
      <c r="EB9" s="33" t="s">
        <v>292</v>
      </c>
      <c r="ED9" s="33" t="s">
        <v>293</v>
      </c>
    </row>
    <row r="10" spans="1:134" ht="24" customHeight="1" x14ac:dyDescent="0.25">
      <c r="A10" s="183" t="s">
        <v>20</v>
      </c>
      <c r="B10" s="200"/>
      <c r="C10" s="9" t="s">
        <v>19</v>
      </c>
      <c r="D10" s="61">
        <v>428.6021490408786</v>
      </c>
      <c r="E10" s="61">
        <v>433.61212795889088</v>
      </c>
      <c r="F10" s="61">
        <v>415.89405797763948</v>
      </c>
      <c r="G10" s="61">
        <v>474.21023843972966</v>
      </c>
      <c r="H10" s="61">
        <v>456.93320659023681</v>
      </c>
      <c r="I10" s="61">
        <v>444.36615476348283</v>
      </c>
      <c r="J10" s="61">
        <v>442.68555886060062</v>
      </c>
      <c r="K10" s="61">
        <v>423.94803104104528</v>
      </c>
      <c r="L10" s="61">
        <v>425.71611084550506</v>
      </c>
      <c r="M10" s="58"/>
      <c r="N10" s="58"/>
      <c r="O10" s="58"/>
      <c r="DT10" s="139" t="s">
        <v>280</v>
      </c>
      <c r="EB10" s="33" t="s">
        <v>292</v>
      </c>
      <c r="ED10" s="33" t="s">
        <v>293</v>
      </c>
    </row>
    <row r="11" spans="1:134" s="34" customFormat="1" ht="15" customHeight="1" x14ac:dyDescent="0.25">
      <c r="A11" s="182" t="s">
        <v>18</v>
      </c>
      <c r="B11" s="110" t="s">
        <v>21</v>
      </c>
      <c r="C11" s="111" t="s">
        <v>19</v>
      </c>
      <c r="D11" s="112">
        <v>54.830871112940258</v>
      </c>
      <c r="E11" s="112">
        <v>51.600841871524445</v>
      </c>
      <c r="F11" s="112">
        <v>50.779490949608942</v>
      </c>
      <c r="G11" s="112">
        <v>55.598826733088252</v>
      </c>
      <c r="H11" s="112">
        <v>43.093897108925852</v>
      </c>
      <c r="I11" s="112">
        <v>40.094953987509342</v>
      </c>
      <c r="J11" s="112">
        <v>41.930677396204864</v>
      </c>
      <c r="K11" s="112">
        <v>39.698226218862949</v>
      </c>
      <c r="L11" s="112">
        <v>39.785072015549908</v>
      </c>
      <c r="M11" s="113"/>
      <c r="N11" s="113"/>
      <c r="O11" s="113"/>
      <c r="DT11" s="34" t="s">
        <v>281</v>
      </c>
      <c r="EB11" s="34" t="s">
        <v>292</v>
      </c>
      <c r="ED11" s="34" t="s">
        <v>293</v>
      </c>
    </row>
    <row r="12" spans="1:134" s="34" customFormat="1" ht="15" customHeight="1" x14ac:dyDescent="0.25">
      <c r="A12" s="182"/>
      <c r="B12" s="110" t="s">
        <v>22</v>
      </c>
      <c r="C12" s="111" t="s">
        <v>19</v>
      </c>
      <c r="D12" s="112">
        <v>350.78468212823293</v>
      </c>
      <c r="E12" s="112">
        <v>356.3860342445397</v>
      </c>
      <c r="F12" s="112">
        <v>340.9999885729012</v>
      </c>
      <c r="G12" s="112">
        <v>393.87445705452319</v>
      </c>
      <c r="H12" s="112">
        <v>385.99094252775046</v>
      </c>
      <c r="I12" s="112">
        <v>376.19180670998469</v>
      </c>
      <c r="J12" s="112">
        <v>368.23639111961495</v>
      </c>
      <c r="K12" s="112">
        <v>354.72863481417482</v>
      </c>
      <c r="L12" s="112">
        <v>356.40822521841733</v>
      </c>
      <c r="M12" s="113"/>
      <c r="N12" s="113"/>
      <c r="O12" s="113"/>
      <c r="DT12" s="34" t="s">
        <v>282</v>
      </c>
      <c r="EB12" s="34" t="s">
        <v>292</v>
      </c>
      <c r="ED12" s="34" t="s">
        <v>293</v>
      </c>
    </row>
    <row r="13" spans="1:134" s="34" customFormat="1" ht="15" customHeight="1" x14ac:dyDescent="0.25">
      <c r="A13" s="182"/>
      <c r="B13" s="110" t="s">
        <v>23</v>
      </c>
      <c r="C13" s="111" t="s">
        <v>19</v>
      </c>
      <c r="D13" s="112">
        <v>22.986595799705405</v>
      </c>
      <c r="E13" s="112">
        <v>25.62525184282676</v>
      </c>
      <c r="F13" s="112">
        <v>24.114578455129323</v>
      </c>
      <c r="G13" s="112">
        <v>24.736954652118218</v>
      </c>
      <c r="H13" s="112">
        <v>27.848366953560539</v>
      </c>
      <c r="I13" s="112">
        <v>28.07939406598874</v>
      </c>
      <c r="J13" s="112">
        <v>32.518490344780759</v>
      </c>
      <c r="K13" s="112">
        <v>29.521170008007491</v>
      </c>
      <c r="L13" s="112">
        <v>29.522813611537774</v>
      </c>
      <c r="M13" s="113"/>
      <c r="N13" s="113"/>
      <c r="O13" s="113"/>
      <c r="DT13" s="34" t="s">
        <v>283</v>
      </c>
      <c r="EB13" s="34" t="s">
        <v>292</v>
      </c>
      <c r="ED13" s="34" t="s">
        <v>293</v>
      </c>
    </row>
    <row r="14" spans="1:134" ht="24" customHeight="1" x14ac:dyDescent="0.25">
      <c r="A14" s="183" t="s">
        <v>24</v>
      </c>
      <c r="B14" s="200"/>
      <c r="C14" s="9" t="s">
        <v>25</v>
      </c>
      <c r="D14" s="61">
        <v>0</v>
      </c>
      <c r="E14" s="61">
        <v>0</v>
      </c>
      <c r="F14" s="61">
        <v>3830.9909906575599</v>
      </c>
      <c r="G14" s="61">
        <v>4707.7018039338918</v>
      </c>
      <c r="H14" s="61">
        <v>4537.3076896768198</v>
      </c>
      <c r="I14" s="61">
        <v>4959.5375565437953</v>
      </c>
      <c r="J14" s="61">
        <v>4594.3227052903758</v>
      </c>
      <c r="K14" s="61">
        <v>4225.5340188190203</v>
      </c>
      <c r="L14" s="61">
        <v>4601.8329183257056</v>
      </c>
      <c r="M14" s="58"/>
      <c r="N14" s="58"/>
      <c r="O14" s="58"/>
      <c r="DT14" s="139" t="s">
        <v>284</v>
      </c>
      <c r="EB14" s="33" t="s">
        <v>291</v>
      </c>
      <c r="ED14" s="33" t="s">
        <v>295</v>
      </c>
    </row>
    <row r="15" spans="1:134" s="34" customFormat="1" ht="15" customHeight="1" x14ac:dyDescent="0.25">
      <c r="A15" s="182" t="s">
        <v>18</v>
      </c>
      <c r="B15" s="110" t="s">
        <v>26</v>
      </c>
      <c r="C15" s="111" t="s">
        <v>25</v>
      </c>
      <c r="D15" s="112">
        <v>0</v>
      </c>
      <c r="E15" s="112">
        <v>0</v>
      </c>
      <c r="F15" s="112">
        <v>138.2836489574446</v>
      </c>
      <c r="G15" s="112">
        <v>138.16215768263817</v>
      </c>
      <c r="H15" s="112">
        <v>142.98577416033623</v>
      </c>
      <c r="I15" s="112">
        <v>142.16120869942637</v>
      </c>
      <c r="J15" s="112">
        <v>126.03369416343298</v>
      </c>
      <c r="K15" s="112">
        <v>118.1513921766645</v>
      </c>
      <c r="L15" s="112">
        <v>119.72385219186563</v>
      </c>
      <c r="M15" s="113"/>
      <c r="N15" s="113"/>
      <c r="O15" s="113"/>
      <c r="DT15" s="34" t="s">
        <v>285</v>
      </c>
      <c r="EB15" s="34" t="s">
        <v>291</v>
      </c>
      <c r="ED15" s="34" t="s">
        <v>295</v>
      </c>
    </row>
    <row r="16" spans="1:134" s="34" customFormat="1" ht="15" customHeight="1" x14ac:dyDescent="0.25">
      <c r="A16" s="182"/>
      <c r="B16" s="110" t="s">
        <v>27</v>
      </c>
      <c r="C16" s="111" t="s">
        <v>25</v>
      </c>
      <c r="D16" s="112">
        <v>0</v>
      </c>
      <c r="E16" s="112">
        <v>0</v>
      </c>
      <c r="F16" s="112">
        <v>3563.6293813838079</v>
      </c>
      <c r="G16" s="112">
        <v>4377.5008623178419</v>
      </c>
      <c r="H16" s="112">
        <v>4155.8901395710254</v>
      </c>
      <c r="I16" s="112">
        <v>4553.178316704908</v>
      </c>
      <c r="J16" s="112">
        <v>4259.6450778891549</v>
      </c>
      <c r="K16" s="112">
        <v>3907.4546922565278</v>
      </c>
      <c r="L16" s="112">
        <v>4269.3916095485129</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v>0</v>
      </c>
      <c r="E18" s="112">
        <v>0</v>
      </c>
      <c r="F18" s="112">
        <v>129.07796031630721</v>
      </c>
      <c r="G18" s="112">
        <v>192.03878393341193</v>
      </c>
      <c r="H18" s="112">
        <v>238.43177594545756</v>
      </c>
      <c r="I18" s="112">
        <v>263.09263060056344</v>
      </c>
      <c r="J18" s="112">
        <v>207.67444328268445</v>
      </c>
      <c r="K18" s="112">
        <v>199.03325885993721</v>
      </c>
      <c r="L18" s="112">
        <v>211.82278105943689</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D6" sqref="D6:L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5679.2979326103305</v>
      </c>
      <c r="E6" s="59">
        <v>5986.9643050656114</v>
      </c>
      <c r="F6" s="59">
        <v>6273.6048442084648</v>
      </c>
      <c r="G6" s="59">
        <v>6323.1039981555368</v>
      </c>
      <c r="H6" s="59">
        <v>6091.0106583781271</v>
      </c>
      <c r="I6" s="59">
        <v>6069.7195205758271</v>
      </c>
      <c r="J6" s="59">
        <v>6059.6274193122272</v>
      </c>
      <c r="K6" s="59">
        <v>5782.7645184881876</v>
      </c>
      <c r="L6" s="59">
        <v>5713.8236337794297</v>
      </c>
      <c r="M6" s="60"/>
      <c r="N6" s="60"/>
      <c r="O6" s="60"/>
      <c r="DS6" s="4" t="str">
        <f>VLOOKUP(Cover!$D$15, Country_list!$B$3:$C$44, 2, 0)</f>
        <v>GB</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v>25264.442687744558</v>
      </c>
      <c r="E8" s="61">
        <v>26377.418794138193</v>
      </c>
      <c r="F8" s="61">
        <v>26531.490290118352</v>
      </c>
      <c r="G8" s="61">
        <v>28206.645520862126</v>
      </c>
      <c r="H8" s="61">
        <v>24405.299794214156</v>
      </c>
      <c r="I8" s="61">
        <v>26074.697696038267</v>
      </c>
      <c r="J8" s="61">
        <v>27083.77167508721</v>
      </c>
      <c r="K8" s="61">
        <v>24661.451761331966</v>
      </c>
      <c r="L8" s="61">
        <v>26629.247761331964</v>
      </c>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76848.200734460886</v>
      </c>
      <c r="E6" s="62">
        <v>76723.000169110295</v>
      </c>
      <c r="F6" s="62">
        <v>81117.023090955758</v>
      </c>
      <c r="G6" s="62">
        <v>81563.644226388307</v>
      </c>
      <c r="H6" s="62">
        <v>78472.544357301304</v>
      </c>
      <c r="I6" s="62">
        <v>78140.036060540806</v>
      </c>
      <c r="J6" s="62">
        <v>77408.440055294646</v>
      </c>
      <c r="K6" s="62">
        <v>77475.249444571047</v>
      </c>
      <c r="L6" s="62">
        <v>76551.60605175019</v>
      </c>
      <c r="M6" s="63"/>
      <c r="N6" s="63"/>
      <c r="O6" s="63"/>
      <c r="DS6" s="4" t="str">
        <f>VLOOKUP(Cover!$D$15, Country_list!$B$3:$C$44, 2, 0)</f>
        <v>GB</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GB</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A4" zoomScale="90" zoomScaleNormal="90" workbookViewId="0">
      <selection activeCell="C8" sqref="C8"/>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2020-01-30T14:27:13Z</dcterms:modified>
  <cp:category>Annual questionnaires</cp:category>
</cp:coreProperties>
</file>