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fileSharing readOnlyRecommended="1"/>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19320" yWindow="720" windowWidth="19440" windowHeight="15000" tabRatio="872" firstSheet="1" activeTab="1"/>
  </bookViews>
  <sheets>
    <sheet name="Definitions" sheetId="3" r:id="rId1"/>
    <sheet name="Cover" sheetId="2"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1">Cover!$A$1:$E$44</definedName>
    <definedName name="_xlnm.Print_Area" localSheetId="0">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1" hidden="1">Cover!$A$1:$E$44</definedName>
    <definedName name="Z_B79E7212_8DD5_488D_8E68_A79B69F231E2_.wvu.PrintArea" localSheetId="0"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0" hidden="1">Definitions!$17:$20</definedName>
  </definedNames>
  <calcPr calcId="162913" calcOnSave="0"/>
  <customWorkbookViews>
    <customWorkbookView name="FETIE Cristian (ESTAT) - Personal View" guid="{B79E7212-8DD5-488D-8E68-A79B69F231E2}" mergeInterval="0" personalView="1" maximized="1" windowWidth="1916" windowHeight="775" tabRatio="853" activeSheetId="9"/>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J17" i="5"/>
  <c r="G17" i="5"/>
  <c r="H17" i="5"/>
  <c r="E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2" i="5"/>
  <c r="K11" i="5"/>
  <c r="K13"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J10" i="5"/>
  <c r="E11" i="5"/>
  <c r="G10" i="5"/>
  <c r="G14" i="5"/>
  <c r="I6" i="5"/>
  <c r="H18" i="5"/>
  <c r="E13" i="5"/>
  <c r="H14" i="5"/>
  <c r="H8" i="5"/>
  <c r="H7" i="5"/>
  <c r="H6" i="5"/>
  <c r="J12" i="5"/>
  <c r="J18" i="5"/>
  <c r="G6" i="5"/>
  <c r="H11" i="5"/>
  <c r="J8" i="5"/>
  <c r="J16" i="5"/>
  <c r="E12" i="5"/>
  <c r="H13" i="5"/>
  <c r="E18" i="5"/>
  <c r="H12" i="5"/>
  <c r="H16" i="5"/>
  <c r="J7" i="5"/>
  <c r="J9" i="5"/>
  <c r="H9" i="5"/>
  <c r="E7" i="5"/>
  <c r="E15" i="5"/>
  <c r="G16" i="5"/>
  <c r="G18" i="5"/>
  <c r="G11" i="5"/>
  <c r="K9" i="5"/>
  <c r="J15" i="5"/>
  <c r="G13" i="5"/>
  <c r="E9" i="5"/>
  <c r="J11" i="5"/>
  <c r="G7" i="5"/>
  <c r="E8" i="5"/>
  <c r="J6" i="5"/>
  <c r="J13" i="5"/>
  <c r="E16" i="5"/>
  <c r="E14" i="5"/>
  <c r="E6" i="5"/>
  <c r="G15" i="5"/>
  <c r="J14" i="5"/>
  <c r="G9" i="5"/>
  <c r="H10" i="5"/>
  <c r="G12" i="5"/>
  <c r="H15" i="5"/>
  <c r="F6" i="5"/>
  <c r="G8"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<sst xmlns="http://schemas.openxmlformats.org/spreadsheetml/2006/main" count="952" uniqueCount="315">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</sst>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sz val="11"/>
      <color theme="1"/>
      <name val="Calibri"/>
      <family val="2"/>
      <scheme val="minor"/>
    </font>
    <font>
      <b/>
      <sz val="12"/>
      <color rgb="FF000000"/>
      <name val="Calibri"/>
      <family val="2"/>
    </font>
    <font>
      <b/>
      <i/>
      <sz val="11"/>
      <color rgb="FF000000"/>
      <name val="Calibri"/>
      <family val="2"/>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7" fillId="0" borderId="0"/>
  </cellStyleXfs>
  <cellXfs count="219">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1" fillId="0" borderId="4" xfId="0" applyFont="1" applyBorder="1" applyAlignment="1">
      <alignment vertical="center"/>
    </xf>
    <xf numFmtId="0" fontId="42" fillId="0" borderId="4" xfId="0" applyFont="1" applyBorder="1" applyAlignment="1">
      <alignment vertical="center"/>
    </xf>
    <xf numFmtId="165" fontId="21" fillId="0" borderId="0" xfId="0" applyNumberFormat="1" applyFont="1" applyBorder="1" applyAlignment="1">
      <alignment vertical="center"/>
    </xf>
    <xf numFmtId="0" fontId="44" fillId="0" borderId="0" xfId="0" applyFont="1"/>
    <xf numFmtId="0" fontId="45" fillId="0" borderId="0" xfId="0" applyFont="1" applyAlignment="1">
      <alignment horizontal="center"/>
    </xf>
    <xf numFmtId="0" fontId="34" fillId="0" borderId="0" xfId="0" applyFont="1"/>
    <xf numFmtId="0" fontId="46"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3"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7" fillId="12" borderId="27" xfId="11" applyFill="1" applyBorder="1"/>
    <xf numFmtId="0" fontId="47" fillId="0" borderId="27" xfId="11" applyFill="1" applyBorder="1"/>
    <xf numFmtId="0" fontId="47" fillId="0" borderId="27" xfId="11" applyFont="1" applyFill="1" applyBorder="1"/>
    <xf numFmtId="0" fontId="47" fillId="12" borderId="27" xfId="11" applyFont="1" applyFill="1" applyBorder="1"/>
    <xf numFmtId="49" fontId="47" fillId="0" borderId="27" xfId="11" applyNumberFormat="1" applyFont="1" applyFill="1" applyBorder="1" applyAlignment="1">
      <alignment horizontal="center" vertical="center"/>
    </xf>
    <xf numFmtId="0" fontId="47"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0" fontId="13" fillId="5" borderId="21" xfId="2" applyFill="1" applyBorder="1" applyAlignment="1" applyProtection="1">
      <alignment horizontal="left" vertical="center"/>
      <protection locked="0"/>
    </xf>
    <xf numFmtId="0" fontId="26" fillId="5" borderId="22" xfId="0" applyFont="1" applyFill="1" applyBorder="1" applyAlignment="1" applyProtection="1">
      <alignment horizontal="left" vertical="center"/>
      <protection locked="0"/>
    </xf>
    <xf numFmtId="3" fontId="26" fillId="5" borderId="21" xfId="0" applyNumberFormat="1" applyFont="1" applyFill="1" applyBorder="1" applyAlignment="1" applyProtection="1">
      <alignment horizontal="left" vertical="center"/>
      <protection locked="0"/>
    </xf>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pplyProtection="1">
      <alignment vertical="top" wrapText="1"/>
    </xf>
    <xf numFmtId="0" fontId="0" fillId="0" borderId="0" xfId="0" applyAlignment="1" applyProtection="1">
      <alignment vertical="top" wrapText="1"/>
    </xf>
    <xf numFmtId="0" fontId="0" fillId="0" borderId="25" xfId="0" applyBorder="1" applyAlignment="1" applyProtection="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 uri="{FF2B5EF4-FFF2-40B4-BE49-F238E27FC236}">
                  <a16:creationId xmlns:a16="http://schemas.microsoft.com/office/drawing/2014/main" id="{00000000-0008-0000-0100-00006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 uri="{FF2B5EF4-FFF2-40B4-BE49-F238E27FC236}">
                  <a16:creationId xmlns:a16="http://schemas.microsoft.com/office/drawing/2014/main" id="{00000000-0008-0000-0100-00006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 uri="{FF2B5EF4-FFF2-40B4-BE49-F238E27FC236}">
                  <a16:creationId xmlns:a16="http://schemas.microsoft.com/office/drawing/2014/main" id="{00000000-0008-0000-0100-00006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100-00006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 uri="{FF2B5EF4-FFF2-40B4-BE49-F238E27FC236}">
                  <a16:creationId xmlns:a16="http://schemas.microsoft.com/office/drawing/2014/main" id="{00000000-0008-0000-0100-00006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 uri="{FF2B5EF4-FFF2-40B4-BE49-F238E27FC236}">
                  <a16:creationId xmlns:a16="http://schemas.microsoft.com/office/drawing/2014/main" id="{00000000-0008-0000-0100-00006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 uri="{FF2B5EF4-FFF2-40B4-BE49-F238E27FC236}">
                  <a16:creationId xmlns:a16="http://schemas.microsoft.com/office/drawing/2014/main" id="{00000000-0008-0000-0100-00006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 uri="{FF2B5EF4-FFF2-40B4-BE49-F238E27FC236}">
                  <a16:creationId xmlns:a16="http://schemas.microsoft.com/office/drawing/2014/main" id="{00000000-0008-0000-0100-00006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 uri="{FF2B5EF4-FFF2-40B4-BE49-F238E27FC236}">
                  <a16:creationId xmlns:a16="http://schemas.microsoft.com/office/drawing/2014/main" id="{00000000-0008-0000-0100-00007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 uri="{FF2B5EF4-FFF2-40B4-BE49-F238E27FC236}">
                  <a16:creationId xmlns:a16="http://schemas.microsoft.com/office/drawing/2014/main" id="{00000000-0008-0000-0100-00007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a:extLst>
            <a:ext uri="{FF2B5EF4-FFF2-40B4-BE49-F238E27FC236}">
              <a16:creationId xmlns:a16="http://schemas.microsoft.com/office/drawing/2014/main" id="{00000000-0008-0000-0100-0000DD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 uri="{FF2B5EF4-FFF2-40B4-BE49-F238E27FC236}">
                  <a16:creationId xmlns:a16="http://schemas.microsoft.com/office/drawing/2014/main" id="{00000000-0008-0000-0100-00007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 uri="{FF2B5EF4-FFF2-40B4-BE49-F238E27FC236}">
                  <a16:creationId xmlns:a16="http://schemas.microsoft.com/office/drawing/2014/main" id="{00000000-0008-0000-0100-00007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printerSettings" Target="../printerSettings/printerSettings4.bin"/><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hyperlink" Target="mailto:estat-energy-annual@ec.europa.eu" TargetMode="External"/><Relationship Id="rId16" Type="http://schemas.openxmlformats.org/officeDocument/2006/relationships/ctrlProp" Target="../ctrlProps/ctrlProp12.xml"/><Relationship Id="rId1" Type="http://schemas.openxmlformats.org/officeDocument/2006/relationships/printerSettings" Target="../printerSettings/printerSettings3.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topLeftCell="A7" zoomScale="90" zoomScaleNormal="90" workbookViewId="0">
      <selection activeCell="C16" sqref="C16"/>
    </sheetView>
  </sheetViews>
  <sheetFormatPr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57" t="s">
        <v>145</v>
      </c>
      <c r="C2" s="158"/>
    </row>
    <row r="3" spans="2:3" ht="9.75" customHeight="1" x14ac:dyDescent="0.25">
      <c r="B3" s="64"/>
      <c r="C3" s="65"/>
    </row>
    <row r="4" spans="2:3" ht="36" customHeight="1" x14ac:dyDescent="0.25">
      <c r="B4" s="159" t="s">
        <v>82</v>
      </c>
      <c r="C4" s="66" t="s">
        <v>83</v>
      </c>
    </row>
    <row r="5" spans="2:3" ht="36" customHeight="1" x14ac:dyDescent="0.25">
      <c r="B5" s="160"/>
      <c r="C5" s="67" t="s">
        <v>134</v>
      </c>
    </row>
    <row r="6" spans="2:3" ht="36" customHeight="1" x14ac:dyDescent="0.25">
      <c r="B6" s="160"/>
      <c r="C6" s="67" t="s">
        <v>146</v>
      </c>
    </row>
    <row r="7" spans="2:3" ht="45" customHeight="1" x14ac:dyDescent="0.25">
      <c r="B7" s="161"/>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2" t="s">
        <v>29</v>
      </c>
      <c r="C15" s="67" t="s">
        <v>312</v>
      </c>
    </row>
    <row r="16" spans="2:3" ht="63" customHeight="1" x14ac:dyDescent="0.25">
      <c r="B16" s="163"/>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4" t="s">
        <v>115</v>
      </c>
      <c r="C31" s="67" t="s">
        <v>311</v>
      </c>
    </row>
    <row r="32" spans="2:3" ht="105" customHeight="1" x14ac:dyDescent="0.25">
      <c r="B32" s="165"/>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4" t="s">
        <v>117</v>
      </c>
      <c r="C41" s="67" t="s">
        <v>127</v>
      </c>
    </row>
    <row r="42" spans="1:3" ht="59.25" customHeight="1" x14ac:dyDescent="0.25">
      <c r="B42" s="165"/>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zoomScale="90" zoomScaleNormal="90" workbookViewId="0">
      <selection activeCell="C23" sqref="C23:D23"/>
    </sheetView>
  </sheetViews>
  <sheetFormatPr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67" t="s">
        <v>144</v>
      </c>
      <c r="B13" s="167"/>
      <c r="C13" s="167"/>
      <c r="D13" s="167"/>
      <c r="E13" s="167"/>
    </row>
    <row r="14" spans="1:5" ht="15" customHeight="1" thickBot="1" x14ac:dyDescent="0.3">
      <c r="A14" s="23"/>
      <c r="B14" s="24"/>
      <c r="C14" s="24"/>
      <c r="D14" s="24"/>
      <c r="E14" s="24"/>
    </row>
    <row r="15" spans="1:5" ht="21" customHeight="1" thickBot="1" x14ac:dyDescent="0.3">
      <c r="A15" s="23"/>
      <c r="B15" s="23"/>
      <c r="C15" s="51" t="s">
        <v>32</v>
      </c>
      <c r="D15" s="56" t="s">
        <v>59</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68"/>
      <c r="D19" s="169"/>
      <c r="E19" s="23"/>
    </row>
    <row r="20" spans="1:5" ht="15" customHeight="1" thickBot="1" x14ac:dyDescent="0.3">
      <c r="A20" s="23"/>
      <c r="B20" s="27"/>
      <c r="C20" s="24"/>
      <c r="D20" s="24"/>
      <c r="E20" s="23"/>
    </row>
    <row r="21" spans="1:5" ht="21" customHeight="1" thickBot="1" x14ac:dyDescent="0.3">
      <c r="A21" s="23"/>
      <c r="B21" s="27" t="s">
        <v>35</v>
      </c>
      <c r="C21" s="170"/>
      <c r="D21" s="171"/>
      <c r="E21" s="23"/>
    </row>
    <row r="22" spans="1:5" ht="15" customHeight="1" thickBot="1" x14ac:dyDescent="0.3">
      <c r="A22" s="23"/>
      <c r="B22" s="27"/>
      <c r="C22" s="24"/>
      <c r="D22" s="24"/>
      <c r="E22" s="23"/>
    </row>
    <row r="23" spans="1:5" ht="21" customHeight="1" thickBot="1" x14ac:dyDescent="0.3">
      <c r="A23" s="23"/>
      <c r="B23" s="27" t="s">
        <v>36</v>
      </c>
      <c r="C23" s="172"/>
      <c r="D23" s="171"/>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66" t="s">
        <v>142</v>
      </c>
      <c r="B37" s="166"/>
      <c r="C37" s="166"/>
      <c r="D37" s="166"/>
      <c r="E37" s="166"/>
    </row>
    <row r="38" spans="1:5" ht="15" customHeight="1" x14ac:dyDescent="0.25">
      <c r="A38" s="53"/>
      <c r="B38" s="53"/>
      <c r="C38" s="53"/>
      <c r="D38" s="53"/>
      <c r="E38" s="53"/>
    </row>
    <row r="39" spans="1:5" ht="21" customHeight="1" x14ac:dyDescent="0.25">
      <c r="A39" s="166" t="s">
        <v>39</v>
      </c>
      <c r="B39" s="166"/>
      <c r="C39" s="166"/>
      <c r="D39" s="166"/>
      <c r="E39" s="166"/>
    </row>
    <row r="40" spans="1:5" ht="45" customHeight="1" x14ac:dyDescent="0.25">
      <c r="A40" s="166" t="s">
        <v>148</v>
      </c>
      <c r="B40" s="166"/>
      <c r="C40" s="166"/>
      <c r="D40" s="166"/>
      <c r="E40" s="166"/>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19" name="Country_selection"/>
    <protectedRange sqref="C21" name="Country_selection_1"/>
    <protectedRange sqref="C23" name="Country_selection_2"/>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J27" sqref="J27"/>
    </sheetView>
  </sheetViews>
  <sheetFormatPr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8" t="s">
        <v>0</v>
      </c>
      <c r="B1" s="179"/>
      <c r="C1" s="20"/>
      <c r="D1" s="1"/>
      <c r="E1" s="2"/>
      <c r="F1" s="2"/>
      <c r="G1" s="2"/>
      <c r="H1" s="2"/>
      <c r="I1" s="2"/>
      <c r="J1" s="2"/>
      <c r="K1" s="2"/>
      <c r="L1" s="2"/>
      <c r="M1" s="2"/>
      <c r="N1" s="2"/>
      <c r="O1" s="2"/>
    </row>
    <row r="2" spans="1:134" ht="18" customHeight="1" x14ac:dyDescent="0.25">
      <c r="A2" s="180"/>
      <c r="B2" s="181"/>
      <c r="C2" s="1"/>
      <c r="D2" s="1"/>
      <c r="E2" s="5"/>
      <c r="F2" s="3"/>
      <c r="G2" s="3"/>
      <c r="H2" s="3"/>
      <c r="I2" s="3"/>
      <c r="J2" s="3"/>
      <c r="K2" s="3"/>
      <c r="L2" s="3"/>
      <c r="M2" s="3"/>
      <c r="N2" s="3"/>
      <c r="O2" s="3"/>
    </row>
    <row r="3" spans="1:134" ht="18" customHeight="1" x14ac:dyDescent="0.3">
      <c r="A3" s="182" t="s">
        <v>12</v>
      </c>
      <c r="B3" s="183"/>
      <c r="C3" s="1"/>
      <c r="D3" s="1"/>
      <c r="E3" s="5"/>
      <c r="F3" s="3"/>
      <c r="G3" s="3"/>
      <c r="H3" s="3"/>
      <c r="I3" s="3"/>
      <c r="J3" s="3"/>
      <c r="K3" s="3"/>
      <c r="L3" s="3"/>
      <c r="M3" s="3"/>
      <c r="N3" s="3"/>
      <c r="O3" s="3"/>
      <c r="DS3" s="4" t="s">
        <v>229</v>
      </c>
    </row>
    <row r="4" spans="1:134" ht="18" customHeight="1" x14ac:dyDescent="0.25">
      <c r="A4" s="184"/>
      <c r="B4" s="181"/>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85" t="s">
        <v>3</v>
      </c>
      <c r="B5" s="18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3" t="s">
        <v>13</v>
      </c>
      <c r="B6" s="174"/>
      <c r="C6" s="47"/>
      <c r="D6" s="48"/>
      <c r="E6" s="49"/>
      <c r="F6" s="49"/>
      <c r="G6" s="49"/>
      <c r="H6" s="49"/>
      <c r="I6" s="49"/>
      <c r="J6" s="49"/>
      <c r="K6" s="49"/>
      <c r="L6" s="49"/>
      <c r="M6" s="49"/>
      <c r="N6" s="49"/>
      <c r="O6" s="49"/>
      <c r="DS6" s="4" t="str">
        <f>VLOOKUP(Cover!$D$15, Country_list!$B$3:$C$44, 2, 0)</f>
        <v>LV</v>
      </c>
      <c r="DV6" s="4" t="s">
        <v>298</v>
      </c>
    </row>
    <row r="7" spans="1:134" ht="24" customHeight="1" x14ac:dyDescent="0.2">
      <c r="A7" s="176" t="s">
        <v>15</v>
      </c>
      <c r="B7" s="177"/>
      <c r="C7" s="45"/>
      <c r="D7" s="15"/>
      <c r="E7" s="46"/>
      <c r="F7" s="46"/>
      <c r="G7" s="46"/>
      <c r="H7" s="46"/>
      <c r="I7" s="46"/>
      <c r="J7" s="46"/>
      <c r="K7" s="46"/>
      <c r="L7" s="46"/>
      <c r="M7" s="46"/>
      <c r="N7" s="46"/>
      <c r="O7" s="46"/>
    </row>
    <row r="8" spans="1:134" ht="24" customHeight="1" x14ac:dyDescent="0.2">
      <c r="A8" s="176" t="s">
        <v>29</v>
      </c>
      <c r="B8" s="177"/>
      <c r="C8" s="45"/>
      <c r="D8" s="15">
        <v>37.345999999999997</v>
      </c>
      <c r="E8" s="46">
        <v>37.366999999999997</v>
      </c>
      <c r="F8" s="46">
        <v>37.363</v>
      </c>
      <c r="G8" s="46">
        <v>38.15</v>
      </c>
      <c r="H8" s="46">
        <v>38.33</v>
      </c>
      <c r="I8" s="46">
        <v>38.573</v>
      </c>
      <c r="J8" s="46">
        <v>37.923999999999999</v>
      </c>
      <c r="K8" s="46">
        <v>37.923999999999999</v>
      </c>
      <c r="L8" s="46">
        <v>38</v>
      </c>
      <c r="M8" s="46"/>
      <c r="N8" s="46"/>
      <c r="O8" s="46"/>
    </row>
    <row r="9" spans="1:134" ht="24" customHeight="1" x14ac:dyDescent="0.2">
      <c r="A9" s="176" t="s">
        <v>156</v>
      </c>
      <c r="B9" s="177"/>
      <c r="C9" s="9" t="s">
        <v>132</v>
      </c>
      <c r="D9" s="93">
        <v>26220</v>
      </c>
      <c r="E9" s="94">
        <v>26220</v>
      </c>
      <c r="F9" s="94">
        <v>26220</v>
      </c>
      <c r="G9" s="94">
        <v>24060</v>
      </c>
      <c r="H9" s="94">
        <v>24160</v>
      </c>
      <c r="I9" s="94">
        <v>23910</v>
      </c>
      <c r="J9" s="94">
        <v>23720</v>
      </c>
      <c r="K9" s="94">
        <v>24110</v>
      </c>
      <c r="L9" s="94">
        <v>24220</v>
      </c>
      <c r="M9" s="94"/>
      <c r="N9" s="94"/>
      <c r="O9" s="94"/>
      <c r="DT9" s="4" t="s">
        <v>279</v>
      </c>
      <c r="EB9" s="4" t="s">
        <v>300</v>
      </c>
      <c r="ED9" s="4" t="s">
        <v>301</v>
      </c>
    </row>
    <row r="10" spans="1:134" ht="24" customHeight="1" x14ac:dyDescent="0.2">
      <c r="A10" s="176" t="s">
        <v>20</v>
      </c>
      <c r="B10" s="177"/>
      <c r="C10" s="9" t="s">
        <v>132</v>
      </c>
      <c r="D10" s="93">
        <v>42490</v>
      </c>
      <c r="E10" s="94">
        <v>42490</v>
      </c>
      <c r="F10" s="94">
        <v>42490</v>
      </c>
      <c r="G10" s="94">
        <v>42490</v>
      </c>
      <c r="H10" s="94">
        <v>42490</v>
      </c>
      <c r="I10" s="94">
        <v>42490</v>
      </c>
      <c r="J10" s="94">
        <v>42490</v>
      </c>
      <c r="K10" s="94">
        <v>42490</v>
      </c>
      <c r="L10" s="94">
        <v>42490</v>
      </c>
      <c r="M10" s="94"/>
      <c r="N10" s="94"/>
      <c r="O10" s="94"/>
      <c r="DT10" s="4" t="s">
        <v>280</v>
      </c>
      <c r="EB10" s="4" t="s">
        <v>300</v>
      </c>
      <c r="ED10" s="4" t="s">
        <v>301</v>
      </c>
    </row>
    <row r="11" spans="1:134" s="13" customFormat="1" ht="15" customHeight="1" x14ac:dyDescent="0.2">
      <c r="A11" s="175" t="s">
        <v>18</v>
      </c>
      <c r="B11" s="110" t="s">
        <v>21</v>
      </c>
      <c r="C11" s="111" t="s">
        <v>132</v>
      </c>
      <c r="D11" s="115">
        <v>45540</v>
      </c>
      <c r="E11" s="115">
        <v>45540</v>
      </c>
      <c r="F11" s="116">
        <v>45540</v>
      </c>
      <c r="G11" s="116">
        <v>45540</v>
      </c>
      <c r="H11" s="116">
        <v>45540</v>
      </c>
      <c r="I11" s="116">
        <v>45540</v>
      </c>
      <c r="J11" s="116">
        <v>45540</v>
      </c>
      <c r="K11" s="116">
        <v>45540</v>
      </c>
      <c r="L11" s="116">
        <v>45540</v>
      </c>
      <c r="M11" s="116"/>
      <c r="N11" s="116"/>
      <c r="O11" s="116"/>
      <c r="DT11" s="13" t="s">
        <v>281</v>
      </c>
      <c r="EB11" s="13" t="s">
        <v>300</v>
      </c>
      <c r="ED11" s="13" t="s">
        <v>301</v>
      </c>
    </row>
    <row r="12" spans="1:134" s="13" customFormat="1" ht="15" customHeight="1" x14ac:dyDescent="0.2">
      <c r="A12" s="175"/>
      <c r="B12" s="110" t="s">
        <v>22</v>
      </c>
      <c r="C12" s="111" t="s">
        <v>132</v>
      </c>
      <c r="D12" s="115">
        <v>0</v>
      </c>
      <c r="E12" s="115">
        <v>0</v>
      </c>
      <c r="F12" s="115">
        <v>0</v>
      </c>
      <c r="G12" s="115">
        <v>0</v>
      </c>
      <c r="H12" s="115">
        <v>0</v>
      </c>
      <c r="I12" s="115">
        <v>0</v>
      </c>
      <c r="J12" s="115">
        <v>0</v>
      </c>
      <c r="K12" s="115">
        <v>0</v>
      </c>
      <c r="L12" s="115">
        <v>0</v>
      </c>
      <c r="M12" s="115"/>
      <c r="N12" s="115"/>
      <c r="O12" s="115"/>
      <c r="DT12" s="13" t="s">
        <v>282</v>
      </c>
      <c r="EB12" s="13" t="s">
        <v>300</v>
      </c>
      <c r="ED12" s="13" t="s">
        <v>301</v>
      </c>
    </row>
    <row r="13" spans="1:134" s="13" customFormat="1" ht="15" customHeight="1" x14ac:dyDescent="0.2">
      <c r="A13" s="175"/>
      <c r="B13" s="110" t="s">
        <v>23</v>
      </c>
      <c r="C13" s="111" t="s">
        <v>132</v>
      </c>
      <c r="D13" s="115">
        <v>42490</v>
      </c>
      <c r="E13" s="115">
        <v>42490</v>
      </c>
      <c r="F13" s="115">
        <v>42490</v>
      </c>
      <c r="G13" s="115">
        <v>42490</v>
      </c>
      <c r="H13" s="115">
        <v>42490</v>
      </c>
      <c r="I13" s="115">
        <v>42490</v>
      </c>
      <c r="J13" s="115">
        <v>42490</v>
      </c>
      <c r="K13" s="115">
        <v>42490</v>
      </c>
      <c r="L13" s="115">
        <v>42490</v>
      </c>
      <c r="M13" s="115"/>
      <c r="N13" s="115"/>
      <c r="O13" s="115"/>
      <c r="DT13" s="13" t="s">
        <v>283</v>
      </c>
      <c r="EB13" s="13" t="s">
        <v>300</v>
      </c>
      <c r="ED13" s="13" t="s">
        <v>301</v>
      </c>
    </row>
    <row r="14" spans="1:134" ht="24" customHeight="1" x14ac:dyDescent="0.2">
      <c r="A14" s="176" t="s">
        <v>24</v>
      </c>
      <c r="B14" s="177"/>
      <c r="C14" s="45"/>
      <c r="D14" s="15"/>
      <c r="E14" s="46"/>
      <c r="F14" s="46"/>
      <c r="G14" s="46"/>
      <c r="H14" s="46"/>
      <c r="I14" s="46"/>
      <c r="J14" s="46"/>
      <c r="K14" s="46"/>
      <c r="L14" s="46"/>
      <c r="M14" s="46"/>
      <c r="N14" s="46"/>
      <c r="O14" s="46"/>
    </row>
    <row r="15" spans="1:134" s="13" customFormat="1" ht="15" customHeight="1" x14ac:dyDescent="0.2">
      <c r="A15" s="175" t="s">
        <v>18</v>
      </c>
      <c r="B15" s="110" t="s">
        <v>26</v>
      </c>
      <c r="C15" s="14"/>
      <c r="D15" s="15"/>
      <c r="E15" s="12"/>
      <c r="F15" s="12"/>
      <c r="G15" s="12"/>
      <c r="H15" s="12"/>
      <c r="I15" s="12"/>
      <c r="J15" s="12"/>
      <c r="K15" s="12"/>
      <c r="L15" s="12"/>
      <c r="M15" s="12"/>
      <c r="N15" s="12"/>
      <c r="O15" s="12"/>
    </row>
    <row r="16" spans="1:134" s="13" customFormat="1" ht="15" customHeight="1" x14ac:dyDescent="0.2">
      <c r="A16" s="175"/>
      <c r="B16" s="110" t="s">
        <v>27</v>
      </c>
      <c r="C16" s="14"/>
      <c r="D16" s="15"/>
      <c r="E16" s="12"/>
      <c r="F16" s="12"/>
      <c r="G16" s="12"/>
      <c r="H16" s="12"/>
      <c r="I16" s="12"/>
      <c r="J16" s="12"/>
      <c r="K16" s="12"/>
      <c r="L16" s="12"/>
      <c r="M16" s="12"/>
      <c r="N16" s="12"/>
      <c r="O16" s="12"/>
    </row>
    <row r="17" spans="1:15" s="13" customFormat="1" ht="15" customHeight="1" x14ac:dyDescent="0.2">
      <c r="A17" s="175"/>
      <c r="B17" s="110" t="s">
        <v>28</v>
      </c>
      <c r="C17" s="14"/>
      <c r="D17" s="15"/>
      <c r="E17" s="12"/>
      <c r="F17" s="12"/>
      <c r="G17" s="12"/>
      <c r="H17" s="12"/>
      <c r="I17" s="12"/>
      <c r="J17" s="12"/>
      <c r="K17" s="12"/>
      <c r="L17" s="12"/>
      <c r="M17" s="12"/>
      <c r="N17" s="12"/>
      <c r="O17" s="12"/>
    </row>
    <row r="18" spans="1:15" s="13" customFormat="1" ht="15" customHeight="1" x14ac:dyDescent="0.2">
      <c r="A18" s="175"/>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A14" sqref="A14:B14"/>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8" t="s">
        <v>0</v>
      </c>
      <c r="B1" s="189"/>
      <c r="C1" s="31"/>
      <c r="D1" s="1"/>
      <c r="E1" s="2"/>
      <c r="F1" s="2"/>
      <c r="G1" s="2"/>
      <c r="H1" s="2"/>
      <c r="I1" s="2"/>
      <c r="J1" s="2"/>
      <c r="K1" s="3"/>
    </row>
    <row r="2" spans="1:11" ht="18" customHeight="1" x14ac:dyDescent="0.25">
      <c r="A2" s="190" t="s">
        <v>1</v>
      </c>
      <c r="B2" s="191"/>
      <c r="C2" s="1" t="str">
        <f>Cover!D15</f>
        <v>Latvia</v>
      </c>
      <c r="D2" s="1"/>
      <c r="E2" s="5"/>
      <c r="F2" s="3"/>
      <c r="G2" s="3"/>
      <c r="H2" s="3"/>
      <c r="I2" s="3"/>
      <c r="J2" s="3"/>
      <c r="K2" s="3"/>
    </row>
    <row r="3" spans="1:11" ht="18" customHeight="1" x14ac:dyDescent="0.25">
      <c r="A3" s="190" t="s">
        <v>2</v>
      </c>
      <c r="B3" s="192"/>
      <c r="C3" s="114">
        <v>2010</v>
      </c>
      <c r="D3" s="1"/>
      <c r="E3" s="5"/>
      <c r="F3" s="3"/>
      <c r="G3" s="3"/>
      <c r="H3" s="3"/>
      <c r="I3" s="3"/>
      <c r="J3" s="3"/>
      <c r="K3" s="3"/>
    </row>
    <row r="4" spans="1:11" ht="18" customHeight="1" x14ac:dyDescent="0.25">
      <c r="A4" s="193"/>
      <c r="B4" s="194"/>
      <c r="C4" s="31"/>
      <c r="D4" s="1"/>
      <c r="E4" s="5"/>
      <c r="F4" s="3"/>
      <c r="G4" s="3"/>
      <c r="H4" s="3"/>
      <c r="I4" s="3"/>
      <c r="J4" s="3"/>
      <c r="K4" s="3"/>
    </row>
    <row r="5" spans="1:11" ht="37.5" customHeight="1" x14ac:dyDescent="0.25">
      <c r="A5" s="185" t="s">
        <v>3</v>
      </c>
      <c r="B5" s="195"/>
      <c r="C5" s="6" t="s">
        <v>4</v>
      </c>
      <c r="D5" s="7" t="s">
        <v>5</v>
      </c>
      <c r="E5" s="6" t="s">
        <v>6</v>
      </c>
      <c r="F5" s="6" t="s">
        <v>7</v>
      </c>
      <c r="G5" s="6" t="s">
        <v>8</v>
      </c>
      <c r="H5" s="6" t="s">
        <v>9</v>
      </c>
      <c r="I5" s="6" t="s">
        <v>10</v>
      </c>
      <c r="J5" s="6" t="s">
        <v>11</v>
      </c>
      <c r="K5" s="7" t="s">
        <v>12</v>
      </c>
    </row>
    <row r="6" spans="1:11" ht="24" customHeight="1" x14ac:dyDescent="0.25">
      <c r="A6" s="187" t="s">
        <v>13</v>
      </c>
      <c r="B6" s="188"/>
      <c r="C6" s="108" t="s">
        <v>14</v>
      </c>
      <c r="D6" s="120">
        <f ca="1">SUM(E6:J6)</f>
        <v>1938</v>
      </c>
      <c r="E6" s="121">
        <f ca="1">INDIRECT(ADDRESS(ROW(K6),$C$3 -2010 + 4,,,"1a_SpaceHeating"))</f>
        <v>79.665999999999997</v>
      </c>
      <c r="F6" s="121">
        <f ca="1">INDIRECT(ADDRESS(ROW(K6),$C$3-2010+4,,,"1b_SpaceCooling"))</f>
        <v>0</v>
      </c>
      <c r="G6" s="121">
        <f ca="1">INDIRECT(ADDRESS(ROW(K6),$C$3-2010+4,,,"1c_WaterHeating"))</f>
        <v>384.82600000000002</v>
      </c>
      <c r="H6" s="121">
        <f ca="1">INDIRECT(ADDRESS(ROW(K6),$C$3-2010+4,,,"1d_Cooking"))</f>
        <v>170.03800000000001</v>
      </c>
      <c r="I6" s="121">
        <f ca="1">INDIRECT(ADDRESS(ROW(K6),$C$3-2010+4,,,"1e_LightingAndAppliances"))</f>
        <v>1303.47</v>
      </c>
      <c r="J6" s="121">
        <f ca="1">INDIRECT(ADDRESS(ROW(K6),$C$3-2010+4,,,"1f_OtherEndUses"))</f>
        <v>0</v>
      </c>
      <c r="K6" s="122"/>
    </row>
    <row r="7" spans="1:11" ht="24" customHeight="1" x14ac:dyDescent="0.25">
      <c r="A7" s="197" t="s">
        <v>15</v>
      </c>
      <c r="B7" s="198"/>
      <c r="C7" s="109" t="s">
        <v>16</v>
      </c>
      <c r="D7" s="123">
        <f t="shared" ref="D7:D16" ca="1" si="0">SUM(E7:J7)</f>
        <v>17622</v>
      </c>
      <c r="E7" s="124">
        <f t="shared" ref="E7:E16" ca="1" si="1">INDIRECT(ADDRESS(ROW(K7),$C$3 -2010 + 4,,,"1a_SpaceHeating"))</f>
        <v>12826.447</v>
      </c>
      <c r="F7" s="125"/>
      <c r="G7" s="124">
        <f t="shared" ref="G7:G16" ca="1" si="2">INDIRECT(ADDRESS(ROW(K7),$C$3-2010+4,,,"1c_WaterHeating"))</f>
        <v>4795.5529999999999</v>
      </c>
      <c r="H7" s="124">
        <f t="shared" ref="H7:H16" ca="1" si="3">INDIRECT(ADDRESS(ROW(K7),$C$3-2010+4,,,"1d_Cooking"))</f>
        <v>0</v>
      </c>
      <c r="I7" s="125"/>
      <c r="J7" s="124">
        <f t="shared" ref="J7:J17" ca="1" si="4">INDIRECT(ADDRESS(ROW(K7),$C$3-2010+4,,,"1f_OtherEndUses"))</f>
        <v>0</v>
      </c>
      <c r="K7" s="125"/>
    </row>
    <row r="8" spans="1:11" ht="24" customHeight="1" x14ac:dyDescent="0.25">
      <c r="A8" s="197" t="s">
        <v>29</v>
      </c>
      <c r="B8" s="198"/>
      <c r="C8" s="109" t="s">
        <v>17</v>
      </c>
      <c r="D8" s="123">
        <f t="shared" ca="1" si="0"/>
        <v>5789</v>
      </c>
      <c r="E8" s="124">
        <f t="shared" ca="1" si="1"/>
        <v>3018.45</v>
      </c>
      <c r="F8" s="125"/>
      <c r="G8" s="124">
        <f t="shared" ca="1" si="2"/>
        <v>1092.5319999999999</v>
      </c>
      <c r="H8" s="124">
        <f t="shared" ca="1" si="3"/>
        <v>1678.018</v>
      </c>
      <c r="I8" s="125"/>
      <c r="J8" s="124">
        <f t="shared" ca="1" si="4"/>
        <v>0</v>
      </c>
      <c r="K8" s="125"/>
    </row>
    <row r="9" spans="1:11" ht="24" customHeight="1" x14ac:dyDescent="0.25">
      <c r="A9" s="197" t="s">
        <v>156</v>
      </c>
      <c r="B9" s="198"/>
      <c r="C9" s="109" t="s">
        <v>19</v>
      </c>
      <c r="D9" s="123">
        <f t="shared" ca="1" si="0"/>
        <v>42</v>
      </c>
      <c r="E9" s="124">
        <f t="shared" ca="1" si="1"/>
        <v>36.823</v>
      </c>
      <c r="F9" s="125"/>
      <c r="G9" s="124">
        <f t="shared" ca="1" si="2"/>
        <v>5.1680000000000001</v>
      </c>
      <c r="H9" s="124">
        <f t="shared" ca="1" si="3"/>
        <v>8.9999999999999993E-3</v>
      </c>
      <c r="I9" s="125"/>
      <c r="J9" s="124">
        <f t="shared" ca="1" si="4"/>
        <v>0</v>
      </c>
      <c r="K9" s="126">
        <f ca="1">INDIRECT(ADDRESS(ROW(K9),$C$3-2010+4,,,"Calorific_Values"))</f>
        <v>26220</v>
      </c>
    </row>
    <row r="10" spans="1:11" ht="24" customHeight="1" x14ac:dyDescent="0.25">
      <c r="A10" s="197" t="s">
        <v>42</v>
      </c>
      <c r="B10" s="198"/>
      <c r="C10" s="109" t="s">
        <v>19</v>
      </c>
      <c r="D10" s="123">
        <f t="shared" ca="1" si="0"/>
        <v>50.998000000000005</v>
      </c>
      <c r="E10" s="124">
        <f t="shared" ca="1" si="1"/>
        <v>18.941000000000003</v>
      </c>
      <c r="F10" s="125"/>
      <c r="G10" s="124">
        <f t="shared" ca="1" si="2"/>
        <v>6.54</v>
      </c>
      <c r="H10" s="124">
        <f t="shared" ca="1" si="3"/>
        <v>17.654</v>
      </c>
      <c r="I10" s="125"/>
      <c r="J10" s="124">
        <f t="shared" ca="1" si="4"/>
        <v>7.8630000000000004</v>
      </c>
      <c r="K10" s="126">
        <f ca="1">INDIRECT(ADDRESS(ROW(K10),$C$3-2010+4,,,"Calorific_Values"))</f>
        <v>42490</v>
      </c>
    </row>
    <row r="11" spans="1:11" s="34" customFormat="1" ht="15" customHeight="1" x14ac:dyDescent="0.25">
      <c r="A11" s="196" t="s">
        <v>18</v>
      </c>
      <c r="B11" s="10" t="s">
        <v>21</v>
      </c>
      <c r="C11" s="11" t="s">
        <v>19</v>
      </c>
      <c r="D11" s="127">
        <f t="shared" ca="1" si="0"/>
        <v>20</v>
      </c>
      <c r="E11" s="128">
        <f t="shared" ca="1" si="1"/>
        <v>1.696</v>
      </c>
      <c r="F11" s="129"/>
      <c r="G11" s="128">
        <f t="shared" ca="1" si="2"/>
        <v>0.65</v>
      </c>
      <c r="H11" s="128">
        <f t="shared" ca="1" si="3"/>
        <v>17.654</v>
      </c>
      <c r="I11" s="129"/>
      <c r="J11" s="128">
        <f t="shared" ca="1" si="4"/>
        <v>0</v>
      </c>
      <c r="K11" s="130">
        <f t="shared" ref="K11:K13" ca="1" si="5">INDIRECT(ADDRESS(ROW(K11),$C$3-2010+4,,,"Calorific_Values"))</f>
        <v>45540</v>
      </c>
    </row>
    <row r="12" spans="1:11" s="34" customFormat="1" ht="15" customHeight="1" x14ac:dyDescent="0.25">
      <c r="A12" s="196"/>
      <c r="B12" s="10" t="s">
        <v>22</v>
      </c>
      <c r="C12" s="11" t="s">
        <v>19</v>
      </c>
      <c r="D12" s="127">
        <f t="shared" ca="1" si="0"/>
        <v>0</v>
      </c>
      <c r="E12" s="128">
        <f t="shared" ca="1" si="1"/>
        <v>0</v>
      </c>
      <c r="F12" s="129"/>
      <c r="G12" s="128">
        <f t="shared" ca="1" si="2"/>
        <v>0</v>
      </c>
      <c r="H12" s="128">
        <f t="shared" ca="1" si="3"/>
        <v>0</v>
      </c>
      <c r="I12" s="129"/>
      <c r="J12" s="128">
        <f t="shared" ca="1" si="4"/>
        <v>0</v>
      </c>
      <c r="K12" s="130">
        <f t="shared" ca="1" si="5"/>
        <v>0</v>
      </c>
    </row>
    <row r="13" spans="1:11" s="34" customFormat="1" ht="15" customHeight="1" x14ac:dyDescent="0.25">
      <c r="A13" s="196"/>
      <c r="B13" s="10" t="s">
        <v>23</v>
      </c>
      <c r="C13" s="11" t="s">
        <v>19</v>
      </c>
      <c r="D13" s="127">
        <f t="shared" ca="1" si="0"/>
        <v>24.994</v>
      </c>
      <c r="E13" s="128">
        <f t="shared" ca="1" si="1"/>
        <v>17.245000000000001</v>
      </c>
      <c r="F13" s="129"/>
      <c r="G13" s="128">
        <f t="shared" ca="1" si="2"/>
        <v>5.89</v>
      </c>
      <c r="H13" s="128">
        <f t="shared" ca="1" si="3"/>
        <v>0</v>
      </c>
      <c r="I13" s="129"/>
      <c r="J13" s="128">
        <f t="shared" ca="1" si="4"/>
        <v>1.859</v>
      </c>
      <c r="K13" s="130">
        <f t="shared" ca="1" si="5"/>
        <v>42490</v>
      </c>
    </row>
    <row r="14" spans="1:11" ht="24" customHeight="1" x14ac:dyDescent="0.25">
      <c r="A14" s="197" t="s">
        <v>43</v>
      </c>
      <c r="B14" s="198"/>
      <c r="C14" s="109" t="s">
        <v>16</v>
      </c>
      <c r="D14" s="123">
        <f t="shared" ca="1" si="0"/>
        <v>24978</v>
      </c>
      <c r="E14" s="124">
        <f t="shared" ca="1" si="1"/>
        <v>20659.931</v>
      </c>
      <c r="F14" s="125"/>
      <c r="G14" s="124">
        <f t="shared" ca="1" si="2"/>
        <v>3069.6320000000001</v>
      </c>
      <c r="H14" s="124">
        <f t="shared" ca="1" si="3"/>
        <v>1248.4369999999999</v>
      </c>
      <c r="I14" s="125"/>
      <c r="J14" s="124">
        <f t="shared" ca="1" si="4"/>
        <v>0</v>
      </c>
      <c r="K14" s="125"/>
    </row>
    <row r="15" spans="1:11" s="34" customFormat="1" ht="15" customHeight="1" x14ac:dyDescent="0.25">
      <c r="A15" s="196" t="s">
        <v>18</v>
      </c>
      <c r="B15" s="10" t="s">
        <v>26</v>
      </c>
      <c r="C15" s="11" t="s">
        <v>16</v>
      </c>
      <c r="D15" s="127">
        <f t="shared" ca="1" si="0"/>
        <v>0</v>
      </c>
      <c r="E15" s="128">
        <f t="shared" ca="1" si="1"/>
        <v>0</v>
      </c>
      <c r="F15" s="129"/>
      <c r="G15" s="128">
        <f t="shared" ca="1" si="2"/>
        <v>0</v>
      </c>
      <c r="H15" s="128">
        <f t="shared" ca="1" si="3"/>
        <v>0</v>
      </c>
      <c r="I15" s="129"/>
      <c r="J15" s="128">
        <f t="shared" ca="1" si="4"/>
        <v>0</v>
      </c>
      <c r="K15" s="129"/>
    </row>
    <row r="16" spans="1:11" s="34" customFormat="1" ht="15" customHeight="1" x14ac:dyDescent="0.25">
      <c r="A16" s="196"/>
      <c r="B16" s="10" t="s">
        <v>27</v>
      </c>
      <c r="C16" s="11" t="s">
        <v>16</v>
      </c>
      <c r="D16" s="127">
        <f t="shared" ca="1" si="0"/>
        <v>24976</v>
      </c>
      <c r="E16" s="128">
        <f t="shared" ca="1" si="1"/>
        <v>20659.931</v>
      </c>
      <c r="F16" s="129"/>
      <c r="G16" s="128">
        <f t="shared" ca="1" si="2"/>
        <v>3069.6320000000001</v>
      </c>
      <c r="H16" s="128">
        <f t="shared" ca="1" si="3"/>
        <v>1246.4369999999999</v>
      </c>
      <c r="I16" s="129"/>
      <c r="J16" s="128">
        <f t="shared" ca="1" si="4"/>
        <v>0</v>
      </c>
      <c r="K16" s="129"/>
    </row>
    <row r="17" spans="1:11" s="34" customFormat="1" ht="15" customHeight="1" x14ac:dyDescent="0.25">
      <c r="A17" s="196"/>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96"/>
      <c r="B18" s="34" t="s">
        <v>184</v>
      </c>
      <c r="C18" s="11" t="s">
        <v>16</v>
      </c>
      <c r="D18" s="127">
        <f ca="1">SUM(E18:J18)</f>
        <v>0</v>
      </c>
      <c r="E18" s="128">
        <f ca="1">INDIRECT(ADDRESS(ROW(K18),$C$3 -2010 + 4,,,"1a_SpaceHeating"))</f>
        <v>0</v>
      </c>
      <c r="F18" s="129"/>
      <c r="G18" s="128">
        <f ca="1">INDIRECT(ADDRESS(ROW(K18),$C$3-2010+4,,,"1c_WaterHeating"))</f>
        <v>0</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F8" sqref="F8"/>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8" t="s">
        <v>0</v>
      </c>
      <c r="B1" s="189"/>
      <c r="C1" s="31"/>
      <c r="D1" s="1"/>
      <c r="E1" s="2"/>
      <c r="F1" s="2"/>
      <c r="G1" s="2"/>
      <c r="H1" s="2"/>
      <c r="I1" s="2"/>
      <c r="J1" s="2"/>
      <c r="K1" s="3"/>
    </row>
    <row r="2" spans="1:11" ht="18" customHeight="1" x14ac:dyDescent="0.25">
      <c r="A2" s="190" t="s">
        <v>1</v>
      </c>
      <c r="B2" s="191"/>
      <c r="C2" s="1" t="str">
        <f>Cover!D15</f>
        <v>Latvia</v>
      </c>
      <c r="D2" s="1"/>
      <c r="E2" s="5"/>
      <c r="F2" s="3"/>
      <c r="G2" s="3"/>
      <c r="H2" s="3"/>
      <c r="I2" s="3"/>
      <c r="J2" s="3"/>
      <c r="K2" s="3"/>
    </row>
    <row r="3" spans="1:11" ht="18" customHeight="1" x14ac:dyDescent="0.25">
      <c r="A3" s="190" t="s">
        <v>2</v>
      </c>
      <c r="B3" s="191"/>
      <c r="C3" s="1">
        <f>Table1_Totals!C3</f>
        <v>2010</v>
      </c>
      <c r="D3" s="1"/>
      <c r="E3" s="5"/>
      <c r="F3" s="3"/>
      <c r="G3" s="3"/>
      <c r="H3" s="3"/>
      <c r="I3" s="3"/>
      <c r="J3" s="3"/>
      <c r="K3" s="3"/>
    </row>
    <row r="4" spans="1:11" ht="18" customHeight="1" x14ac:dyDescent="0.25">
      <c r="A4" s="193"/>
      <c r="B4" s="194"/>
      <c r="C4" s="31"/>
      <c r="D4" s="1"/>
      <c r="E4" s="5"/>
      <c r="F4" s="3"/>
      <c r="G4" s="3"/>
      <c r="H4" s="3"/>
      <c r="I4" s="3"/>
      <c r="J4" s="3"/>
      <c r="K4" s="3"/>
    </row>
    <row r="5" spans="1:11" ht="37.5" customHeight="1" x14ac:dyDescent="0.25">
      <c r="A5" s="185" t="s">
        <v>3</v>
      </c>
      <c r="B5" s="195"/>
      <c r="C5" s="6" t="s">
        <v>4</v>
      </c>
      <c r="D5" s="7" t="s">
        <v>5</v>
      </c>
      <c r="E5" s="6" t="s">
        <v>6</v>
      </c>
      <c r="F5" s="6" t="s">
        <v>7</v>
      </c>
      <c r="G5" s="6" t="s">
        <v>8</v>
      </c>
      <c r="H5" s="6" t="s">
        <v>9</v>
      </c>
      <c r="I5" s="6" t="s">
        <v>10</v>
      </c>
      <c r="J5" s="6" t="s">
        <v>11</v>
      </c>
      <c r="K5" s="7" t="s">
        <v>12</v>
      </c>
    </row>
    <row r="6" spans="1:11" ht="24" customHeight="1" x14ac:dyDescent="0.25">
      <c r="A6" s="187" t="s">
        <v>13</v>
      </c>
      <c r="B6" s="188"/>
      <c r="C6" s="108" t="s">
        <v>16</v>
      </c>
      <c r="D6" s="120">
        <f ca="1">SUM(E6:J6)</f>
        <v>6976.8000000000011</v>
      </c>
      <c r="E6" s="121">
        <f ca="1">Table1_Totals!E6*3.6</f>
        <v>286.79759999999999</v>
      </c>
      <c r="F6" s="121">
        <f ca="1">Table1_Totals!F6*3.6</f>
        <v>0</v>
      </c>
      <c r="G6" s="121">
        <f ca="1">Table1_Totals!G6*3.6</f>
        <v>1385.3736000000001</v>
      </c>
      <c r="H6" s="121">
        <f ca="1">Table1_Totals!H6*3.6</f>
        <v>612.13680000000011</v>
      </c>
      <c r="I6" s="121">
        <f ca="1">Table1_Totals!I6*3.6</f>
        <v>4692.4920000000002</v>
      </c>
      <c r="J6" s="121">
        <f ca="1">Table1_Totals!J6*3.6</f>
        <v>0</v>
      </c>
      <c r="K6" s="122"/>
    </row>
    <row r="7" spans="1:11" ht="24" customHeight="1" x14ac:dyDescent="0.25">
      <c r="A7" s="197" t="s">
        <v>15</v>
      </c>
      <c r="B7" s="198"/>
      <c r="C7" s="109" t="s">
        <v>16</v>
      </c>
      <c r="D7" s="123">
        <f t="shared" ref="D7:D18" ca="1" si="0">SUM(E7:J7)</f>
        <v>17622</v>
      </c>
      <c r="E7" s="124">
        <f ca="1">Table1_Totals!E7</f>
        <v>12826.447</v>
      </c>
      <c r="F7" s="125"/>
      <c r="G7" s="124">
        <f ca="1">Table1_Totals!G7</f>
        <v>4795.5529999999999</v>
      </c>
      <c r="H7" s="124">
        <f ca="1">Table1_Totals!H7</f>
        <v>0</v>
      </c>
      <c r="I7" s="125"/>
      <c r="J7" s="124">
        <f ca="1">Table1_Totals!J7</f>
        <v>0</v>
      </c>
      <c r="K7" s="125"/>
    </row>
    <row r="8" spans="1:11" ht="24" customHeight="1" x14ac:dyDescent="0.25">
      <c r="A8" s="197" t="s">
        <v>29</v>
      </c>
      <c r="B8" s="198"/>
      <c r="C8" s="109" t="s">
        <v>16</v>
      </c>
      <c r="D8" s="123">
        <f t="shared" ca="1" si="0"/>
        <v>5210.1000000000004</v>
      </c>
      <c r="E8" s="124">
        <f ca="1">Table1_Totals!E8*0.9</f>
        <v>2716.605</v>
      </c>
      <c r="F8" s="125"/>
      <c r="G8" s="124">
        <f ca="1">Table1_Totals!G8*0.9</f>
        <v>983.27879999999993</v>
      </c>
      <c r="H8" s="124">
        <f ca="1">Table1_Totals!H8*0.9</f>
        <v>1510.2162000000001</v>
      </c>
      <c r="I8" s="125"/>
      <c r="J8" s="124">
        <f ca="1">Table1_Totals!J8*0.9</f>
        <v>0</v>
      </c>
      <c r="K8" s="125"/>
    </row>
    <row r="9" spans="1:11" ht="24" customHeight="1" x14ac:dyDescent="0.25">
      <c r="A9" s="197" t="s">
        <v>156</v>
      </c>
      <c r="B9" s="198"/>
      <c r="C9" s="109" t="s">
        <v>16</v>
      </c>
      <c r="D9" s="123">
        <f t="shared" ca="1" si="0"/>
        <v>1101.24</v>
      </c>
      <c r="E9" s="124">
        <f ca="1">IF(Table1_Totals!E9&lt;&gt;0,IF(Table1_Totals!$K9&lt;&gt;0,Table1_Totals!E9*Table1_Totals!$K9/1000,"Please check CV"),"0,000")</f>
        <v>965.4990600000001</v>
      </c>
      <c r="F9" s="125"/>
      <c r="G9" s="124">
        <f ca="1">IF(Table1_Totals!G9&lt;&gt;0,IF(Table1_Totals!$K9&lt;&gt;0,Table1_Totals!G9*Table1_Totals!$K$9/1000,"Please check CV"),"0,000")</f>
        <v>135.50495999999998</v>
      </c>
      <c r="H9" s="124">
        <f ca="1">IF(Table1_Totals!H9&lt;&gt;0,IF(Table1_Totals!$K9&lt;&gt;0,Table1_Totals!H9*Table1_Totals!$K$9/1000,"Please check CV"),"0,000")</f>
        <v>0.23598</v>
      </c>
      <c r="I9" s="125"/>
      <c r="J9" s="124" t="str">
        <f ca="1">IF(Table1_Totals!J9&lt;&gt;0,IF(Table1_Totals!$K9&lt;&gt;0,Table1_Totals!J9*Table1_Totals!$K$9/1000,"Please check CV"),"0,000")</f>
        <v>0,000</v>
      </c>
      <c r="K9" s="126">
        <f ca="1">Table1_Totals!K9</f>
        <v>26220</v>
      </c>
    </row>
    <row r="10" spans="1:11" ht="24" customHeight="1" x14ac:dyDescent="0.25">
      <c r="A10" s="197" t="s">
        <v>42</v>
      </c>
      <c r="B10" s="198"/>
      <c r="C10" s="109" t="s">
        <v>16</v>
      </c>
      <c r="D10" s="123">
        <f t="shared" ca="1" si="0"/>
        <v>2166.9050200000001</v>
      </c>
      <c r="E10" s="124">
        <f ca="1">IF(Table1_Totals!E10&lt;&gt;0,IF(Table1_Totals!$K10&lt;&gt;0,Table1_Totals!E10*Table1_Totals!$K10/1000,"Please check CV"),"0,000")</f>
        <v>804.80309000000011</v>
      </c>
      <c r="F10" s="125"/>
      <c r="G10" s="124">
        <f ca="1">IF(Table1_Totals!G10&lt;&gt;0,IF(Table1_Totals!$K10&lt;&gt;0,Table1_Totals!G10*Table1_Totals!$K10/1000,"Please check CV"),"0,000")</f>
        <v>277.88459999999998</v>
      </c>
      <c r="H10" s="124">
        <f ca="1">IF(Table1_Totals!H10&lt;&gt;0,IF(Table1_Totals!$K10&lt;&gt;0,Table1_Totals!H10*Table1_Totals!$K10/1000,"Please check CV"),"0,000")</f>
        <v>750.11845999999991</v>
      </c>
      <c r="I10" s="125"/>
      <c r="J10" s="124">
        <f ca="1">IF(Table1_Totals!J10&lt;&gt;0,IF(Table1_Totals!$K10&lt;&gt;0,Table1_Totals!J10*Table1_Totals!$K10/1000,"Please check CV"),"0,000")</f>
        <v>334.09886999999998</v>
      </c>
      <c r="K10" s="126">
        <f ca="1">Table1_Totals!K10</f>
        <v>42490</v>
      </c>
    </row>
    <row r="11" spans="1:11" s="34" customFormat="1" ht="15" customHeight="1" x14ac:dyDescent="0.25">
      <c r="A11" s="196" t="s">
        <v>18</v>
      </c>
      <c r="B11" s="10" t="s">
        <v>21</v>
      </c>
      <c r="C11" s="11" t="s">
        <v>16</v>
      </c>
      <c r="D11" s="127">
        <f t="shared" ca="1" si="0"/>
        <v>910.8</v>
      </c>
      <c r="E11" s="128">
        <f ca="1">IF(Table1_Totals!E11&lt;&gt;0,IF(Table1_Totals!$K11&lt;&gt;0,Table1_Totals!E11*Table1_Totals!$K11/1000,"Please check CV"),"0,000")</f>
        <v>77.235839999999996</v>
      </c>
      <c r="F11" s="129"/>
      <c r="G11" s="128">
        <f ca="1">IF(Table1_Totals!G11&lt;&gt;0,IF(Table1_Totals!$K11&lt;&gt;0,Table1_Totals!G11*Table1_Totals!$K11/1000,"Please check CV"),"0,000")</f>
        <v>29.600999999999999</v>
      </c>
      <c r="H11" s="128">
        <f ca="1">IF(Table1_Totals!H11&lt;&gt;0,IF(Table1_Totals!$K11&lt;&gt;0,Table1_Totals!H11*Table1_Totals!$K11/1000,"Please check CV"),"0,000")</f>
        <v>803.96316000000002</v>
      </c>
      <c r="I11" s="129"/>
      <c r="J11" s="128" t="str">
        <f ca="1">IF(Table1_Totals!J11&lt;&gt;0,IF(Table1_Totals!$K11&lt;&gt;0,Table1_Totals!J11*Table1_Totals!$K11/1000,"Please check CV"),"0,000")</f>
        <v>0,000</v>
      </c>
      <c r="K11" s="130">
        <f ca="1">Table1_Totals!K11</f>
        <v>45540</v>
      </c>
    </row>
    <row r="12" spans="1:11" s="34" customFormat="1" ht="15" customHeight="1" x14ac:dyDescent="0.25">
      <c r="A12" s="196"/>
      <c r="B12" s="10" t="s">
        <v>22</v>
      </c>
      <c r="C12" s="11" t="s">
        <v>16</v>
      </c>
      <c r="D12" s="127">
        <f t="shared" ca="1" si="0"/>
        <v>0</v>
      </c>
      <c r="E12" s="128" t="str">
        <f ca="1">IF(Table1_Totals!E12&lt;&gt;0,IF(Table1_Totals!$K12&lt;&gt;0,Table1_Totals!E12*Table1_Totals!$K12/1000,"Please check CV"),"0,000")</f>
        <v>0,000</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0</v>
      </c>
    </row>
    <row r="13" spans="1:11" s="34" customFormat="1" ht="15" customHeight="1" x14ac:dyDescent="0.25">
      <c r="A13" s="196"/>
      <c r="B13" s="10" t="s">
        <v>23</v>
      </c>
      <c r="C13" s="11" t="s">
        <v>16</v>
      </c>
      <c r="D13" s="127">
        <f t="shared" ca="1" si="0"/>
        <v>1061.99506</v>
      </c>
      <c r="E13" s="128">
        <f ca="1">IF(Table1_Totals!E13&lt;&gt;0,IF(Table1_Totals!$K13&lt;&gt;0,Table1_Totals!E13*Table1_Totals!$K13/1000,"Please check CV"),"0,000")</f>
        <v>732.74005</v>
      </c>
      <c r="F13" s="129"/>
      <c r="G13" s="128">
        <f ca="1">IF(Table1_Totals!G13&lt;&gt;0,IF(Table1_Totals!$K13&lt;&gt;0,Table1_Totals!G13*Table1_Totals!$K13/1000,"Please check CV"),"0,000")</f>
        <v>250.26609999999997</v>
      </c>
      <c r="H13" s="128" t="str">
        <f ca="1">IF(Table1_Totals!H13&lt;&gt;0,IF(Table1_Totals!$K13&lt;&gt;0,Table1_Totals!H13*Table1_Totals!$K13/1000,"Please check CV"),"0,000")</f>
        <v>0,000</v>
      </c>
      <c r="I13" s="129"/>
      <c r="J13" s="128">
        <f ca="1">IF(Table1_Totals!J13&lt;&gt;0,IF(Table1_Totals!$K13&lt;&gt;0,Table1_Totals!J13*Table1_Totals!$K13/1000,"Please check CV"),"0,000")</f>
        <v>78.988910000000004</v>
      </c>
      <c r="K13" s="130">
        <f ca="1">Table1_Totals!K13</f>
        <v>42490</v>
      </c>
    </row>
    <row r="14" spans="1:11" ht="24" customHeight="1" x14ac:dyDescent="0.25">
      <c r="A14" s="197" t="s">
        <v>43</v>
      </c>
      <c r="B14" s="198"/>
      <c r="C14" s="109" t="s">
        <v>16</v>
      </c>
      <c r="D14" s="123">
        <f t="shared" ca="1" si="0"/>
        <v>24978</v>
      </c>
      <c r="E14" s="124">
        <f ca="1">Table1_Totals!E14</f>
        <v>20659.931</v>
      </c>
      <c r="F14" s="125"/>
      <c r="G14" s="124">
        <f ca="1">Table1_Totals!G14</f>
        <v>3069.6320000000001</v>
      </c>
      <c r="H14" s="124">
        <f ca="1">Table1_Totals!H14</f>
        <v>1248.4369999999999</v>
      </c>
      <c r="I14" s="125"/>
      <c r="J14" s="124">
        <f ca="1">Table1_Totals!J14</f>
        <v>0</v>
      </c>
      <c r="K14" s="125"/>
    </row>
    <row r="15" spans="1:11" s="34" customFormat="1" ht="15" customHeight="1" x14ac:dyDescent="0.25">
      <c r="A15" s="196" t="s">
        <v>18</v>
      </c>
      <c r="B15" s="10" t="s">
        <v>26</v>
      </c>
      <c r="C15" s="11" t="s">
        <v>16</v>
      </c>
      <c r="D15" s="127">
        <f t="shared" ca="1" si="0"/>
        <v>0</v>
      </c>
      <c r="E15" s="128">
        <f ca="1">Table1_Totals!E15</f>
        <v>0</v>
      </c>
      <c r="F15" s="129"/>
      <c r="G15" s="128">
        <f ca="1">Table1_Totals!G15</f>
        <v>0</v>
      </c>
      <c r="H15" s="128">
        <f ca="1">Table1_Totals!H15</f>
        <v>0</v>
      </c>
      <c r="I15" s="129"/>
      <c r="J15" s="128">
        <f ca="1">Table1_Totals!J15</f>
        <v>0</v>
      </c>
      <c r="K15" s="129"/>
    </row>
    <row r="16" spans="1:11" s="34" customFormat="1" ht="15" customHeight="1" x14ac:dyDescent="0.25">
      <c r="A16" s="196"/>
      <c r="B16" s="10" t="s">
        <v>27</v>
      </c>
      <c r="C16" s="11" t="s">
        <v>16</v>
      </c>
      <c r="D16" s="127">
        <f t="shared" ca="1" si="0"/>
        <v>24976</v>
      </c>
      <c r="E16" s="128">
        <f ca="1">Table1_Totals!E16</f>
        <v>20659.931</v>
      </c>
      <c r="F16" s="129"/>
      <c r="G16" s="128">
        <f ca="1">Table1_Totals!G16</f>
        <v>3069.6320000000001</v>
      </c>
      <c r="H16" s="128">
        <f ca="1">Table1_Totals!H16</f>
        <v>1246.4369999999999</v>
      </c>
      <c r="I16" s="129"/>
      <c r="J16" s="128">
        <f ca="1">Table1_Totals!J16</f>
        <v>0</v>
      </c>
      <c r="K16" s="129"/>
    </row>
    <row r="17" spans="1:11" s="34" customFormat="1" ht="15" customHeight="1" x14ac:dyDescent="0.25">
      <c r="A17" s="196"/>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96"/>
      <c r="B18" s="34" t="s">
        <v>184</v>
      </c>
      <c r="C18" s="11" t="s">
        <v>16</v>
      </c>
      <c r="D18" s="127">
        <f t="shared" ca="1" si="0"/>
        <v>0</v>
      </c>
      <c r="E18" s="128">
        <f ca="1">Table1_Totals!E18</f>
        <v>0</v>
      </c>
      <c r="F18" s="129"/>
      <c r="G18" s="128">
        <f ca="1">Table1_Totals!G18</f>
        <v>0</v>
      </c>
      <c r="H18" s="128">
        <f ca="1">Table1_Totals!H18</f>
        <v>0</v>
      </c>
      <c r="I18" s="129"/>
      <c r="J18" s="128">
        <f ca="1">Table1_Totals!J18</f>
        <v>0</v>
      </c>
      <c r="K18" s="129"/>
    </row>
    <row r="19" spans="1:11" ht="24" customHeight="1" x14ac:dyDescent="0.25">
      <c r="A19" s="197" t="s">
        <v>171</v>
      </c>
      <c r="B19" s="198"/>
      <c r="C19" s="109" t="s">
        <v>16</v>
      </c>
      <c r="D19" s="123">
        <f t="shared" ref="D19" ca="1" si="2">SUM(E19:J19)</f>
        <v>58055.045020000005</v>
      </c>
      <c r="E19" s="124">
        <f ca="1">SUM(E6:E10,E14)</f>
        <v>38260.082750000001</v>
      </c>
      <c r="F19" s="124">
        <f t="shared" ref="F19:J19" ca="1" si="3">SUM(F6:F10,F14)</f>
        <v>0</v>
      </c>
      <c r="G19" s="124">
        <f t="shared" ca="1" si="3"/>
        <v>10647.22696</v>
      </c>
      <c r="H19" s="124">
        <f t="shared" ca="1" si="3"/>
        <v>4121.14444</v>
      </c>
      <c r="I19" s="124">
        <f t="shared" ca="1" si="3"/>
        <v>4692.4920000000002</v>
      </c>
      <c r="J19" s="124">
        <f t="shared" ca="1" si="3"/>
        <v>334.09886999999998</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D1" activePane="topRight" state="frozen"/>
      <selection activeCell="DS1" sqref="DS1:ED1048576"/>
      <selection pane="topRight" activeCell="G27" sqref="G27"/>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8" t="s">
        <v>0</v>
      </c>
      <c r="B1" s="201"/>
      <c r="C1" s="31"/>
      <c r="D1" s="1"/>
      <c r="E1" s="2"/>
      <c r="F1" s="2"/>
      <c r="G1" s="2"/>
      <c r="H1" s="2"/>
      <c r="I1" s="2"/>
      <c r="J1" s="2"/>
      <c r="K1" s="2"/>
      <c r="L1" s="2"/>
      <c r="M1" s="2"/>
      <c r="N1" s="2"/>
      <c r="O1" s="2"/>
    </row>
    <row r="2" spans="1:134" ht="18" customHeight="1" x14ac:dyDescent="0.25">
      <c r="A2" s="180"/>
      <c r="B2" s="194"/>
      <c r="C2" s="1"/>
      <c r="D2" s="1"/>
      <c r="E2" s="5"/>
      <c r="F2" s="3"/>
      <c r="G2" s="3"/>
      <c r="H2" s="3"/>
      <c r="I2" s="3"/>
      <c r="J2" s="3"/>
      <c r="K2" s="3"/>
      <c r="L2" s="3"/>
      <c r="M2" s="3"/>
      <c r="N2" s="3"/>
      <c r="O2" s="3"/>
    </row>
    <row r="3" spans="1:134" ht="18" customHeight="1" x14ac:dyDescent="0.25">
      <c r="A3" s="182" t="s">
        <v>30</v>
      </c>
      <c r="B3" s="202"/>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5"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3" t="s">
        <v>13</v>
      </c>
      <c r="B6" s="199"/>
      <c r="C6" s="8" t="s">
        <v>14</v>
      </c>
      <c r="D6" s="59">
        <v>79.665999999999997</v>
      </c>
      <c r="E6" s="60">
        <v>72.841999999999999</v>
      </c>
      <c r="F6" s="60">
        <v>73.006</v>
      </c>
      <c r="G6" s="60">
        <v>73.293999999999997</v>
      </c>
      <c r="H6" s="60">
        <v>71.813999999999993</v>
      </c>
      <c r="I6" s="60">
        <v>72.308000000000007</v>
      </c>
      <c r="J6" s="60">
        <v>73.704999999999998</v>
      </c>
      <c r="K6" s="60">
        <v>68.093000000000004</v>
      </c>
      <c r="L6" s="60">
        <v>68.652000000000001</v>
      </c>
      <c r="M6" s="60"/>
      <c r="N6" s="60"/>
      <c r="O6" s="60"/>
      <c r="DS6" s="4" t="str">
        <f>VLOOKUP(Cover!$D$15, Country_list!$B$3:$C$44, 2, 0)</f>
        <v>LV</v>
      </c>
      <c r="DT6" s="33" t="s">
        <v>289</v>
      </c>
      <c r="DV6" s="33" t="s">
        <v>302</v>
      </c>
      <c r="EB6" s="33" t="s">
        <v>291</v>
      </c>
      <c r="ED6" s="33" t="s">
        <v>294</v>
      </c>
    </row>
    <row r="7" spans="1:134" ht="24" customHeight="1" x14ac:dyDescent="0.25">
      <c r="A7" s="176" t="s">
        <v>15</v>
      </c>
      <c r="B7" s="200"/>
      <c r="C7" s="9" t="s">
        <v>25</v>
      </c>
      <c r="D7" s="61">
        <v>12826.447</v>
      </c>
      <c r="E7" s="58">
        <v>11185.838</v>
      </c>
      <c r="F7" s="58">
        <v>11731.009</v>
      </c>
      <c r="G7" s="58">
        <v>11222.959000000001</v>
      </c>
      <c r="H7" s="58">
        <v>10685.794</v>
      </c>
      <c r="I7" s="58">
        <v>10263.632</v>
      </c>
      <c r="J7" s="58">
        <v>11259.352000000001</v>
      </c>
      <c r="K7" s="58">
        <v>11349.628000000001</v>
      </c>
      <c r="L7" s="58">
        <v>11305.717210942639</v>
      </c>
      <c r="M7" s="58"/>
      <c r="N7" s="58"/>
      <c r="O7" s="58"/>
      <c r="DT7" s="33" t="s">
        <v>290</v>
      </c>
      <c r="EB7" s="33" t="s">
        <v>291</v>
      </c>
      <c r="ED7" s="33" t="s">
        <v>295</v>
      </c>
    </row>
    <row r="8" spans="1:134" ht="24" customHeight="1" x14ac:dyDescent="0.25">
      <c r="A8" s="176" t="s">
        <v>29</v>
      </c>
      <c r="B8" s="200"/>
      <c r="C8" s="9" t="s">
        <v>17</v>
      </c>
      <c r="D8" s="61">
        <v>3018.45</v>
      </c>
      <c r="E8" s="58">
        <v>2591.415</v>
      </c>
      <c r="F8" s="58">
        <v>2590.893</v>
      </c>
      <c r="G8" s="58">
        <v>2466.797</v>
      </c>
      <c r="H8" s="58">
        <v>2457.933</v>
      </c>
      <c r="I8" s="58">
        <v>2379.1999999999998</v>
      </c>
      <c r="J8" s="58">
        <v>2579.944</v>
      </c>
      <c r="K8" s="58">
        <v>2700.85</v>
      </c>
      <c r="L8" s="58">
        <v>2890.8969638143399</v>
      </c>
      <c r="M8" s="58"/>
      <c r="N8" s="58"/>
      <c r="O8" s="58"/>
      <c r="DT8" s="33" t="s">
        <v>231</v>
      </c>
      <c r="EB8" s="33" t="s">
        <v>291</v>
      </c>
      <c r="ED8" s="33" t="s">
        <v>296</v>
      </c>
    </row>
    <row r="9" spans="1:134" ht="24" customHeight="1" x14ac:dyDescent="0.25">
      <c r="A9" s="176" t="s">
        <v>156</v>
      </c>
      <c r="B9" s="200"/>
      <c r="C9" s="9" t="s">
        <v>19</v>
      </c>
      <c r="D9" s="61">
        <v>36.823</v>
      </c>
      <c r="E9" s="58">
        <v>31.341000000000001</v>
      </c>
      <c r="F9" s="58">
        <v>19.152999999999999</v>
      </c>
      <c r="G9" s="58">
        <v>19.152999999999999</v>
      </c>
      <c r="H9" s="58">
        <v>19.152999999999999</v>
      </c>
      <c r="I9" s="58">
        <v>18.282</v>
      </c>
      <c r="J9" s="58">
        <v>18.282</v>
      </c>
      <c r="K9" s="58">
        <v>14.8</v>
      </c>
      <c r="L9" s="58">
        <v>9.9209988647137308</v>
      </c>
      <c r="M9" s="58"/>
      <c r="N9" s="58"/>
      <c r="O9" s="58"/>
      <c r="DT9" s="33" t="s">
        <v>279</v>
      </c>
      <c r="EB9" s="33" t="s">
        <v>292</v>
      </c>
      <c r="ED9" s="33" t="s">
        <v>293</v>
      </c>
    </row>
    <row r="10" spans="1:134" ht="24" customHeight="1" x14ac:dyDescent="0.25">
      <c r="A10" s="176" t="s">
        <v>20</v>
      </c>
      <c r="B10" s="200"/>
      <c r="C10" s="9" t="s">
        <v>19</v>
      </c>
      <c r="D10" s="61">
        <v>18.941000000000003</v>
      </c>
      <c r="E10" s="58">
        <v>18.941000000000003</v>
      </c>
      <c r="F10" s="58">
        <v>18.941000000000003</v>
      </c>
      <c r="G10" s="58">
        <v>18.941000000000003</v>
      </c>
      <c r="H10" s="58">
        <v>19.11</v>
      </c>
      <c r="I10" s="58">
        <v>18.509999999999998</v>
      </c>
      <c r="J10" s="58">
        <v>20.123999999999999</v>
      </c>
      <c r="K10" s="58">
        <v>22.719000000000001</v>
      </c>
      <c r="L10" s="58">
        <v>23.878553766834621</v>
      </c>
      <c r="M10" s="58"/>
      <c r="N10" s="58"/>
      <c r="O10" s="58"/>
      <c r="DT10" s="139" t="s">
        <v>280</v>
      </c>
      <c r="EB10" s="33" t="s">
        <v>292</v>
      </c>
      <c r="ED10" s="33" t="s">
        <v>293</v>
      </c>
    </row>
    <row r="11" spans="1:134" s="34" customFormat="1" ht="15" customHeight="1" x14ac:dyDescent="0.25">
      <c r="A11" s="175" t="s">
        <v>18</v>
      </c>
      <c r="B11" s="110" t="s">
        <v>21</v>
      </c>
      <c r="C11" s="111" t="s">
        <v>19</v>
      </c>
      <c r="D11" s="112">
        <v>1.696</v>
      </c>
      <c r="E11" s="113">
        <v>1.696</v>
      </c>
      <c r="F11" s="113">
        <v>1.696</v>
      </c>
      <c r="G11" s="113">
        <v>1.696</v>
      </c>
      <c r="H11" s="113">
        <v>1.865</v>
      </c>
      <c r="I11" s="113">
        <v>1.4410000000000001</v>
      </c>
      <c r="J11" s="113">
        <v>1.4410000000000001</v>
      </c>
      <c r="K11" s="113">
        <v>1.478</v>
      </c>
      <c r="L11" s="113">
        <v>1.2639390840874423</v>
      </c>
      <c r="M11" s="113"/>
      <c r="N11" s="113"/>
      <c r="O11" s="113"/>
      <c r="DT11" s="34" t="s">
        <v>281</v>
      </c>
      <c r="EB11" s="34" t="s">
        <v>292</v>
      </c>
      <c r="ED11" s="34" t="s">
        <v>293</v>
      </c>
    </row>
    <row r="12" spans="1:134" s="34" customFormat="1" ht="15" customHeight="1" x14ac:dyDescent="0.25">
      <c r="A12" s="175"/>
      <c r="B12" s="110" t="s">
        <v>22</v>
      </c>
      <c r="C12" s="111" t="s">
        <v>19</v>
      </c>
      <c r="D12" s="112">
        <v>0</v>
      </c>
      <c r="E12" s="113">
        <v>0</v>
      </c>
      <c r="F12" s="113">
        <v>0</v>
      </c>
      <c r="G12" s="113">
        <v>0</v>
      </c>
      <c r="H12" s="113">
        <v>0</v>
      </c>
      <c r="I12" s="113">
        <v>0</v>
      </c>
      <c r="J12" s="113">
        <v>0</v>
      </c>
      <c r="K12" s="113">
        <v>0</v>
      </c>
      <c r="L12" s="113">
        <v>0</v>
      </c>
      <c r="M12" s="113"/>
      <c r="N12" s="113"/>
      <c r="O12" s="113"/>
      <c r="DT12" s="34" t="s">
        <v>282</v>
      </c>
      <c r="EB12" s="34" t="s">
        <v>292</v>
      </c>
      <c r="ED12" s="34" t="s">
        <v>293</v>
      </c>
    </row>
    <row r="13" spans="1:134" s="34" customFormat="1" ht="15" customHeight="1" x14ac:dyDescent="0.25">
      <c r="A13" s="175"/>
      <c r="B13" s="110" t="s">
        <v>23</v>
      </c>
      <c r="C13" s="111" t="s">
        <v>19</v>
      </c>
      <c r="D13" s="112">
        <v>17.245000000000001</v>
      </c>
      <c r="E13" s="113">
        <v>17.245000000000001</v>
      </c>
      <c r="F13" s="113">
        <v>17.245000000000001</v>
      </c>
      <c r="G13" s="113">
        <v>17.245000000000001</v>
      </c>
      <c r="H13" s="113">
        <v>17.245000000000001</v>
      </c>
      <c r="I13" s="113">
        <v>17.068999999999999</v>
      </c>
      <c r="J13" s="113">
        <v>18.683</v>
      </c>
      <c r="K13" s="113">
        <v>21.241</v>
      </c>
      <c r="L13" s="113">
        <v>22.614614682747177</v>
      </c>
      <c r="M13" s="113"/>
      <c r="N13" s="113"/>
      <c r="O13" s="113"/>
      <c r="DT13" s="34" t="s">
        <v>283</v>
      </c>
      <c r="EB13" s="34" t="s">
        <v>292</v>
      </c>
      <c r="ED13" s="34" t="s">
        <v>293</v>
      </c>
    </row>
    <row r="14" spans="1:134" ht="24" customHeight="1" x14ac:dyDescent="0.25">
      <c r="A14" s="176" t="s">
        <v>24</v>
      </c>
      <c r="B14" s="200"/>
      <c r="C14" s="9" t="s">
        <v>25</v>
      </c>
      <c r="D14" s="61">
        <v>20659.931</v>
      </c>
      <c r="E14" s="58">
        <v>21578.187000000002</v>
      </c>
      <c r="F14" s="58">
        <v>22967.98</v>
      </c>
      <c r="G14" s="58">
        <v>19941.044000000002</v>
      </c>
      <c r="H14" s="58">
        <v>19597.732</v>
      </c>
      <c r="I14" s="58">
        <v>15825.438</v>
      </c>
      <c r="J14" s="58">
        <v>15551.616</v>
      </c>
      <c r="K14" s="58">
        <v>17449.345000000001</v>
      </c>
      <c r="L14" s="58">
        <v>18516.952891849753</v>
      </c>
      <c r="M14" s="58"/>
      <c r="N14" s="58"/>
      <c r="O14" s="58"/>
      <c r="DT14" s="139" t="s">
        <v>284</v>
      </c>
      <c r="EB14" s="33" t="s">
        <v>291</v>
      </c>
      <c r="ED14" s="33" t="s">
        <v>295</v>
      </c>
    </row>
    <row r="15" spans="1:134" s="34" customFormat="1" ht="15" customHeight="1" x14ac:dyDescent="0.25">
      <c r="A15" s="175" t="s">
        <v>18</v>
      </c>
      <c r="B15" s="110" t="s">
        <v>26</v>
      </c>
      <c r="C15" s="111" t="s">
        <v>25</v>
      </c>
      <c r="D15" s="112">
        <v>0</v>
      </c>
      <c r="E15" s="113">
        <v>0</v>
      </c>
      <c r="F15" s="113">
        <v>0</v>
      </c>
      <c r="G15" s="113">
        <v>0</v>
      </c>
      <c r="H15" s="113">
        <v>0</v>
      </c>
      <c r="I15" s="113">
        <v>0</v>
      </c>
      <c r="J15" s="113">
        <v>0</v>
      </c>
      <c r="K15" s="113">
        <v>0</v>
      </c>
      <c r="L15" s="113">
        <v>0</v>
      </c>
      <c r="M15" s="113"/>
      <c r="N15" s="113"/>
      <c r="O15" s="113"/>
      <c r="DT15" s="34" t="s">
        <v>285</v>
      </c>
      <c r="EB15" s="34" t="s">
        <v>291</v>
      </c>
      <c r="ED15" s="34" t="s">
        <v>295</v>
      </c>
    </row>
    <row r="16" spans="1:134" s="34" customFormat="1" ht="15" customHeight="1" x14ac:dyDescent="0.25">
      <c r="A16" s="175"/>
      <c r="B16" s="110" t="s">
        <v>27</v>
      </c>
      <c r="C16" s="111" t="s">
        <v>25</v>
      </c>
      <c r="D16" s="112">
        <v>20659.931</v>
      </c>
      <c r="E16" s="113">
        <v>21578.187000000002</v>
      </c>
      <c r="F16" s="113">
        <v>22967.98</v>
      </c>
      <c r="G16" s="113">
        <v>19941.044000000002</v>
      </c>
      <c r="H16" s="113">
        <v>19597.732</v>
      </c>
      <c r="I16" s="113">
        <v>15825.438</v>
      </c>
      <c r="J16" s="113">
        <v>15551.616</v>
      </c>
      <c r="K16" s="113">
        <v>17449.345000000001</v>
      </c>
      <c r="L16" s="113">
        <v>18516.952891849753</v>
      </c>
      <c r="M16" s="113"/>
      <c r="N16" s="113"/>
      <c r="O16" s="113"/>
      <c r="DT16" s="34" t="s">
        <v>286</v>
      </c>
      <c r="EB16" s="34" t="s">
        <v>291</v>
      </c>
      <c r="ED16" s="34" t="s">
        <v>295</v>
      </c>
    </row>
    <row r="17" spans="1:134" s="34" customFormat="1" ht="15" customHeight="1" x14ac:dyDescent="0.25">
      <c r="A17" s="175"/>
      <c r="B17" s="110" t="s">
        <v>28</v>
      </c>
      <c r="C17" s="111" t="s">
        <v>25</v>
      </c>
      <c r="D17" s="112">
        <v>0</v>
      </c>
      <c r="E17" s="112">
        <v>0</v>
      </c>
      <c r="F17" s="112">
        <v>0</v>
      </c>
      <c r="G17" s="112">
        <v>0</v>
      </c>
      <c r="H17" s="112">
        <v>0</v>
      </c>
      <c r="I17" s="112">
        <v>0</v>
      </c>
      <c r="J17" s="112">
        <v>0</v>
      </c>
      <c r="K17" s="112">
        <v>0</v>
      </c>
      <c r="L17" s="112">
        <v>0</v>
      </c>
      <c r="M17" s="112"/>
      <c r="N17" s="112"/>
      <c r="O17" s="112"/>
      <c r="DT17" s="34" t="s">
        <v>287</v>
      </c>
      <c r="EB17" s="34" t="s">
        <v>291</v>
      </c>
      <c r="ED17" s="34" t="s">
        <v>295</v>
      </c>
    </row>
    <row r="18" spans="1:134" s="34" customFormat="1" ht="15" customHeight="1" x14ac:dyDescent="0.25">
      <c r="A18" s="175"/>
      <c r="B18" s="110" t="s">
        <v>184</v>
      </c>
      <c r="C18" s="111" t="s">
        <v>25</v>
      </c>
      <c r="D18" s="112"/>
      <c r="E18" s="112"/>
      <c r="F18" s="112"/>
      <c r="G18" s="112"/>
      <c r="H18" s="112"/>
      <c r="I18" s="112"/>
      <c r="J18" s="112"/>
      <c r="K18" s="112"/>
      <c r="L18" s="112"/>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L30" sqref="L30"/>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8" t="s">
        <v>0</v>
      </c>
      <c r="B1" s="201"/>
      <c r="C1" s="31"/>
      <c r="D1" s="1"/>
      <c r="E1" s="2"/>
      <c r="F1" s="2"/>
      <c r="G1" s="2"/>
      <c r="H1" s="2"/>
      <c r="I1" s="2"/>
      <c r="J1" s="2"/>
      <c r="K1" s="2"/>
      <c r="L1" s="2"/>
      <c r="M1" s="2"/>
      <c r="N1" s="2"/>
      <c r="O1" s="2"/>
    </row>
    <row r="2" spans="1:134" ht="18" customHeight="1" x14ac:dyDescent="0.25">
      <c r="A2" s="180"/>
      <c r="B2" s="194"/>
      <c r="C2" s="1"/>
      <c r="D2" s="1"/>
      <c r="E2" s="5"/>
      <c r="F2" s="3"/>
      <c r="G2" s="3"/>
      <c r="H2" s="3"/>
      <c r="I2" s="3"/>
      <c r="J2" s="3"/>
      <c r="K2" s="3"/>
      <c r="L2" s="3"/>
      <c r="M2" s="3"/>
      <c r="N2" s="3"/>
      <c r="O2" s="3"/>
    </row>
    <row r="3" spans="1:134" ht="18" customHeight="1" x14ac:dyDescent="0.25">
      <c r="A3" s="182" t="s">
        <v>31</v>
      </c>
      <c r="B3" s="202"/>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5"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3" t="s">
        <v>13</v>
      </c>
      <c r="B6" s="173"/>
      <c r="C6" s="8" t="s">
        <v>14</v>
      </c>
      <c r="D6" s="59">
        <v>0</v>
      </c>
      <c r="E6" s="60">
        <v>0</v>
      </c>
      <c r="F6" s="60">
        <v>0</v>
      </c>
      <c r="G6" s="60">
        <v>0</v>
      </c>
      <c r="H6" s="60">
        <v>0</v>
      </c>
      <c r="I6" s="60">
        <v>0</v>
      </c>
      <c r="J6" s="60">
        <v>0</v>
      </c>
      <c r="K6" s="59">
        <v>0</v>
      </c>
      <c r="L6" s="59">
        <v>0</v>
      </c>
      <c r="M6" s="60"/>
      <c r="N6" s="60"/>
      <c r="O6" s="60"/>
      <c r="DS6" s="4" t="str">
        <f>VLOOKUP(Cover!$D$15, Country_list!$B$3:$C$44, 2, 0)</f>
        <v>LV</v>
      </c>
      <c r="DT6" s="33" t="s">
        <v>289</v>
      </c>
      <c r="DV6" s="33" t="s">
        <v>303</v>
      </c>
      <c r="EB6" s="33" t="s">
        <v>291</v>
      </c>
      <c r="ED6" s="33" t="s">
        <v>294</v>
      </c>
    </row>
    <row r="7" spans="1:134" s="119" customFormat="1" ht="24" customHeight="1" x14ac:dyDescent="0.25">
      <c r="A7" s="203" t="s">
        <v>15</v>
      </c>
      <c r="B7" s="204"/>
      <c r="C7" s="132" t="s">
        <v>25</v>
      </c>
      <c r="D7" s="133">
        <v>0</v>
      </c>
      <c r="E7" s="134">
        <v>0</v>
      </c>
      <c r="F7" s="134">
        <v>0</v>
      </c>
      <c r="G7" s="134">
        <v>0</v>
      </c>
      <c r="H7" s="134">
        <v>0</v>
      </c>
      <c r="I7" s="134">
        <v>0</v>
      </c>
      <c r="J7" s="134">
        <v>0</v>
      </c>
      <c r="K7" s="133">
        <v>0</v>
      </c>
      <c r="L7" s="133">
        <v>0</v>
      </c>
      <c r="M7" s="134"/>
      <c r="N7" s="134"/>
      <c r="O7" s="134"/>
      <c r="DT7" s="119" t="s">
        <v>290</v>
      </c>
      <c r="EB7" s="119" t="s">
        <v>291</v>
      </c>
      <c r="ED7" s="119" t="s">
        <v>295</v>
      </c>
    </row>
    <row r="8" spans="1:134" s="119" customFormat="1" ht="24" customHeight="1" x14ac:dyDescent="0.25">
      <c r="A8" s="203" t="s">
        <v>29</v>
      </c>
      <c r="B8" s="204"/>
      <c r="C8" s="132" t="s">
        <v>17</v>
      </c>
      <c r="D8" s="133">
        <v>0</v>
      </c>
      <c r="E8" s="134">
        <v>0</v>
      </c>
      <c r="F8" s="134">
        <v>0</v>
      </c>
      <c r="G8" s="134">
        <v>0</v>
      </c>
      <c r="H8" s="134">
        <v>0</v>
      </c>
      <c r="I8" s="134">
        <v>0</v>
      </c>
      <c r="J8" s="134">
        <v>0</v>
      </c>
      <c r="K8" s="133">
        <v>0</v>
      </c>
      <c r="L8" s="133">
        <v>0</v>
      </c>
      <c r="M8" s="134"/>
      <c r="N8" s="134"/>
      <c r="O8" s="134"/>
      <c r="DT8" s="119" t="s">
        <v>231</v>
      </c>
      <c r="EB8" s="119" t="s">
        <v>291</v>
      </c>
      <c r="ED8" s="119" t="s">
        <v>296</v>
      </c>
    </row>
    <row r="9" spans="1:134" s="119" customFormat="1" ht="24" customHeight="1" x14ac:dyDescent="0.25">
      <c r="A9" s="203" t="s">
        <v>156</v>
      </c>
      <c r="B9" s="204"/>
      <c r="C9" s="132" t="s">
        <v>19</v>
      </c>
      <c r="D9" s="133">
        <v>0</v>
      </c>
      <c r="E9" s="134">
        <v>0</v>
      </c>
      <c r="F9" s="134">
        <v>0</v>
      </c>
      <c r="G9" s="134">
        <v>0</v>
      </c>
      <c r="H9" s="134">
        <v>0</v>
      </c>
      <c r="I9" s="134">
        <v>0</v>
      </c>
      <c r="J9" s="134">
        <v>0</v>
      </c>
      <c r="K9" s="133">
        <v>0</v>
      </c>
      <c r="L9" s="133">
        <v>0</v>
      </c>
      <c r="M9" s="134"/>
      <c r="N9" s="134"/>
      <c r="O9" s="134"/>
      <c r="DT9" s="119" t="s">
        <v>279</v>
      </c>
      <c r="EB9" s="119" t="s">
        <v>292</v>
      </c>
      <c r="ED9" s="119" t="s">
        <v>293</v>
      </c>
    </row>
    <row r="10" spans="1:134" s="119" customFormat="1" ht="24" customHeight="1" x14ac:dyDescent="0.25">
      <c r="A10" s="203" t="s">
        <v>20</v>
      </c>
      <c r="B10" s="204"/>
      <c r="C10" s="132" t="s">
        <v>19</v>
      </c>
      <c r="D10" s="133">
        <v>0</v>
      </c>
      <c r="E10" s="134">
        <v>0</v>
      </c>
      <c r="F10" s="134">
        <v>0</v>
      </c>
      <c r="G10" s="134">
        <v>0</v>
      </c>
      <c r="H10" s="134">
        <v>0</v>
      </c>
      <c r="I10" s="134">
        <v>0</v>
      </c>
      <c r="J10" s="134">
        <v>0</v>
      </c>
      <c r="K10" s="133">
        <v>0</v>
      </c>
      <c r="L10" s="133">
        <v>0</v>
      </c>
      <c r="M10" s="134"/>
      <c r="N10" s="134"/>
      <c r="O10" s="134"/>
      <c r="DT10" s="139" t="s">
        <v>280</v>
      </c>
      <c r="EB10" s="119" t="s">
        <v>292</v>
      </c>
      <c r="ED10" s="119" t="s">
        <v>293</v>
      </c>
    </row>
    <row r="11" spans="1:134" s="34" customFormat="1" ht="15" customHeight="1" x14ac:dyDescent="0.25">
      <c r="A11" s="205" t="s">
        <v>18</v>
      </c>
      <c r="B11" s="135" t="s">
        <v>21</v>
      </c>
      <c r="C11" s="136" t="s">
        <v>19</v>
      </c>
      <c r="D11" s="137">
        <v>0</v>
      </c>
      <c r="E11" s="138">
        <v>0</v>
      </c>
      <c r="F11" s="138">
        <v>0</v>
      </c>
      <c r="G11" s="138">
        <v>0</v>
      </c>
      <c r="H11" s="138">
        <v>0</v>
      </c>
      <c r="I11" s="138">
        <v>0</v>
      </c>
      <c r="J11" s="138">
        <v>0</v>
      </c>
      <c r="K11" s="137">
        <v>0</v>
      </c>
      <c r="L11" s="137">
        <v>0</v>
      </c>
      <c r="M11" s="138"/>
      <c r="N11" s="138"/>
      <c r="O11" s="138"/>
      <c r="DT11" s="34" t="s">
        <v>281</v>
      </c>
      <c r="EB11" s="34" t="s">
        <v>292</v>
      </c>
      <c r="ED11" s="34" t="s">
        <v>293</v>
      </c>
    </row>
    <row r="12" spans="1:134" s="34" customFormat="1" ht="15" customHeight="1" x14ac:dyDescent="0.25">
      <c r="A12" s="205"/>
      <c r="B12" s="135" t="s">
        <v>22</v>
      </c>
      <c r="C12" s="136" t="s">
        <v>19</v>
      </c>
      <c r="D12" s="137">
        <v>0</v>
      </c>
      <c r="E12" s="138">
        <v>0</v>
      </c>
      <c r="F12" s="138">
        <v>0</v>
      </c>
      <c r="G12" s="138">
        <v>0</v>
      </c>
      <c r="H12" s="138">
        <v>0</v>
      </c>
      <c r="I12" s="138">
        <v>0</v>
      </c>
      <c r="J12" s="138">
        <v>0</v>
      </c>
      <c r="K12" s="137">
        <v>0</v>
      </c>
      <c r="L12" s="137">
        <v>0</v>
      </c>
      <c r="M12" s="138"/>
      <c r="N12" s="138"/>
      <c r="O12" s="138"/>
      <c r="DT12" s="34" t="s">
        <v>282</v>
      </c>
      <c r="EB12" s="34" t="s">
        <v>292</v>
      </c>
      <c r="ED12" s="34" t="s">
        <v>293</v>
      </c>
    </row>
    <row r="13" spans="1:134" s="34" customFormat="1" ht="15" customHeight="1" x14ac:dyDescent="0.25">
      <c r="A13" s="205"/>
      <c r="B13" s="135" t="s">
        <v>23</v>
      </c>
      <c r="C13" s="136" t="s">
        <v>19</v>
      </c>
      <c r="D13" s="137">
        <v>0</v>
      </c>
      <c r="E13" s="138">
        <v>0</v>
      </c>
      <c r="F13" s="138">
        <v>0</v>
      </c>
      <c r="G13" s="138">
        <v>0</v>
      </c>
      <c r="H13" s="138">
        <v>0</v>
      </c>
      <c r="I13" s="138">
        <v>0</v>
      </c>
      <c r="J13" s="138">
        <v>0</v>
      </c>
      <c r="K13" s="137">
        <v>0</v>
      </c>
      <c r="L13" s="137">
        <v>0</v>
      </c>
      <c r="M13" s="138"/>
      <c r="N13" s="138"/>
      <c r="O13" s="138"/>
      <c r="DT13" s="34" t="s">
        <v>283</v>
      </c>
      <c r="EB13" s="34" t="s">
        <v>292</v>
      </c>
      <c r="ED13" s="34" t="s">
        <v>293</v>
      </c>
    </row>
    <row r="14" spans="1:134" s="119" customFormat="1" ht="24" customHeight="1" x14ac:dyDescent="0.25">
      <c r="A14" s="203" t="s">
        <v>24</v>
      </c>
      <c r="B14" s="204"/>
      <c r="C14" s="132" t="s">
        <v>25</v>
      </c>
      <c r="D14" s="133">
        <v>0</v>
      </c>
      <c r="E14" s="134">
        <v>0</v>
      </c>
      <c r="F14" s="134">
        <v>0</v>
      </c>
      <c r="G14" s="134">
        <v>0</v>
      </c>
      <c r="H14" s="134">
        <v>0</v>
      </c>
      <c r="I14" s="134">
        <v>0</v>
      </c>
      <c r="J14" s="134">
        <v>0</v>
      </c>
      <c r="K14" s="133">
        <v>0</v>
      </c>
      <c r="L14" s="133">
        <v>0</v>
      </c>
      <c r="M14" s="134"/>
      <c r="N14" s="134"/>
      <c r="O14" s="134"/>
      <c r="DT14" s="139" t="s">
        <v>284</v>
      </c>
      <c r="EB14" s="119" t="s">
        <v>291</v>
      </c>
      <c r="ED14" s="119" t="s">
        <v>295</v>
      </c>
    </row>
    <row r="15" spans="1:134" s="34" customFormat="1" ht="15" customHeight="1" x14ac:dyDescent="0.25">
      <c r="A15" s="205" t="s">
        <v>18</v>
      </c>
      <c r="B15" s="135" t="s">
        <v>26</v>
      </c>
      <c r="C15" s="136" t="s">
        <v>25</v>
      </c>
      <c r="D15" s="137">
        <v>0</v>
      </c>
      <c r="E15" s="138">
        <v>0</v>
      </c>
      <c r="F15" s="138">
        <v>0</v>
      </c>
      <c r="G15" s="138">
        <v>0</v>
      </c>
      <c r="H15" s="138">
        <v>0</v>
      </c>
      <c r="I15" s="138">
        <v>0</v>
      </c>
      <c r="J15" s="138">
        <v>0</v>
      </c>
      <c r="K15" s="137">
        <v>0</v>
      </c>
      <c r="L15" s="137">
        <v>0</v>
      </c>
      <c r="M15" s="138"/>
      <c r="N15" s="138"/>
      <c r="O15" s="138"/>
      <c r="DT15" s="34" t="s">
        <v>285</v>
      </c>
      <c r="EB15" s="34" t="s">
        <v>291</v>
      </c>
      <c r="ED15" s="34" t="s">
        <v>295</v>
      </c>
    </row>
    <row r="16" spans="1:134" s="34" customFormat="1" ht="15" customHeight="1" x14ac:dyDescent="0.25">
      <c r="A16" s="205"/>
      <c r="B16" s="135" t="s">
        <v>27</v>
      </c>
      <c r="C16" s="136" t="s">
        <v>25</v>
      </c>
      <c r="D16" s="137">
        <v>0</v>
      </c>
      <c r="E16" s="138">
        <v>0</v>
      </c>
      <c r="F16" s="138">
        <v>0</v>
      </c>
      <c r="G16" s="138">
        <v>0</v>
      </c>
      <c r="H16" s="138">
        <v>0</v>
      </c>
      <c r="I16" s="138">
        <v>0</v>
      </c>
      <c r="J16" s="138">
        <v>0</v>
      </c>
      <c r="K16" s="137">
        <v>0</v>
      </c>
      <c r="L16" s="137">
        <v>0</v>
      </c>
      <c r="M16" s="138"/>
      <c r="N16" s="138"/>
      <c r="O16" s="138"/>
      <c r="DT16" s="34" t="s">
        <v>286</v>
      </c>
      <c r="EB16" s="34" t="s">
        <v>291</v>
      </c>
      <c r="ED16" s="34" t="s">
        <v>295</v>
      </c>
    </row>
    <row r="17" spans="1:134" s="34" customFormat="1" ht="15" customHeight="1" x14ac:dyDescent="0.25">
      <c r="A17" s="205"/>
      <c r="B17" s="135" t="s">
        <v>28</v>
      </c>
      <c r="C17" s="136" t="s">
        <v>25</v>
      </c>
      <c r="D17" s="137">
        <v>0</v>
      </c>
      <c r="E17" s="137">
        <v>0</v>
      </c>
      <c r="F17" s="137">
        <v>0</v>
      </c>
      <c r="G17" s="137">
        <v>0</v>
      </c>
      <c r="H17" s="137">
        <v>0</v>
      </c>
      <c r="I17" s="137">
        <v>0</v>
      </c>
      <c r="J17" s="137">
        <v>0</v>
      </c>
      <c r="K17" s="137">
        <v>0</v>
      </c>
      <c r="L17" s="137">
        <v>0</v>
      </c>
      <c r="M17" s="137"/>
      <c r="N17" s="137"/>
      <c r="O17" s="137"/>
      <c r="DT17" s="34" t="s">
        <v>287</v>
      </c>
      <c r="EB17" s="34" t="s">
        <v>291</v>
      </c>
      <c r="ED17" s="34" t="s">
        <v>295</v>
      </c>
    </row>
    <row r="18" spans="1:134" s="34" customFormat="1" ht="15" customHeight="1" x14ac:dyDescent="0.25">
      <c r="A18" s="205"/>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L16" sqref="L16"/>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8" t="s">
        <v>0</v>
      </c>
      <c r="B1" s="201"/>
      <c r="C1" s="31"/>
      <c r="D1" s="1"/>
      <c r="E1" s="2"/>
      <c r="F1" s="2"/>
      <c r="G1" s="2"/>
      <c r="H1" s="2"/>
      <c r="I1" s="2"/>
      <c r="J1" s="2"/>
      <c r="K1" s="2"/>
      <c r="L1" s="2"/>
      <c r="M1" s="2"/>
      <c r="N1" s="2"/>
      <c r="O1" s="2"/>
    </row>
    <row r="2" spans="1:134" ht="18" customHeight="1" x14ac:dyDescent="0.25">
      <c r="A2" s="180"/>
      <c r="B2" s="194"/>
      <c r="C2" s="1"/>
      <c r="D2" s="1"/>
      <c r="E2" s="5"/>
      <c r="F2" s="3"/>
      <c r="G2" s="3"/>
      <c r="H2" s="3"/>
      <c r="I2" s="3"/>
      <c r="J2" s="3"/>
      <c r="K2" s="3"/>
      <c r="L2" s="3"/>
      <c r="M2" s="3"/>
      <c r="N2" s="3"/>
      <c r="O2" s="3"/>
    </row>
    <row r="3" spans="1:134" ht="18" customHeight="1" x14ac:dyDescent="0.25">
      <c r="A3" s="182" t="s">
        <v>8</v>
      </c>
      <c r="B3" s="202"/>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5"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3" t="s">
        <v>13</v>
      </c>
      <c r="B6" s="199"/>
      <c r="C6" s="8" t="s">
        <v>14</v>
      </c>
      <c r="D6" s="59">
        <v>384.82600000000002</v>
      </c>
      <c r="E6" s="60">
        <v>351.86399999999998</v>
      </c>
      <c r="F6" s="60">
        <v>352.65800000000002</v>
      </c>
      <c r="G6" s="60">
        <v>354.048</v>
      </c>
      <c r="H6" s="60">
        <v>346.9</v>
      </c>
      <c r="I6" s="60">
        <v>349.28199999999998</v>
      </c>
      <c r="J6" s="60">
        <v>356.03399999999999</v>
      </c>
      <c r="K6" s="60">
        <v>328.92399999999998</v>
      </c>
      <c r="L6" s="60">
        <v>331.62599999999998</v>
      </c>
      <c r="M6" s="60"/>
      <c r="N6" s="60"/>
      <c r="O6" s="60"/>
      <c r="DS6" s="4" t="str">
        <f>VLOOKUP(Cover!$D$15, Country_list!$B$3:$C$44, 2, 0)</f>
        <v>LV</v>
      </c>
      <c r="DT6" s="33" t="s">
        <v>289</v>
      </c>
      <c r="DV6" s="33" t="s">
        <v>304</v>
      </c>
      <c r="EB6" s="33" t="s">
        <v>291</v>
      </c>
      <c r="ED6" s="33" t="s">
        <v>294</v>
      </c>
    </row>
    <row r="7" spans="1:134" ht="24" customHeight="1" x14ac:dyDescent="0.25">
      <c r="A7" s="176" t="s">
        <v>15</v>
      </c>
      <c r="B7" s="200"/>
      <c r="C7" s="9" t="s">
        <v>25</v>
      </c>
      <c r="D7" s="61">
        <v>4795.5529999999999</v>
      </c>
      <c r="E7" s="58">
        <v>4182.1620000000003</v>
      </c>
      <c r="F7" s="58">
        <v>4385.991</v>
      </c>
      <c r="G7" s="58">
        <v>4196.0410000000002</v>
      </c>
      <c r="H7" s="58">
        <v>3995.2060000000001</v>
      </c>
      <c r="I7" s="58">
        <v>3837.3679999999999</v>
      </c>
      <c r="J7" s="58">
        <v>4209.6480000000001</v>
      </c>
      <c r="K7" s="58">
        <v>4243.3999999999996</v>
      </c>
      <c r="L7" s="58">
        <v>4226.9827890573633</v>
      </c>
      <c r="M7" s="58"/>
      <c r="N7" s="58"/>
      <c r="O7" s="58"/>
      <c r="DT7" s="33" t="s">
        <v>290</v>
      </c>
      <c r="EB7" s="33" t="s">
        <v>291</v>
      </c>
      <c r="ED7" s="33" t="s">
        <v>295</v>
      </c>
    </row>
    <row r="8" spans="1:134" ht="24" customHeight="1" x14ac:dyDescent="0.25">
      <c r="A8" s="176" t="s">
        <v>29</v>
      </c>
      <c r="B8" s="200"/>
      <c r="C8" s="9" t="s">
        <v>17</v>
      </c>
      <c r="D8" s="61">
        <v>1092.5319999999999</v>
      </c>
      <c r="E8" s="58">
        <v>937.96500000000003</v>
      </c>
      <c r="F8" s="58">
        <v>937.77700000000004</v>
      </c>
      <c r="G8" s="58">
        <v>892.86</v>
      </c>
      <c r="H8" s="58">
        <v>889.65200000000004</v>
      </c>
      <c r="I8" s="58">
        <v>861.154</v>
      </c>
      <c r="J8" s="58">
        <v>933.81299999999999</v>
      </c>
      <c r="K8" s="58">
        <v>977.57600000000002</v>
      </c>
      <c r="L8" s="58">
        <v>1046.3633741691606</v>
      </c>
      <c r="M8" s="58"/>
      <c r="N8" s="58"/>
      <c r="O8" s="58"/>
      <c r="DT8" s="33" t="s">
        <v>231</v>
      </c>
      <c r="EB8" s="33" t="s">
        <v>291</v>
      </c>
      <c r="ED8" s="33" t="s">
        <v>296</v>
      </c>
    </row>
    <row r="9" spans="1:134" ht="24" customHeight="1" x14ac:dyDescent="0.25">
      <c r="A9" s="176" t="s">
        <v>156</v>
      </c>
      <c r="B9" s="200"/>
      <c r="C9" s="9" t="s">
        <v>19</v>
      </c>
      <c r="D9" s="61">
        <v>5.1680000000000001</v>
      </c>
      <c r="E9" s="58">
        <v>4.6509999999999998</v>
      </c>
      <c r="F9" s="58">
        <v>2.8420000000000001</v>
      </c>
      <c r="G9" s="58">
        <v>2.8420000000000001</v>
      </c>
      <c r="H9" s="58">
        <v>2.8420000000000001</v>
      </c>
      <c r="I9" s="58">
        <v>2.7130000000000001</v>
      </c>
      <c r="J9" s="58">
        <v>2.7130000000000001</v>
      </c>
      <c r="K9" s="58">
        <v>2.1960000000000002</v>
      </c>
      <c r="L9" s="58">
        <v>1.4723970333682184</v>
      </c>
      <c r="M9" s="58"/>
      <c r="N9" s="58"/>
      <c r="O9" s="58"/>
      <c r="DT9" s="33" t="s">
        <v>279</v>
      </c>
      <c r="EB9" s="33" t="s">
        <v>292</v>
      </c>
      <c r="ED9" s="33" t="s">
        <v>293</v>
      </c>
    </row>
    <row r="10" spans="1:134" ht="24" customHeight="1" x14ac:dyDescent="0.25">
      <c r="A10" s="176" t="s">
        <v>20</v>
      </c>
      <c r="B10" s="200"/>
      <c r="C10" s="9" t="s">
        <v>19</v>
      </c>
      <c r="D10" s="61">
        <v>6.54</v>
      </c>
      <c r="E10" s="58">
        <v>6.54</v>
      </c>
      <c r="F10" s="58">
        <v>6.54</v>
      </c>
      <c r="G10" s="58">
        <v>6.54</v>
      </c>
      <c r="H10" s="58">
        <v>6.6049999999999995</v>
      </c>
      <c r="I10" s="58">
        <v>6.383</v>
      </c>
      <c r="J10" s="58">
        <v>6.9349999999999996</v>
      </c>
      <c r="K10" s="58">
        <v>7.8220000000000001</v>
      </c>
      <c r="L10" s="58">
        <v>8.2093365672527625</v>
      </c>
      <c r="M10" s="58"/>
      <c r="N10" s="58"/>
      <c r="O10" s="58"/>
      <c r="DT10" s="139" t="s">
        <v>280</v>
      </c>
      <c r="EB10" s="33" t="s">
        <v>292</v>
      </c>
      <c r="ED10" s="33" t="s">
        <v>293</v>
      </c>
    </row>
    <row r="11" spans="1:134" s="34" customFormat="1" ht="15" customHeight="1" x14ac:dyDescent="0.25">
      <c r="A11" s="175" t="s">
        <v>18</v>
      </c>
      <c r="B11" s="110" t="s">
        <v>21</v>
      </c>
      <c r="C11" s="111" t="s">
        <v>19</v>
      </c>
      <c r="D11" s="112">
        <v>0.65</v>
      </c>
      <c r="E11" s="113">
        <v>0.65</v>
      </c>
      <c r="F11" s="113">
        <v>0.65</v>
      </c>
      <c r="G11" s="113">
        <v>0.65</v>
      </c>
      <c r="H11" s="113">
        <v>0.71499999999999997</v>
      </c>
      <c r="I11" s="113">
        <v>0.55300000000000005</v>
      </c>
      <c r="J11" s="113">
        <v>0.55300000000000005</v>
      </c>
      <c r="K11" s="113">
        <v>0.56699999999999995</v>
      </c>
      <c r="L11" s="113">
        <v>0.48474515420894349</v>
      </c>
      <c r="M11" s="113"/>
      <c r="N11" s="113"/>
      <c r="O11" s="113"/>
      <c r="DT11" s="34" t="s">
        <v>281</v>
      </c>
      <c r="EB11" s="34" t="s">
        <v>292</v>
      </c>
      <c r="ED11" s="34" t="s">
        <v>293</v>
      </c>
    </row>
    <row r="12" spans="1:134" s="34" customFormat="1" ht="15" customHeight="1" x14ac:dyDescent="0.25">
      <c r="A12" s="175"/>
      <c r="B12" s="110" t="s">
        <v>22</v>
      </c>
      <c r="C12" s="111" t="s">
        <v>19</v>
      </c>
      <c r="D12" s="112">
        <v>0</v>
      </c>
      <c r="E12" s="113">
        <v>0</v>
      </c>
      <c r="F12" s="113">
        <v>0</v>
      </c>
      <c r="G12" s="113">
        <v>0</v>
      </c>
      <c r="H12" s="113">
        <v>0</v>
      </c>
      <c r="I12" s="113">
        <v>0</v>
      </c>
      <c r="J12" s="113">
        <v>0</v>
      </c>
      <c r="K12" s="113">
        <v>0</v>
      </c>
      <c r="L12" s="113">
        <v>0</v>
      </c>
      <c r="M12" s="113"/>
      <c r="N12" s="113"/>
      <c r="O12" s="113"/>
      <c r="DT12" s="34" t="s">
        <v>282</v>
      </c>
      <c r="EB12" s="34" t="s">
        <v>292</v>
      </c>
      <c r="ED12" s="34" t="s">
        <v>293</v>
      </c>
    </row>
    <row r="13" spans="1:134" s="34" customFormat="1" ht="15" customHeight="1" x14ac:dyDescent="0.25">
      <c r="A13" s="175"/>
      <c r="B13" s="110" t="s">
        <v>23</v>
      </c>
      <c r="C13" s="111" t="s">
        <v>19</v>
      </c>
      <c r="D13" s="112">
        <v>5.89</v>
      </c>
      <c r="E13" s="113">
        <v>5.89</v>
      </c>
      <c r="F13" s="113">
        <v>5.89</v>
      </c>
      <c r="G13" s="113">
        <v>5.89</v>
      </c>
      <c r="H13" s="113">
        <v>5.89</v>
      </c>
      <c r="I13" s="113">
        <v>5.83</v>
      </c>
      <c r="J13" s="113">
        <v>6.3819999999999997</v>
      </c>
      <c r="K13" s="113">
        <v>7.2549999999999999</v>
      </c>
      <c r="L13" s="113">
        <v>7.7245914130438189</v>
      </c>
      <c r="M13" s="113"/>
      <c r="N13" s="113"/>
      <c r="O13" s="113"/>
      <c r="DT13" s="34" t="s">
        <v>283</v>
      </c>
      <c r="EB13" s="34" t="s">
        <v>292</v>
      </c>
      <c r="ED13" s="34" t="s">
        <v>293</v>
      </c>
    </row>
    <row r="14" spans="1:134" ht="24" customHeight="1" x14ac:dyDescent="0.25">
      <c r="A14" s="176" t="s">
        <v>24</v>
      </c>
      <c r="B14" s="200"/>
      <c r="C14" s="9" t="s">
        <v>25</v>
      </c>
      <c r="D14" s="61">
        <v>3069.6320000000001</v>
      </c>
      <c r="E14" s="58">
        <v>3206.0659999999998</v>
      </c>
      <c r="F14" s="58">
        <v>3412.56</v>
      </c>
      <c r="G14" s="58">
        <v>2962.8209999999999</v>
      </c>
      <c r="H14" s="58">
        <v>2911.8119999999999</v>
      </c>
      <c r="I14" s="58">
        <v>2351.328</v>
      </c>
      <c r="J14" s="58">
        <v>2310.643</v>
      </c>
      <c r="K14" s="58">
        <v>2592.6060000000002</v>
      </c>
      <c r="L14" s="58">
        <v>2751.230250162891</v>
      </c>
      <c r="M14" s="58"/>
      <c r="N14" s="58"/>
      <c r="O14" s="58"/>
      <c r="DT14" s="139" t="s">
        <v>284</v>
      </c>
      <c r="EB14" s="33" t="s">
        <v>291</v>
      </c>
      <c r="ED14" s="33" t="s">
        <v>295</v>
      </c>
    </row>
    <row r="15" spans="1:134" s="34" customFormat="1" ht="15" customHeight="1" x14ac:dyDescent="0.25">
      <c r="A15" s="175" t="s">
        <v>18</v>
      </c>
      <c r="B15" s="110" t="s">
        <v>26</v>
      </c>
      <c r="C15" s="111" t="s">
        <v>25</v>
      </c>
      <c r="D15" s="112">
        <v>0</v>
      </c>
      <c r="E15" s="113">
        <v>0</v>
      </c>
      <c r="F15" s="113">
        <v>0</v>
      </c>
      <c r="G15" s="113">
        <v>0</v>
      </c>
      <c r="H15" s="113">
        <v>0</v>
      </c>
      <c r="I15" s="113">
        <v>0</v>
      </c>
      <c r="J15" s="113">
        <v>0</v>
      </c>
      <c r="K15" s="113">
        <v>0</v>
      </c>
      <c r="L15" s="113">
        <v>0</v>
      </c>
      <c r="M15" s="113"/>
      <c r="N15" s="113"/>
      <c r="O15" s="113"/>
      <c r="DT15" s="34" t="s">
        <v>285</v>
      </c>
      <c r="EB15" s="34" t="s">
        <v>291</v>
      </c>
      <c r="ED15" s="34" t="s">
        <v>295</v>
      </c>
    </row>
    <row r="16" spans="1:134" s="34" customFormat="1" ht="15" customHeight="1" x14ac:dyDescent="0.25">
      <c r="A16" s="175"/>
      <c r="B16" s="110" t="s">
        <v>27</v>
      </c>
      <c r="C16" s="111" t="s">
        <v>25</v>
      </c>
      <c r="D16" s="112">
        <v>3069.6320000000001</v>
      </c>
      <c r="E16" s="113">
        <v>3206.0659999999998</v>
      </c>
      <c r="F16" s="113">
        <v>3412.56</v>
      </c>
      <c r="G16" s="113">
        <v>2962.8209999999999</v>
      </c>
      <c r="H16" s="113">
        <v>2911.8119999999999</v>
      </c>
      <c r="I16" s="113">
        <v>2351.328</v>
      </c>
      <c r="J16" s="113">
        <v>2310.643</v>
      </c>
      <c r="K16" s="113">
        <v>2592.6060000000002</v>
      </c>
      <c r="L16" s="113">
        <v>2751.230250162891</v>
      </c>
      <c r="M16" s="113"/>
      <c r="N16" s="113"/>
      <c r="O16" s="113"/>
      <c r="DT16" s="34" t="s">
        <v>286</v>
      </c>
      <c r="EB16" s="34" t="s">
        <v>291</v>
      </c>
      <c r="ED16" s="34" t="s">
        <v>295</v>
      </c>
    </row>
    <row r="17" spans="1:134" s="34" customFormat="1" ht="15" customHeight="1" x14ac:dyDescent="0.25">
      <c r="A17" s="175"/>
      <c r="B17" s="110" t="s">
        <v>28</v>
      </c>
      <c r="C17" s="111" t="s">
        <v>25</v>
      </c>
      <c r="D17" s="112">
        <v>0</v>
      </c>
      <c r="E17" s="112">
        <v>0</v>
      </c>
      <c r="F17" s="112">
        <v>0</v>
      </c>
      <c r="G17" s="112">
        <v>0</v>
      </c>
      <c r="H17" s="112">
        <v>0</v>
      </c>
      <c r="I17" s="112">
        <v>0</v>
      </c>
      <c r="J17" s="112">
        <v>0</v>
      </c>
      <c r="K17" s="112">
        <v>0</v>
      </c>
      <c r="L17" s="112">
        <v>0</v>
      </c>
      <c r="M17" s="112"/>
      <c r="N17" s="112"/>
      <c r="O17" s="112"/>
      <c r="DT17" s="34" t="s">
        <v>287</v>
      </c>
      <c r="EB17" s="34" t="s">
        <v>291</v>
      </c>
      <c r="ED17" s="34" t="s">
        <v>295</v>
      </c>
    </row>
    <row r="18" spans="1:134" s="34" customFormat="1" ht="15" customHeight="1" x14ac:dyDescent="0.25">
      <c r="A18" s="175"/>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D1" activePane="topRight" state="frozen"/>
      <selection activeCell="DS1" sqref="DS1:ED1048576"/>
      <selection pane="topRight" activeCell="E23" sqref="E23"/>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8" t="s">
        <v>0</v>
      </c>
      <c r="B1" s="201"/>
      <c r="C1" s="31"/>
      <c r="D1" s="1"/>
      <c r="E1" s="2"/>
      <c r="F1" s="2"/>
      <c r="G1" s="2"/>
      <c r="H1" s="2"/>
      <c r="I1" s="2"/>
      <c r="J1" s="2"/>
      <c r="K1" s="2"/>
      <c r="L1" s="2"/>
      <c r="M1" s="2"/>
      <c r="N1" s="2"/>
      <c r="O1" s="2"/>
    </row>
    <row r="2" spans="1:134" ht="18" customHeight="1" x14ac:dyDescent="0.25">
      <c r="A2" s="180"/>
      <c r="B2" s="194"/>
      <c r="C2" s="1"/>
      <c r="D2" s="1"/>
      <c r="E2" s="5"/>
      <c r="F2" s="3"/>
      <c r="G2" s="3"/>
      <c r="H2" s="3"/>
      <c r="I2" s="3"/>
      <c r="J2" s="3"/>
      <c r="K2" s="3"/>
      <c r="L2" s="3"/>
      <c r="M2" s="3"/>
      <c r="N2" s="3"/>
      <c r="O2" s="3"/>
    </row>
    <row r="3" spans="1:134" ht="18" customHeight="1" x14ac:dyDescent="0.25">
      <c r="A3" s="182" t="s">
        <v>9</v>
      </c>
      <c r="B3" s="202"/>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5"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3" t="s">
        <v>13</v>
      </c>
      <c r="B6" s="199"/>
      <c r="C6" s="8" t="s">
        <v>14</v>
      </c>
      <c r="D6" s="59">
        <v>170.03800000000001</v>
      </c>
      <c r="E6" s="60">
        <v>155.47300000000001</v>
      </c>
      <c r="F6" s="60">
        <v>155.82499999999999</v>
      </c>
      <c r="G6" s="60">
        <v>156.43899999999999</v>
      </c>
      <c r="H6" s="60">
        <v>153.28</v>
      </c>
      <c r="I6" s="60">
        <v>154.333</v>
      </c>
      <c r="J6" s="60">
        <v>157.316</v>
      </c>
      <c r="K6" s="60">
        <v>145.33699999999999</v>
      </c>
      <c r="L6" s="60">
        <v>146.53100000000001</v>
      </c>
      <c r="M6" s="60"/>
      <c r="N6" s="60"/>
      <c r="O6" s="60"/>
      <c r="DS6" s="4" t="str">
        <f>VLOOKUP(Cover!$D$15, Country_list!$B$3:$C$44, 2, 0)</f>
        <v>LV</v>
      </c>
      <c r="DT6" s="33" t="s">
        <v>289</v>
      </c>
      <c r="DV6" s="33" t="s">
        <v>305</v>
      </c>
      <c r="EB6" s="33" t="s">
        <v>291</v>
      </c>
      <c r="ED6" s="33" t="s">
        <v>294</v>
      </c>
    </row>
    <row r="7" spans="1:134" ht="24" customHeight="1" x14ac:dyDescent="0.25">
      <c r="A7" s="176" t="s">
        <v>15</v>
      </c>
      <c r="B7" s="200"/>
      <c r="C7" s="9" t="s">
        <v>25</v>
      </c>
      <c r="D7" s="61">
        <v>0</v>
      </c>
      <c r="E7" s="58">
        <v>0</v>
      </c>
      <c r="F7" s="58">
        <v>0</v>
      </c>
      <c r="G7" s="58">
        <v>0</v>
      </c>
      <c r="H7" s="58">
        <v>0</v>
      </c>
      <c r="I7" s="58">
        <v>0</v>
      </c>
      <c r="J7" s="58">
        <v>0</v>
      </c>
      <c r="K7" s="58">
        <v>0</v>
      </c>
      <c r="L7" s="58">
        <v>0</v>
      </c>
      <c r="M7" s="58"/>
      <c r="N7" s="58"/>
      <c r="O7" s="58"/>
      <c r="DT7" s="33" t="s">
        <v>290</v>
      </c>
      <c r="EB7" s="33" t="s">
        <v>291</v>
      </c>
      <c r="ED7" s="33" t="s">
        <v>295</v>
      </c>
    </row>
    <row r="8" spans="1:134" ht="24" customHeight="1" x14ac:dyDescent="0.25">
      <c r="A8" s="176" t="s">
        <v>29</v>
      </c>
      <c r="B8" s="200"/>
      <c r="C8" s="9" t="s">
        <v>17</v>
      </c>
      <c r="D8" s="61">
        <v>1678.018</v>
      </c>
      <c r="E8" s="58">
        <v>1440.62</v>
      </c>
      <c r="F8" s="58">
        <v>1440.33</v>
      </c>
      <c r="G8" s="58">
        <v>1371.3430000000001</v>
      </c>
      <c r="H8" s="58">
        <v>1366.415</v>
      </c>
      <c r="I8" s="58">
        <v>1322.646</v>
      </c>
      <c r="J8" s="58">
        <v>1434.2429999999999</v>
      </c>
      <c r="K8" s="58">
        <v>1501.4580000000001</v>
      </c>
      <c r="L8" s="58">
        <v>1607.1086620164992</v>
      </c>
      <c r="M8" s="58"/>
      <c r="N8" s="58"/>
      <c r="O8" s="58"/>
      <c r="DT8" s="33" t="s">
        <v>231</v>
      </c>
      <c r="EB8" s="33" t="s">
        <v>291</v>
      </c>
      <c r="ED8" s="33" t="s">
        <v>296</v>
      </c>
    </row>
    <row r="9" spans="1:134" ht="24" customHeight="1" x14ac:dyDescent="0.25">
      <c r="A9" s="176" t="s">
        <v>156</v>
      </c>
      <c r="B9" s="200"/>
      <c r="C9" s="9" t="s">
        <v>19</v>
      </c>
      <c r="D9" s="61">
        <v>8.9999999999999993E-3</v>
      </c>
      <c r="E9" s="58">
        <v>8.0000000000000002E-3</v>
      </c>
      <c r="F9" s="58">
        <v>5.0000000000000001E-3</v>
      </c>
      <c r="G9" s="58">
        <v>5.0000000000000001E-3</v>
      </c>
      <c r="H9" s="58">
        <v>5.0000000000000001E-3</v>
      </c>
      <c r="I9" s="58">
        <v>5.0000000000000001E-3</v>
      </c>
      <c r="J9" s="58">
        <v>5.0000000000000001E-3</v>
      </c>
      <c r="K9" s="58">
        <v>4.0000000000000001E-3</v>
      </c>
      <c r="L9" s="58">
        <v>2.6041019180520759E-3</v>
      </c>
      <c r="M9" s="58"/>
      <c r="N9" s="58"/>
      <c r="O9" s="58"/>
      <c r="DT9" s="33" t="s">
        <v>279</v>
      </c>
      <c r="EB9" s="33" t="s">
        <v>292</v>
      </c>
      <c r="ED9" s="33" t="s">
        <v>293</v>
      </c>
    </row>
    <row r="10" spans="1:134" ht="24" customHeight="1" x14ac:dyDescent="0.25">
      <c r="A10" s="176" t="s">
        <v>20</v>
      </c>
      <c r="B10" s="200"/>
      <c r="C10" s="9" t="s">
        <v>19</v>
      </c>
      <c r="D10" s="61">
        <v>17.654</v>
      </c>
      <c r="E10" s="58">
        <v>17.654</v>
      </c>
      <c r="F10" s="58">
        <v>17.654</v>
      </c>
      <c r="G10" s="58">
        <v>17.654</v>
      </c>
      <c r="H10" s="58">
        <v>19.420000000000002</v>
      </c>
      <c r="I10" s="58">
        <v>15.006</v>
      </c>
      <c r="J10" s="58">
        <v>15.006</v>
      </c>
      <c r="K10" s="58">
        <v>15.387</v>
      </c>
      <c r="L10" s="58">
        <v>13.160315761703615</v>
      </c>
      <c r="M10" s="58"/>
      <c r="N10" s="58"/>
      <c r="O10" s="58"/>
      <c r="DT10" s="139" t="s">
        <v>280</v>
      </c>
      <c r="EB10" s="33" t="s">
        <v>292</v>
      </c>
      <c r="ED10" s="33" t="s">
        <v>293</v>
      </c>
    </row>
    <row r="11" spans="1:134" s="34" customFormat="1" ht="15" customHeight="1" x14ac:dyDescent="0.25">
      <c r="A11" s="175" t="s">
        <v>18</v>
      </c>
      <c r="B11" s="110" t="s">
        <v>21</v>
      </c>
      <c r="C11" s="111" t="s">
        <v>19</v>
      </c>
      <c r="D11" s="112">
        <v>17.654</v>
      </c>
      <c r="E11" s="113">
        <v>17.654</v>
      </c>
      <c r="F11" s="113">
        <v>17.654</v>
      </c>
      <c r="G11" s="113">
        <v>17.654</v>
      </c>
      <c r="H11" s="113">
        <v>19.420000000000002</v>
      </c>
      <c r="I11" s="113">
        <v>15.006</v>
      </c>
      <c r="J11" s="113">
        <v>15.006</v>
      </c>
      <c r="K11" s="113">
        <v>15.387</v>
      </c>
      <c r="L11" s="113">
        <v>13.160315761703615</v>
      </c>
      <c r="M11" s="113"/>
      <c r="N11" s="113"/>
      <c r="O11" s="113"/>
      <c r="DT11" s="34" t="s">
        <v>281</v>
      </c>
      <c r="EB11" s="34" t="s">
        <v>292</v>
      </c>
      <c r="ED11" s="34" t="s">
        <v>293</v>
      </c>
    </row>
    <row r="12" spans="1:134" s="34" customFormat="1" ht="15" customHeight="1" x14ac:dyDescent="0.25">
      <c r="A12" s="175"/>
      <c r="B12" s="110" t="s">
        <v>22</v>
      </c>
      <c r="C12" s="111" t="s">
        <v>19</v>
      </c>
      <c r="D12" s="112">
        <v>0</v>
      </c>
      <c r="E12" s="113">
        <v>0</v>
      </c>
      <c r="F12" s="113">
        <v>0</v>
      </c>
      <c r="G12" s="113">
        <v>0</v>
      </c>
      <c r="H12" s="113">
        <v>0</v>
      </c>
      <c r="I12" s="113">
        <v>0</v>
      </c>
      <c r="J12" s="113">
        <v>0</v>
      </c>
      <c r="K12" s="113">
        <v>0</v>
      </c>
      <c r="L12" s="113">
        <v>0</v>
      </c>
      <c r="M12" s="113"/>
      <c r="N12" s="113"/>
      <c r="O12" s="113"/>
      <c r="DT12" s="34" t="s">
        <v>282</v>
      </c>
      <c r="EB12" s="34" t="s">
        <v>292</v>
      </c>
      <c r="ED12" s="34" t="s">
        <v>293</v>
      </c>
    </row>
    <row r="13" spans="1:134" s="34" customFormat="1" ht="15" customHeight="1" x14ac:dyDescent="0.25">
      <c r="A13" s="175"/>
      <c r="B13" s="110" t="s">
        <v>23</v>
      </c>
      <c r="C13" s="111" t="s">
        <v>19</v>
      </c>
      <c r="D13" s="112">
        <v>0</v>
      </c>
      <c r="E13" s="113">
        <v>0</v>
      </c>
      <c r="F13" s="113">
        <v>0</v>
      </c>
      <c r="G13" s="113">
        <v>0</v>
      </c>
      <c r="H13" s="113">
        <v>0</v>
      </c>
      <c r="I13" s="113">
        <v>0</v>
      </c>
      <c r="J13" s="113">
        <v>0</v>
      </c>
      <c r="K13" s="113">
        <v>0</v>
      </c>
      <c r="L13" s="113">
        <v>0</v>
      </c>
      <c r="M13" s="113"/>
      <c r="N13" s="113"/>
      <c r="O13" s="113"/>
      <c r="DT13" s="34" t="s">
        <v>283</v>
      </c>
      <c r="EB13" s="34" t="s">
        <v>292</v>
      </c>
      <c r="ED13" s="34" t="s">
        <v>293</v>
      </c>
    </row>
    <row r="14" spans="1:134" ht="24" customHeight="1" x14ac:dyDescent="0.25">
      <c r="A14" s="176" t="s">
        <v>24</v>
      </c>
      <c r="B14" s="200"/>
      <c r="C14" s="9" t="s">
        <v>25</v>
      </c>
      <c r="D14" s="61">
        <v>1248.4369999999999</v>
      </c>
      <c r="E14" s="58">
        <v>1301.7470000000001</v>
      </c>
      <c r="F14" s="58">
        <v>1385.46</v>
      </c>
      <c r="G14" s="58">
        <v>1204.135</v>
      </c>
      <c r="H14" s="58">
        <v>1183.4559999999999</v>
      </c>
      <c r="I14" s="58">
        <v>955.23400000000004</v>
      </c>
      <c r="J14" s="58">
        <v>938.74099999999999</v>
      </c>
      <c r="K14" s="58">
        <v>1053.232</v>
      </c>
      <c r="L14" s="58">
        <v>1117.6388579873562</v>
      </c>
      <c r="M14" s="58"/>
      <c r="N14" s="58"/>
      <c r="O14" s="58"/>
      <c r="DT14" s="139" t="s">
        <v>284</v>
      </c>
      <c r="EB14" s="33" t="s">
        <v>291</v>
      </c>
      <c r="ED14" s="33" t="s">
        <v>295</v>
      </c>
    </row>
    <row r="15" spans="1:134" s="34" customFormat="1" ht="15" customHeight="1" x14ac:dyDescent="0.25">
      <c r="A15" s="206" t="s">
        <v>18</v>
      </c>
      <c r="B15" s="110" t="s">
        <v>26</v>
      </c>
      <c r="C15" s="111" t="s">
        <v>25</v>
      </c>
      <c r="D15" s="112">
        <v>0</v>
      </c>
      <c r="E15" s="113">
        <v>0</v>
      </c>
      <c r="F15" s="113">
        <v>0</v>
      </c>
      <c r="G15" s="113">
        <v>0</v>
      </c>
      <c r="H15" s="113">
        <v>0</v>
      </c>
      <c r="I15" s="113">
        <v>0</v>
      </c>
      <c r="J15" s="113">
        <v>0</v>
      </c>
      <c r="K15" s="113">
        <v>0</v>
      </c>
      <c r="L15" s="113">
        <v>0</v>
      </c>
      <c r="M15" s="113"/>
      <c r="N15" s="113"/>
      <c r="O15" s="113"/>
      <c r="DT15" s="34" t="s">
        <v>285</v>
      </c>
      <c r="EB15" s="34" t="s">
        <v>291</v>
      </c>
      <c r="ED15" s="34" t="s">
        <v>295</v>
      </c>
    </row>
    <row r="16" spans="1:134" s="34" customFormat="1" ht="15" customHeight="1" x14ac:dyDescent="0.25">
      <c r="A16" s="207"/>
      <c r="B16" s="110" t="s">
        <v>27</v>
      </c>
      <c r="C16" s="111" t="s">
        <v>25</v>
      </c>
      <c r="D16" s="112">
        <v>1246.4369999999999</v>
      </c>
      <c r="E16" s="113">
        <v>1299.7470000000001</v>
      </c>
      <c r="F16" s="113">
        <v>1383.46</v>
      </c>
      <c r="G16" s="113">
        <v>1201.135</v>
      </c>
      <c r="H16" s="113">
        <v>1180.4559999999999</v>
      </c>
      <c r="I16" s="113">
        <v>953.23400000000004</v>
      </c>
      <c r="J16" s="113">
        <v>936.74099999999999</v>
      </c>
      <c r="K16" s="113">
        <v>1051.049</v>
      </c>
      <c r="L16" s="113">
        <v>1115.3558579873563</v>
      </c>
      <c r="M16" s="113"/>
      <c r="N16" s="113"/>
      <c r="O16" s="113"/>
      <c r="DT16" s="34" t="s">
        <v>286</v>
      </c>
      <c r="EB16" s="34" t="s">
        <v>291</v>
      </c>
      <c r="ED16" s="34" t="s">
        <v>295</v>
      </c>
    </row>
    <row r="17" spans="1:134" s="34" customFormat="1" ht="15" customHeight="1" x14ac:dyDescent="0.25">
      <c r="A17" s="207"/>
      <c r="B17" s="110" t="s">
        <v>28</v>
      </c>
      <c r="C17" s="111" t="s">
        <v>25</v>
      </c>
      <c r="D17" s="112">
        <v>0</v>
      </c>
      <c r="E17" s="113">
        <v>0</v>
      </c>
      <c r="F17" s="113">
        <v>0</v>
      </c>
      <c r="G17" s="113">
        <v>0</v>
      </c>
      <c r="H17" s="113">
        <v>0</v>
      </c>
      <c r="I17" s="113">
        <v>0</v>
      </c>
      <c r="J17" s="113">
        <v>0</v>
      </c>
      <c r="K17" s="113">
        <v>0</v>
      </c>
      <c r="L17" s="113">
        <v>0</v>
      </c>
      <c r="M17" s="113"/>
      <c r="N17" s="113"/>
      <c r="O17" s="113"/>
      <c r="DT17" s="34" t="s">
        <v>287</v>
      </c>
      <c r="EB17" s="34" t="s">
        <v>291</v>
      </c>
      <c r="ED17" s="34" t="s">
        <v>295</v>
      </c>
    </row>
    <row r="18" spans="1:134" s="34" customFormat="1" ht="15" customHeight="1" x14ac:dyDescent="0.25">
      <c r="A18" s="208"/>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activeCell="L31" sqref="L31"/>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8" t="s">
        <v>0</v>
      </c>
      <c r="B1" s="201"/>
      <c r="C1" s="31"/>
      <c r="D1" s="1"/>
      <c r="E1" s="2"/>
      <c r="F1" s="2"/>
      <c r="G1" s="2"/>
      <c r="H1" s="2"/>
      <c r="I1" s="2"/>
      <c r="J1" s="2"/>
      <c r="K1" s="2"/>
      <c r="L1" s="2"/>
      <c r="M1" s="2"/>
      <c r="N1" s="2"/>
      <c r="O1" s="2"/>
    </row>
    <row r="2" spans="1:134" ht="18" customHeight="1" x14ac:dyDescent="0.25">
      <c r="A2" s="180"/>
      <c r="B2" s="194"/>
      <c r="C2" s="1"/>
      <c r="D2" s="1"/>
      <c r="E2" s="5"/>
      <c r="F2" s="3"/>
      <c r="G2" s="3"/>
      <c r="H2" s="3"/>
      <c r="I2" s="3"/>
      <c r="J2" s="3"/>
      <c r="K2" s="3"/>
      <c r="L2" s="3"/>
      <c r="M2" s="3"/>
      <c r="N2" s="3"/>
      <c r="O2" s="3"/>
    </row>
    <row r="3" spans="1:134" ht="18" customHeight="1" x14ac:dyDescent="0.25">
      <c r="A3" s="182" t="s">
        <v>10</v>
      </c>
      <c r="B3" s="202"/>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85"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9" t="s">
        <v>13</v>
      </c>
      <c r="B6" s="210"/>
      <c r="C6" s="32" t="s">
        <v>14</v>
      </c>
      <c r="D6" s="62">
        <v>1303.47</v>
      </c>
      <c r="E6" s="63">
        <v>1191.8209999999999</v>
      </c>
      <c r="F6" s="63">
        <v>1194.511</v>
      </c>
      <c r="G6" s="63">
        <v>1199.2190000000001</v>
      </c>
      <c r="H6" s="63">
        <v>1175.0060000000001</v>
      </c>
      <c r="I6" s="63">
        <v>1183.077</v>
      </c>
      <c r="J6" s="63">
        <v>1205.9449999999999</v>
      </c>
      <c r="K6" s="63">
        <v>1114.1199999999999</v>
      </c>
      <c r="L6" s="63">
        <v>1123.2736725855377</v>
      </c>
      <c r="M6" s="63"/>
      <c r="N6" s="63"/>
      <c r="O6" s="63"/>
      <c r="DS6" s="4" t="str">
        <f>VLOOKUP(Cover!$D$15, Country_list!$B$3:$C$44, 2, 0)</f>
        <v>LV</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M13" sqref="M13"/>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8" t="s">
        <v>0</v>
      </c>
      <c r="B1" s="201"/>
      <c r="C1" s="31"/>
      <c r="D1" s="1"/>
      <c r="E1" s="2"/>
      <c r="F1" s="2"/>
      <c r="G1" s="2"/>
      <c r="H1" s="2"/>
      <c r="I1" s="2"/>
      <c r="J1" s="2"/>
      <c r="K1" s="2"/>
      <c r="L1" s="2"/>
      <c r="M1" s="2"/>
      <c r="N1" s="2"/>
      <c r="O1" s="2"/>
    </row>
    <row r="2" spans="1:134" ht="18" customHeight="1" x14ac:dyDescent="0.25">
      <c r="A2" s="180"/>
      <c r="B2" s="194"/>
      <c r="C2" s="1"/>
      <c r="D2" s="1"/>
      <c r="E2" s="5"/>
      <c r="F2" s="3"/>
      <c r="G2" s="3"/>
      <c r="H2" s="3"/>
      <c r="I2" s="3"/>
      <c r="J2" s="3"/>
      <c r="K2" s="3"/>
      <c r="L2" s="3"/>
      <c r="M2" s="3"/>
      <c r="N2" s="3"/>
      <c r="O2" s="3"/>
    </row>
    <row r="3" spans="1:134" ht="18" customHeight="1" x14ac:dyDescent="0.25">
      <c r="A3" s="182" t="s">
        <v>11</v>
      </c>
      <c r="B3" s="202"/>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5"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3" t="s">
        <v>13</v>
      </c>
      <c r="B6" s="211"/>
      <c r="C6" s="8" t="s">
        <v>14</v>
      </c>
      <c r="D6" s="59">
        <v>0</v>
      </c>
      <c r="E6" s="60">
        <v>0</v>
      </c>
      <c r="F6" s="60">
        <v>0</v>
      </c>
      <c r="G6" s="60">
        <v>0</v>
      </c>
      <c r="H6" s="60">
        <v>0</v>
      </c>
      <c r="I6" s="60">
        <v>0</v>
      </c>
      <c r="J6" s="60">
        <v>0</v>
      </c>
      <c r="K6" s="60">
        <v>0</v>
      </c>
      <c r="L6" s="60">
        <v>0</v>
      </c>
      <c r="M6" s="60"/>
      <c r="N6" s="60"/>
      <c r="O6" s="60"/>
      <c r="DS6" s="4" t="str">
        <f>VLOOKUP(Cover!$D$15, Country_list!$B$3:$C$44, 2, 0)</f>
        <v>LV</v>
      </c>
      <c r="DT6" s="33" t="s">
        <v>289</v>
      </c>
      <c r="DV6" s="33" t="s">
        <v>307</v>
      </c>
      <c r="EB6" s="33" t="s">
        <v>291</v>
      </c>
      <c r="ED6" s="33" t="s">
        <v>294</v>
      </c>
    </row>
    <row r="7" spans="1:134" ht="24" customHeight="1" x14ac:dyDescent="0.25">
      <c r="A7" s="176" t="s">
        <v>15</v>
      </c>
      <c r="B7" s="212"/>
      <c r="C7" s="9" t="s">
        <v>25</v>
      </c>
      <c r="D7" s="61">
        <v>0</v>
      </c>
      <c r="E7" s="58">
        <v>0</v>
      </c>
      <c r="F7" s="58">
        <v>0</v>
      </c>
      <c r="G7" s="58">
        <v>0</v>
      </c>
      <c r="H7" s="58">
        <v>0</v>
      </c>
      <c r="I7" s="58">
        <v>0</v>
      </c>
      <c r="J7" s="58">
        <v>0</v>
      </c>
      <c r="K7" s="58">
        <v>0</v>
      </c>
      <c r="L7" s="58">
        <v>0</v>
      </c>
      <c r="M7" s="58"/>
      <c r="N7" s="58"/>
      <c r="O7" s="58"/>
      <c r="DT7" s="33" t="s">
        <v>290</v>
      </c>
      <c r="EB7" s="33" t="s">
        <v>291</v>
      </c>
      <c r="ED7" s="33" t="s">
        <v>295</v>
      </c>
    </row>
    <row r="8" spans="1:134" ht="24" customHeight="1" x14ac:dyDescent="0.25">
      <c r="A8" s="176" t="s">
        <v>29</v>
      </c>
      <c r="B8" s="212"/>
      <c r="C8" s="9" t="s">
        <v>17</v>
      </c>
      <c r="D8" s="61">
        <v>0</v>
      </c>
      <c r="E8" s="58">
        <v>0</v>
      </c>
      <c r="F8" s="58">
        <v>0</v>
      </c>
      <c r="G8" s="58">
        <v>0</v>
      </c>
      <c r="H8" s="58">
        <v>0</v>
      </c>
      <c r="I8" s="58">
        <v>0</v>
      </c>
      <c r="J8" s="58">
        <v>0</v>
      </c>
      <c r="K8" s="58">
        <v>0</v>
      </c>
      <c r="L8" s="58">
        <v>0</v>
      </c>
      <c r="M8" s="58"/>
      <c r="N8" s="58"/>
      <c r="O8" s="58"/>
      <c r="DT8" s="33" t="s">
        <v>231</v>
      </c>
      <c r="EB8" s="33" t="s">
        <v>291</v>
      </c>
      <c r="ED8" s="33" t="s">
        <v>296</v>
      </c>
    </row>
    <row r="9" spans="1:134" ht="24" customHeight="1" x14ac:dyDescent="0.25">
      <c r="A9" s="176" t="s">
        <v>156</v>
      </c>
      <c r="B9" s="200"/>
      <c r="C9" s="9" t="s">
        <v>19</v>
      </c>
      <c r="D9" s="61">
        <v>0</v>
      </c>
      <c r="E9" s="58">
        <v>0</v>
      </c>
      <c r="F9" s="58">
        <v>0</v>
      </c>
      <c r="G9" s="58">
        <v>0</v>
      </c>
      <c r="H9" s="58">
        <v>0</v>
      </c>
      <c r="I9" s="58">
        <v>0</v>
      </c>
      <c r="J9" s="58">
        <v>0</v>
      </c>
      <c r="K9" s="58">
        <v>0</v>
      </c>
      <c r="L9" s="58">
        <v>0</v>
      </c>
      <c r="M9" s="58"/>
      <c r="N9" s="58"/>
      <c r="O9" s="58"/>
      <c r="DT9" s="33" t="s">
        <v>279</v>
      </c>
      <c r="EB9" s="33" t="s">
        <v>292</v>
      </c>
      <c r="ED9" s="33" t="s">
        <v>293</v>
      </c>
    </row>
    <row r="10" spans="1:134" ht="24" customHeight="1" x14ac:dyDescent="0.25">
      <c r="A10" s="176" t="s">
        <v>20</v>
      </c>
      <c r="B10" s="200"/>
      <c r="C10" s="9" t="s">
        <v>19</v>
      </c>
      <c r="D10" s="61">
        <v>7.8630000000000004</v>
      </c>
      <c r="E10" s="58">
        <v>7.8630000000000004</v>
      </c>
      <c r="F10" s="58">
        <v>7.8410000000000002</v>
      </c>
      <c r="G10" s="58">
        <v>7.8633547028390147</v>
      </c>
      <c r="H10" s="58">
        <v>7.8633547028390147</v>
      </c>
      <c r="I10" s="58">
        <v>7.0979999999999999</v>
      </c>
      <c r="J10" s="58">
        <v>7.0979999999999999</v>
      </c>
      <c r="K10" s="58">
        <v>7.0940000000000003</v>
      </c>
      <c r="L10" s="58">
        <v>7.0979999999999999</v>
      </c>
      <c r="M10" s="58"/>
      <c r="N10" s="58"/>
      <c r="O10" s="58"/>
      <c r="DT10" s="139" t="s">
        <v>280</v>
      </c>
      <c r="EB10" s="33" t="s">
        <v>292</v>
      </c>
      <c r="ED10" s="33" t="s">
        <v>293</v>
      </c>
    </row>
    <row r="11" spans="1:134" s="34" customFormat="1" ht="15" customHeight="1" x14ac:dyDescent="0.25">
      <c r="A11" s="175" t="s">
        <v>18</v>
      </c>
      <c r="B11" s="110" t="s">
        <v>21</v>
      </c>
      <c r="C11" s="111" t="s">
        <v>19</v>
      </c>
      <c r="D11" s="112">
        <v>0</v>
      </c>
      <c r="E11" s="113">
        <v>0</v>
      </c>
      <c r="F11" s="113">
        <v>0</v>
      </c>
      <c r="G11" s="113">
        <v>0</v>
      </c>
      <c r="H11" s="113">
        <v>0</v>
      </c>
      <c r="I11" s="113">
        <v>0</v>
      </c>
      <c r="J11" s="113">
        <v>0</v>
      </c>
      <c r="K11" s="113">
        <v>0</v>
      </c>
      <c r="L11" s="113">
        <v>0</v>
      </c>
      <c r="M11" s="113"/>
      <c r="N11" s="113"/>
      <c r="O11" s="113"/>
      <c r="DT11" s="34" t="s">
        <v>281</v>
      </c>
      <c r="EB11" s="34" t="s">
        <v>292</v>
      </c>
      <c r="ED11" s="34" t="s">
        <v>293</v>
      </c>
    </row>
    <row r="12" spans="1:134" s="34" customFormat="1" ht="15" customHeight="1" x14ac:dyDescent="0.25">
      <c r="A12" s="175"/>
      <c r="B12" s="110" t="s">
        <v>22</v>
      </c>
      <c r="C12" s="111" t="s">
        <v>19</v>
      </c>
      <c r="D12" s="112">
        <v>0</v>
      </c>
      <c r="E12" s="113">
        <v>0</v>
      </c>
      <c r="F12" s="113">
        <v>0</v>
      </c>
      <c r="G12" s="113">
        <v>0</v>
      </c>
      <c r="H12" s="113">
        <v>0</v>
      </c>
      <c r="I12" s="113">
        <v>0</v>
      </c>
      <c r="J12" s="113">
        <v>0</v>
      </c>
      <c r="K12" s="113">
        <v>0</v>
      </c>
      <c r="L12" s="113">
        <v>0</v>
      </c>
      <c r="M12" s="113"/>
      <c r="N12" s="113"/>
      <c r="O12" s="113"/>
      <c r="DT12" s="34" t="s">
        <v>282</v>
      </c>
      <c r="EB12" s="34" t="s">
        <v>292</v>
      </c>
      <c r="ED12" s="34" t="s">
        <v>293</v>
      </c>
    </row>
    <row r="13" spans="1:134" s="34" customFormat="1" ht="15" customHeight="1" x14ac:dyDescent="0.25">
      <c r="A13" s="175"/>
      <c r="B13" s="110" t="s">
        <v>23</v>
      </c>
      <c r="C13" s="111" t="s">
        <v>19</v>
      </c>
      <c r="D13" s="112">
        <v>1.859</v>
      </c>
      <c r="E13" s="113">
        <v>1.859</v>
      </c>
      <c r="F13" s="113">
        <v>1.859</v>
      </c>
      <c r="G13" s="113">
        <v>1.859</v>
      </c>
      <c r="H13" s="113">
        <v>1.859</v>
      </c>
      <c r="I13" s="113">
        <v>2.0979999999999999</v>
      </c>
      <c r="J13" s="113">
        <v>2.0979999999999999</v>
      </c>
      <c r="K13" s="113">
        <v>2.0939999999999999</v>
      </c>
      <c r="L13" s="113">
        <v>2.0950000000000002</v>
      </c>
      <c r="M13" s="113"/>
      <c r="N13" s="113"/>
      <c r="O13" s="113"/>
      <c r="DT13" s="34" t="s">
        <v>283</v>
      </c>
      <c r="EB13" s="34" t="s">
        <v>292</v>
      </c>
      <c r="ED13" s="34" t="s">
        <v>293</v>
      </c>
    </row>
    <row r="14" spans="1:134" ht="24" customHeight="1" x14ac:dyDescent="0.25">
      <c r="A14" s="176" t="s">
        <v>24</v>
      </c>
      <c r="B14" s="200"/>
      <c r="C14" s="9" t="s">
        <v>25</v>
      </c>
      <c r="D14" s="61">
        <v>0</v>
      </c>
      <c r="E14" s="58">
        <v>0</v>
      </c>
      <c r="F14" s="58">
        <v>0</v>
      </c>
      <c r="G14" s="58">
        <v>0</v>
      </c>
      <c r="H14" s="58">
        <v>0</v>
      </c>
      <c r="I14" s="58">
        <v>0</v>
      </c>
      <c r="J14" s="58">
        <v>0</v>
      </c>
      <c r="K14" s="58">
        <v>0</v>
      </c>
      <c r="L14" s="58">
        <v>0</v>
      </c>
      <c r="M14" s="58"/>
      <c r="N14" s="58"/>
      <c r="O14" s="58"/>
      <c r="DT14" s="139" t="s">
        <v>284</v>
      </c>
      <c r="EB14" s="33" t="s">
        <v>291</v>
      </c>
      <c r="ED14" s="33" t="s">
        <v>295</v>
      </c>
    </row>
    <row r="15" spans="1:134" s="34" customFormat="1" ht="15" customHeight="1" x14ac:dyDescent="0.25">
      <c r="A15" s="206" t="s">
        <v>18</v>
      </c>
      <c r="B15" s="110" t="s">
        <v>26</v>
      </c>
      <c r="C15" s="111" t="s">
        <v>25</v>
      </c>
      <c r="D15" s="112">
        <v>0</v>
      </c>
      <c r="E15" s="113">
        <v>0</v>
      </c>
      <c r="F15" s="113">
        <v>0</v>
      </c>
      <c r="G15" s="113">
        <v>0</v>
      </c>
      <c r="H15" s="113">
        <v>0</v>
      </c>
      <c r="I15" s="113">
        <v>0</v>
      </c>
      <c r="J15" s="113">
        <v>0</v>
      </c>
      <c r="K15" s="113">
        <v>0</v>
      </c>
      <c r="L15" s="113">
        <v>0</v>
      </c>
      <c r="M15" s="113"/>
      <c r="N15" s="113"/>
      <c r="O15" s="113"/>
      <c r="DT15" s="34" t="s">
        <v>285</v>
      </c>
      <c r="EB15" s="34" t="s">
        <v>291</v>
      </c>
      <c r="ED15" s="34" t="s">
        <v>295</v>
      </c>
    </row>
    <row r="16" spans="1:134" s="34" customFormat="1" ht="15" customHeight="1" x14ac:dyDescent="0.25">
      <c r="A16" s="207"/>
      <c r="B16" s="110" t="s">
        <v>27</v>
      </c>
      <c r="C16" s="111" t="s">
        <v>25</v>
      </c>
      <c r="D16" s="112">
        <v>0</v>
      </c>
      <c r="E16" s="113">
        <v>0</v>
      </c>
      <c r="F16" s="113">
        <v>0</v>
      </c>
      <c r="G16" s="113">
        <v>0</v>
      </c>
      <c r="H16" s="113">
        <v>0</v>
      </c>
      <c r="I16" s="113">
        <v>0</v>
      </c>
      <c r="J16" s="113">
        <v>0</v>
      </c>
      <c r="K16" s="113">
        <v>0</v>
      </c>
      <c r="L16" s="113">
        <v>0</v>
      </c>
      <c r="M16" s="113"/>
      <c r="N16" s="113"/>
      <c r="O16" s="113"/>
      <c r="DT16" s="34" t="s">
        <v>286</v>
      </c>
      <c r="EB16" s="34" t="s">
        <v>291</v>
      </c>
      <c r="ED16" s="34" t="s">
        <v>295</v>
      </c>
    </row>
    <row r="17" spans="1:134" s="34" customFormat="1" ht="15" customHeight="1" x14ac:dyDescent="0.25">
      <c r="A17" s="207"/>
      <c r="B17" s="110" t="s">
        <v>28</v>
      </c>
      <c r="C17" s="111" t="s">
        <v>25</v>
      </c>
      <c r="D17" s="112">
        <v>0</v>
      </c>
      <c r="E17" s="113">
        <v>0</v>
      </c>
      <c r="F17" s="113">
        <v>0</v>
      </c>
      <c r="G17" s="113">
        <v>0</v>
      </c>
      <c r="H17" s="113">
        <v>0</v>
      </c>
      <c r="I17" s="113">
        <v>0</v>
      </c>
      <c r="J17" s="113">
        <v>0</v>
      </c>
      <c r="K17" s="113">
        <v>0</v>
      </c>
      <c r="L17" s="113">
        <v>0</v>
      </c>
      <c r="M17" s="113"/>
      <c r="N17" s="113"/>
      <c r="O17" s="113"/>
      <c r="DT17" s="34" t="s">
        <v>287</v>
      </c>
      <c r="EB17" s="34" t="s">
        <v>291</v>
      </c>
      <c r="ED17" s="34" t="s">
        <v>295</v>
      </c>
    </row>
    <row r="18" spans="1:134" s="34" customFormat="1" ht="15" customHeight="1" x14ac:dyDescent="0.25">
      <c r="A18" s="208"/>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election activeCell="C5" sqref="C5:C43"/>
    </sheetView>
  </sheetViews>
  <sheetFormatPr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3" t="s">
        <v>44</v>
      </c>
      <c r="C3" s="214"/>
      <c r="D3" s="215"/>
    </row>
    <row r="4" spans="2:4" ht="15.75" thickBot="1" x14ac:dyDescent="0.3"/>
    <row r="5" spans="2:4" ht="15" customHeight="1" x14ac:dyDescent="0.25">
      <c r="B5" s="39"/>
      <c r="C5" s="216"/>
      <c r="D5" s="95"/>
    </row>
    <row r="6" spans="2:4" x14ac:dyDescent="0.25">
      <c r="B6" s="40"/>
      <c r="C6" s="217"/>
      <c r="D6" s="41"/>
    </row>
    <row r="7" spans="2:4" x14ac:dyDescent="0.25">
      <c r="B7" s="40"/>
      <c r="C7" s="217"/>
      <c r="D7" s="41"/>
    </row>
    <row r="8" spans="2:4" x14ac:dyDescent="0.25">
      <c r="B8" s="40"/>
      <c r="C8" s="217"/>
      <c r="D8" s="41"/>
    </row>
    <row r="9" spans="2:4" x14ac:dyDescent="0.25">
      <c r="B9" s="40"/>
      <c r="C9" s="217"/>
      <c r="D9" s="41"/>
    </row>
    <row r="10" spans="2:4" x14ac:dyDescent="0.25">
      <c r="B10" s="40"/>
      <c r="C10" s="217"/>
      <c r="D10" s="41"/>
    </row>
    <row r="11" spans="2:4" x14ac:dyDescent="0.25">
      <c r="B11" s="40"/>
      <c r="C11" s="217"/>
      <c r="D11" s="41"/>
    </row>
    <row r="12" spans="2:4" x14ac:dyDescent="0.25">
      <c r="B12" s="40"/>
      <c r="C12" s="217"/>
      <c r="D12" s="41"/>
    </row>
    <row r="13" spans="2:4" x14ac:dyDescent="0.25">
      <c r="B13" s="40"/>
      <c r="C13" s="217"/>
      <c r="D13" s="41"/>
    </row>
    <row r="14" spans="2:4" x14ac:dyDescent="0.25">
      <c r="B14" s="40"/>
      <c r="C14" s="217"/>
      <c r="D14" s="41"/>
    </row>
    <row r="15" spans="2:4" x14ac:dyDescent="0.25">
      <c r="B15" s="40"/>
      <c r="C15" s="217"/>
      <c r="D15" s="41"/>
    </row>
    <row r="16" spans="2:4" x14ac:dyDescent="0.25">
      <c r="B16" s="40"/>
      <c r="C16" s="217"/>
      <c r="D16" s="41"/>
    </row>
    <row r="17" spans="2:4" x14ac:dyDescent="0.25">
      <c r="B17" s="40"/>
      <c r="C17" s="217"/>
      <c r="D17" s="41"/>
    </row>
    <row r="18" spans="2:4" x14ac:dyDescent="0.25">
      <c r="B18" s="40"/>
      <c r="C18" s="217"/>
      <c r="D18" s="41"/>
    </row>
    <row r="19" spans="2:4" x14ac:dyDescent="0.25">
      <c r="B19" s="40"/>
      <c r="C19" s="217"/>
      <c r="D19" s="41"/>
    </row>
    <row r="20" spans="2:4" x14ac:dyDescent="0.25">
      <c r="B20" s="40"/>
      <c r="C20" s="217"/>
      <c r="D20" s="41"/>
    </row>
    <row r="21" spans="2:4" x14ac:dyDescent="0.25">
      <c r="B21" s="40"/>
      <c r="C21" s="217"/>
      <c r="D21" s="41"/>
    </row>
    <row r="22" spans="2:4" x14ac:dyDescent="0.25">
      <c r="B22" s="40"/>
      <c r="C22" s="217"/>
      <c r="D22" s="41"/>
    </row>
    <row r="23" spans="2:4" x14ac:dyDescent="0.25">
      <c r="B23" s="40"/>
      <c r="C23" s="217"/>
      <c r="D23" s="41"/>
    </row>
    <row r="24" spans="2:4" x14ac:dyDescent="0.25">
      <c r="B24" s="40"/>
      <c r="C24" s="217"/>
      <c r="D24" s="41"/>
    </row>
    <row r="25" spans="2:4" x14ac:dyDescent="0.25">
      <c r="B25" s="40"/>
      <c r="C25" s="217"/>
      <c r="D25" s="41"/>
    </row>
    <row r="26" spans="2:4" x14ac:dyDescent="0.25">
      <c r="B26" s="40"/>
      <c r="C26" s="217"/>
      <c r="D26" s="41"/>
    </row>
    <row r="27" spans="2:4" x14ac:dyDescent="0.25">
      <c r="B27" s="40"/>
      <c r="C27" s="217"/>
      <c r="D27" s="41"/>
    </row>
    <row r="28" spans="2:4" x14ac:dyDescent="0.25">
      <c r="B28" s="40"/>
      <c r="C28" s="217"/>
      <c r="D28" s="41"/>
    </row>
    <row r="29" spans="2:4" x14ac:dyDescent="0.25">
      <c r="B29" s="40"/>
      <c r="C29" s="217"/>
      <c r="D29" s="41"/>
    </row>
    <row r="30" spans="2:4" x14ac:dyDescent="0.25">
      <c r="B30" s="40"/>
      <c r="C30" s="217"/>
      <c r="D30" s="41"/>
    </row>
    <row r="31" spans="2:4" x14ac:dyDescent="0.25">
      <c r="B31" s="40"/>
      <c r="C31" s="217"/>
      <c r="D31" s="41"/>
    </row>
    <row r="32" spans="2:4" x14ac:dyDescent="0.25">
      <c r="B32" s="40"/>
      <c r="C32" s="217"/>
      <c r="D32" s="41"/>
    </row>
    <row r="33" spans="2:4" x14ac:dyDescent="0.25">
      <c r="B33" s="40"/>
      <c r="C33" s="217"/>
      <c r="D33" s="41"/>
    </row>
    <row r="34" spans="2:4" x14ac:dyDescent="0.25">
      <c r="B34" s="40"/>
      <c r="C34" s="217"/>
      <c r="D34" s="41"/>
    </row>
    <row r="35" spans="2:4" x14ac:dyDescent="0.25">
      <c r="B35" s="40"/>
      <c r="C35" s="217"/>
      <c r="D35" s="41"/>
    </row>
    <row r="36" spans="2:4" x14ac:dyDescent="0.25">
      <c r="B36" s="40"/>
      <c r="C36" s="217"/>
      <c r="D36" s="41"/>
    </row>
    <row r="37" spans="2:4" x14ac:dyDescent="0.25">
      <c r="B37" s="40"/>
      <c r="C37" s="217"/>
      <c r="D37" s="41"/>
    </row>
    <row r="38" spans="2:4" x14ac:dyDescent="0.25">
      <c r="B38" s="40"/>
      <c r="C38" s="217"/>
      <c r="D38" s="41"/>
    </row>
    <row r="39" spans="2:4" x14ac:dyDescent="0.25">
      <c r="B39" s="40"/>
      <c r="C39" s="217"/>
      <c r="D39" s="41"/>
    </row>
    <row r="40" spans="2:4" x14ac:dyDescent="0.25">
      <c r="B40" s="40"/>
      <c r="C40" s="217"/>
      <c r="D40" s="41"/>
    </row>
    <row r="41" spans="2:4" x14ac:dyDescent="0.25">
      <c r="B41" s="40"/>
      <c r="C41" s="217"/>
      <c r="D41" s="41"/>
    </row>
    <row r="42" spans="2:4" x14ac:dyDescent="0.25">
      <c r="B42" s="40"/>
      <c r="C42" s="217"/>
      <c r="D42" s="41"/>
    </row>
    <row r="43" spans="2:4" ht="15.75" thickBot="1" x14ac:dyDescent="0.3">
      <c r="B43" s="42"/>
      <c r="C43" s="218"/>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zoomScale="90" zoomScaleNormal="90" workbookViewId="0">
      <selection activeCell="K22" sqref="K22"/>
    </sheetView>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TRUE</v>
      </c>
      <c r="D42" s="99" t="str">
        <f>IF(Calorific_Values!E9&lt;&gt;0,IF(AND(5000&lt;=Calorific_Values!E9,Calorific_Values!E9&lt;=30000),"TRUE","FALSE"),"")</f>
        <v>TRUE</v>
      </c>
      <c r="E42" s="99" t="str">
        <f>IF(Calorific_Values!F9&lt;&gt;0,IF(AND(5000&lt;=Calorific_Values!F9,Calorific_Values!F9&lt;=30000),"TRUE","FALSE"),"")</f>
        <v>TRUE</v>
      </c>
      <c r="F42" s="99" t="str">
        <f>IF(Calorific_Values!G9&lt;&gt;0,IF(AND(5000&lt;=Calorific_Values!G9,Calorific_Values!G9&lt;=30000),"TRUE","FALSE"),"")</f>
        <v>TRUE</v>
      </c>
      <c r="G42" s="99" t="str">
        <f>IF(Calorific_Values!H9&lt;&gt;0,IF(AND(5000&lt;=Calorific_Values!H9,Calorific_Values!H9&lt;=30000),"TRUE","FALSE"),"")</f>
        <v>TRUE</v>
      </c>
      <c r="H42" s="99" t="str">
        <f>IF(Calorific_Values!I9&lt;&gt;0,IF(AND(5000&lt;=Calorific_Values!I9,Calorific_Values!I9&lt;=30000),"TRUE","FALSE"),"")</f>
        <v>TRUE</v>
      </c>
      <c r="I42" s="99" t="str">
        <f>IF(Calorific_Values!J9&lt;&gt;0,IF(AND(5000&lt;=Calorific_Values!J9,Calorific_Values!J9&lt;=30000),"TRUE","FALSE"),"")</f>
        <v>TRUE</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TRUE</v>
      </c>
      <c r="D43" s="99" t="str">
        <f>IF(Calorific_Values!E10&lt;&gt;0,IF(AND(40000&lt;=Calorific_Values!E10,Calorific_Values!E10&lt;=50000),"TRUE","FALSE"),"")</f>
        <v>TRUE</v>
      </c>
      <c r="E43" s="99" t="str">
        <f>IF(Calorific_Values!F10&lt;&gt;0,IF(AND(40000&lt;=Calorific_Values!F10,Calorific_Values!F10&lt;=50000),"TRUE","FALSE"),"")</f>
        <v>TRUE</v>
      </c>
      <c r="F43" s="99" t="str">
        <f>IF(Calorific_Values!G10&lt;&gt;0,IF(AND(40000&lt;=Calorific_Values!G10,Calorific_Values!G10&lt;=50000),"TRUE","FALSE"),"")</f>
        <v>TRUE</v>
      </c>
      <c r="G43" s="99" t="str">
        <f>IF(Calorific_Values!H10&lt;&gt;0,IF(AND(40000&lt;=Calorific_Values!H10,Calorific_Values!H10&lt;=50000),"TRUE","FALSE"),"")</f>
        <v>TRUE</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TRUE</v>
      </c>
      <c r="D44" s="99" t="str">
        <f>IF(Calorific_Values!E11&lt;&gt;0,IF(AND(40000&lt;=Calorific_Values!E11,Calorific_Values!E11&lt;=50000),"TRUE","FALSE"),"")</f>
        <v>TRUE</v>
      </c>
      <c r="E44" s="99" t="str">
        <f>IF(Calorific_Values!F11&lt;&gt;0,IF(AND(40000&lt;=Calorific_Values!F11,Calorific_Values!F11&lt;=50000),"TRUE","FALSE"),"")</f>
        <v>TRUE</v>
      </c>
      <c r="F44" s="99" t="str">
        <f>IF(Calorific_Values!G11&lt;&gt;0,IF(AND(40000&lt;=Calorific_Values!G11,Calorific_Values!G11&lt;=50000),"TRUE","FALSE"),"")</f>
        <v>TRUE</v>
      </c>
      <c r="G44" s="99" t="str">
        <f>IF(Calorific_Values!H11&lt;&gt;0,IF(AND(40000&lt;=Calorific_Values!H11,Calorific_Values!H11&lt;=50000),"TRUE","FALSE"),"")</f>
        <v>TRUE</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
      </c>
      <c r="I45" s="99" t="str">
        <f>IF(Calorific_Values!J12&lt;&gt;0,IF(AND(40000&lt;=Calorific_Values!J12,Calorific_Values!J12&lt;=45000),"TRUE","FALSE"),"")</f>
        <v/>
      </c>
      <c r="J45" s="99" t="str">
        <f>IF(Calorific_Values!K12&lt;&gt;0,IF(AND(40000&lt;=Calorific_Values!K12,Calorific_Values!K12&lt;=45000),"TRUE","FALSE"),"")</f>
        <v/>
      </c>
      <c r="K45" s="99" t="str">
        <f>IF(Calorific_Values!L12&lt;&gt;0,IF(AND(40000&lt;=Calorific_Values!L12,Calorific_Values!L12&lt;=45000),"TRUE","FALSE"),"")</f>
        <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TRUE</v>
      </c>
      <c r="D46" s="99" t="str">
        <f>IF(Calorific_Values!E13&lt;&gt;0,IF(AND(40000&lt;=Calorific_Values!E13,Calorific_Values!E13&lt;=45000),"TRUE","FALSE"),"")</f>
        <v>TRUE</v>
      </c>
      <c r="E46" s="99" t="str">
        <f>IF(Calorific_Values!F13&lt;&gt;0,IF(AND(40000&lt;=Calorific_Values!F13,Calorific_Values!F13&lt;=45000),"TRUE","FALSE"),"")</f>
        <v>TRUE</v>
      </c>
      <c r="F46" s="99" t="str">
        <f>IF(Calorific_Values!G13&lt;&gt;0,IF(AND(40000&lt;=Calorific_Values!G13,Calorific_Values!G13&lt;=45000),"TRUE","FALSE"),"")</f>
        <v>TRUE</v>
      </c>
      <c r="G46" s="99" t="str">
        <f>IF(Calorific_Values!H13&lt;&gt;0,IF(AND(40000&lt;=Calorific_Values!H13,Calorific_Values!H13&lt;=45000),"TRUE","FALSE"),"")</f>
        <v>TRUE</v>
      </c>
      <c r="H46" s="99" t="str">
        <f>IF(Calorific_Values!I13&lt;&gt;0,IF(AND(40000&lt;=Calorific_Values!I13,Calorific_Values!I13&lt;=45000),"TRUE","FALSE"),"")</f>
        <v>TRUE</v>
      </c>
      <c r="I46" s="99" t="str">
        <f>IF(Calorific_Values!J13&lt;&gt;0,IF(AND(40000&lt;=Calorific_Values!J13,Calorific_Values!J13&lt;=45000),"TRUE","FALSE"),"")</f>
        <v>TRUE</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Definitions</vt:lpstr>
      <vt:lpstr>Cover</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2017-09-15T13:51:39Z</cp:lastPrinted>
  <dcterms:created xsi:type="dcterms:W3CDTF">2014-09-17T09:30:01Z</dcterms:created>
  <dcterms:modified xsi:type="dcterms:W3CDTF">2020-01-30T14:10:46Z</dcterms:modified>
  <cp:category>Annual questionnaires</cp:category>
</cp:coreProperties>
</file>