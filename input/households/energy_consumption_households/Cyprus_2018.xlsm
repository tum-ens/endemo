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480" yWindow="495" windowWidth="20580" windowHeight="1158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L10" i="4" l="1"/>
  <c r="L6" i="10"/>
  <c r="L6" i="9"/>
  <c r="L16" i="11"/>
  <c r="L11" i="9" l="1"/>
  <c r="L16" i="8"/>
  <c r="L13" i="8"/>
  <c r="L12" i="8"/>
  <c r="L16" i="6"/>
  <c r="L12" i="6"/>
  <c r="L10" i="9" l="1"/>
  <c r="L10" i="6"/>
  <c r="L10" i="8"/>
  <c r="L15" i="8"/>
  <c r="L14" i="8" s="1"/>
  <c r="L11" i="6"/>
  <c r="L6" i="6"/>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H17" i="5"/>
  <c r="J17" i="5"/>
  <c r="G17" i="5"/>
  <c r="E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2" i="5"/>
  <c r="K11"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16" i="5"/>
  <c r="H12" i="5"/>
  <c r="E7" i="5"/>
  <c r="G13" i="5"/>
  <c r="E11" i="5"/>
  <c r="E18" i="5"/>
  <c r="E9" i="5"/>
  <c r="I6" i="5"/>
  <c r="G18" i="5"/>
  <c r="J7" i="5"/>
  <c r="G15" i="5"/>
  <c r="E13" i="5"/>
  <c r="G14" i="5"/>
  <c r="J13" i="5"/>
  <c r="H18" i="5"/>
  <c r="H7" i="5"/>
  <c r="J6" i="5"/>
  <c r="E8" i="5"/>
  <c r="G12" i="5"/>
  <c r="H9" i="5"/>
  <c r="J9" i="5"/>
  <c r="E12" i="5"/>
  <c r="H13" i="5"/>
  <c r="F6" i="5"/>
  <c r="G16" i="5"/>
  <c r="E16" i="5"/>
  <c r="J18" i="5"/>
  <c r="E6" i="5"/>
  <c r="H14" i="5"/>
  <c r="E14" i="5"/>
  <c r="J16" i="5"/>
  <c r="G9" i="5"/>
  <c r="E15" i="5"/>
  <c r="H10" i="5"/>
  <c r="G7" i="5"/>
  <c r="G10" i="5"/>
  <c r="J15" i="5"/>
  <c r="H8" i="5"/>
  <c r="J11" i="5"/>
  <c r="G6" i="5"/>
  <c r="J10" i="5"/>
  <c r="G11" i="5"/>
  <c r="H6" i="5"/>
  <c r="G8" i="5"/>
  <c r="J12" i="5"/>
  <c r="J8" i="5"/>
  <c r="H15" i="5"/>
  <c r="J14" i="5"/>
  <c r="H11" i="5"/>
  <c r="K9"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<sst xmlns="http://schemas.openxmlformats.org/spreadsheetml/2006/main" count="952" uniqueCount="315">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</sst>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sz val="11"/>
      <color theme="1"/>
      <name val="Calibri"/>
      <family val="2"/>
      <scheme val="minor"/>
    </font>
    <font>
      <b/>
      <sz val="12"/>
      <color rgb="FF000000"/>
      <name val="Calibri"/>
      <family val="2"/>
    </font>
    <font>
      <b/>
      <i/>
      <sz val="11"/>
      <color rgb="FF000000"/>
      <name val="Calibri"/>
      <family val="2"/>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7"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1" fillId="0" borderId="4" xfId="0" applyFont="1" applyBorder="1" applyAlignment="1">
      <alignment vertical="center"/>
    </xf>
    <xf numFmtId="0" fontId="42" fillId="0" borderId="4" xfId="0" applyFont="1" applyBorder="1" applyAlignment="1">
      <alignment vertical="center"/>
    </xf>
    <xf numFmtId="165" fontId="21" fillId="0" borderId="0" xfId="0" applyNumberFormat="1" applyFont="1" applyBorder="1" applyAlignment="1">
      <alignment vertical="center"/>
    </xf>
    <xf numFmtId="0" fontId="44" fillId="0" borderId="0" xfId="0" applyFont="1"/>
    <xf numFmtId="0" fontId="45" fillId="0" borderId="0" xfId="0" applyFont="1" applyAlignment="1">
      <alignment horizontal="center"/>
    </xf>
    <xf numFmtId="0" fontId="34" fillId="0" borderId="0" xfId="0" applyFont="1"/>
    <xf numFmtId="0" fontId="46"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3"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7" fillId="12" borderId="27" xfId="11" applyFill="1" applyBorder="1"/>
    <xf numFmtId="0" fontId="47" fillId="0" borderId="27" xfId="11" applyFill="1" applyBorder="1"/>
    <xf numFmtId="0" fontId="47" fillId="0" borderId="27" xfId="11" applyFont="1" applyFill="1" applyBorder="1"/>
    <xf numFmtId="0" fontId="47" fillId="12" borderId="27" xfId="11" applyFont="1" applyFill="1" applyBorder="1"/>
    <xf numFmtId="49" fontId="47" fillId="0" borderId="27" xfId="11" applyNumberFormat="1" applyFont="1" applyFill="1" applyBorder="1" applyAlignment="1">
      <alignment horizontal="center" vertical="center"/>
    </xf>
    <xf numFmtId="0" fontId="47"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114300</xdr:rowOff>
        </xdr:from>
        <xdr:to>
          <xdr:col>1</xdr:col>
          <xdr:colOff>1924050</xdr:colOff>
          <xdr:row>31</xdr:row>
          <xdr:rowOff>104775</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26</xdr:row>
          <xdr:rowOff>142875</xdr:rowOff>
        </xdr:from>
        <xdr:to>
          <xdr:col>3</xdr:col>
          <xdr:colOff>1952625</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29</xdr:row>
          <xdr:rowOff>114300</xdr:rowOff>
        </xdr:from>
        <xdr:to>
          <xdr:col>3</xdr:col>
          <xdr:colOff>1952625</xdr:colOff>
          <xdr:row>31</xdr:row>
          <xdr:rowOff>85725</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104775</xdr:rowOff>
        </xdr:from>
        <xdr:to>
          <xdr:col>2</xdr:col>
          <xdr:colOff>1933575</xdr:colOff>
          <xdr:row>34</xdr:row>
          <xdr:rowOff>85725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24</xdr:row>
          <xdr:rowOff>9525</xdr:rowOff>
        </xdr:from>
        <xdr:to>
          <xdr:col>3</xdr:col>
          <xdr:colOff>1952625</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114300</xdr:rowOff>
        </xdr:from>
        <xdr:to>
          <xdr:col>2</xdr:col>
          <xdr:colOff>1924050</xdr:colOff>
          <xdr:row>31</xdr:row>
          <xdr:rowOff>85725</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32</xdr:row>
          <xdr:rowOff>47625</xdr:rowOff>
        </xdr:from>
        <xdr:to>
          <xdr:col>1</xdr:col>
          <xdr:colOff>1924050</xdr:colOff>
          <xdr:row>34</xdr:row>
          <xdr:rowOff>114300</xdr:rowOff>
        </xdr:to>
        <xdr:sp macro="" textlink="">
          <xdr:nvSpPr>
            <xdr:cNvPr id="3192" name="Button 120"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171450</xdr:colOff>
          <xdr:row>32</xdr:row>
          <xdr:rowOff>95250</xdr:rowOff>
        </xdr:from>
        <xdr:to>
          <xdr:col>3</xdr:col>
          <xdr:colOff>1971675</xdr:colOff>
          <xdr:row>34</xdr:row>
          <xdr:rowOff>76200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3" sqref="C23:D23"/>
    </sheetView>
  </sheetViews>
  <sheetFormatPr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58</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4"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114300</xdr:rowOff>
                  </from>
                  <to>
                    <xdr:col>1</xdr:col>
                    <xdr:colOff>1924050</xdr:colOff>
                    <xdr:row>31</xdr:row>
                    <xdr:rowOff>104775</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161925</xdr:colOff>
                    <xdr:row>26</xdr:row>
                    <xdr:rowOff>142875</xdr:rowOff>
                  </from>
                  <to>
                    <xdr:col>3</xdr:col>
                    <xdr:colOff>1952625</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180975</xdr:colOff>
                    <xdr:row>29</xdr:row>
                    <xdr:rowOff>114300</xdr:rowOff>
                  </from>
                  <to>
                    <xdr:col>3</xdr:col>
                    <xdr:colOff>1952625</xdr:colOff>
                    <xdr:row>31</xdr:row>
                    <xdr:rowOff>85725</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104775</xdr:rowOff>
                  </from>
                  <to>
                    <xdr:col>2</xdr:col>
                    <xdr:colOff>1933575</xdr:colOff>
                    <xdr:row>34</xdr:row>
                    <xdr:rowOff>85725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161925</xdr:colOff>
                    <xdr:row>24</xdr:row>
                    <xdr:rowOff>9525</xdr:rowOff>
                  </from>
                  <to>
                    <xdr:col>3</xdr:col>
                    <xdr:colOff>1952625</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114300</xdr:rowOff>
                  </from>
                  <to>
                    <xdr:col>2</xdr:col>
                    <xdr:colOff>1924050</xdr:colOff>
                    <xdr:row>31</xdr:row>
                    <xdr:rowOff>85725</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133350</xdr:colOff>
                    <xdr:row>32</xdr:row>
                    <xdr:rowOff>47625</xdr:rowOff>
                  </from>
                  <to>
                    <xdr:col>1</xdr:col>
                    <xdr:colOff>1924050</xdr:colOff>
                    <xdr:row>34</xdr:row>
                    <xdr:rowOff>114300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171450</xdr:colOff>
                    <xdr:row>32</xdr:row>
                    <xdr:rowOff>95250</xdr:rowOff>
                  </from>
                  <to>
                    <xdr:col>3</xdr:col>
                    <xdr:colOff>1971675</xdr:colOff>
                    <xdr:row>34</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topLeftCell="A48" zoomScale="90" zoomScaleNormal="90" workbookViewId="0">
      <selection activeCell="A67" sqref="A67:XFD67"/>
    </sheetView>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38"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ED19"/>
  <sheetViews>
    <sheetView showGridLines="0" zoomScale="90" zoomScaleNormal="90" workbookViewId="0">
      <pane xSplit="3" topLeftCell="D1" activePane="topRight" state="frozen"/>
      <selection activeCell="DS1" sqref="DS1:ED1048576"/>
      <selection pane="topRight" activeCell="M10" sqref="M10"/>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1" t="s">
        <v>0</v>
      </c>
      <c r="B1" s="172"/>
      <c r="C1" s="20"/>
      <c r="D1" s="1"/>
      <c r="E1" s="2"/>
      <c r="F1" s="2"/>
      <c r="G1" s="2"/>
      <c r="H1" s="2"/>
      <c r="I1" s="2"/>
      <c r="J1" s="2"/>
      <c r="K1" s="2"/>
      <c r="L1" s="2"/>
      <c r="M1" s="2"/>
      <c r="N1" s="2"/>
      <c r="O1" s="2"/>
    </row>
    <row r="2" spans="1:134" ht="18" customHeight="1" x14ac:dyDescent="0.25">
      <c r="A2" s="173"/>
      <c r="B2" s="174"/>
      <c r="C2" s="1"/>
      <c r="D2" s="1"/>
      <c r="E2" s="5"/>
      <c r="F2" s="3"/>
      <c r="G2" s="3"/>
      <c r="H2" s="3"/>
      <c r="I2" s="3"/>
      <c r="J2" s="3"/>
      <c r="K2" s="3"/>
      <c r="L2" s="3"/>
      <c r="M2" s="3"/>
      <c r="N2" s="3"/>
      <c r="O2" s="3"/>
    </row>
    <row r="3" spans="1:134" ht="18" customHeight="1" x14ac:dyDescent="0.3">
      <c r="A3" s="175" t="s">
        <v>12</v>
      </c>
      <c r="B3" s="176"/>
      <c r="C3" s="1"/>
      <c r="D3" s="1"/>
      <c r="E3" s="5"/>
      <c r="F3" s="3"/>
      <c r="G3" s="3"/>
      <c r="H3" s="3"/>
      <c r="I3" s="3"/>
      <c r="J3" s="3"/>
      <c r="K3" s="3"/>
      <c r="L3" s="3"/>
      <c r="M3" s="3"/>
      <c r="N3" s="3"/>
      <c r="O3" s="3"/>
      <c r="DS3" s="4" t="s">
        <v>229</v>
      </c>
    </row>
    <row r="4" spans="1:134" ht="18" customHeight="1" x14ac:dyDescent="0.25">
      <c r="A4" s="177"/>
      <c r="B4" s="174"/>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78"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1"/>
      <c r="C6" s="47"/>
      <c r="D6" s="48"/>
      <c r="E6" s="49"/>
      <c r="F6" s="49"/>
      <c r="G6" s="49"/>
      <c r="H6" s="49"/>
      <c r="I6" s="49"/>
      <c r="J6" s="49"/>
      <c r="K6" s="49"/>
      <c r="L6" s="49"/>
      <c r="M6" s="49"/>
      <c r="N6" s="49"/>
      <c r="O6" s="49"/>
      <c r="DS6" s="4" t="str">
        <f>VLOOKUP(Cover!$D$15, Country_list!$B$3:$C$44, 2, 0)</f>
        <v>CY</v>
      </c>
      <c r="DV6" s="4" t="s">
        <v>298</v>
      </c>
    </row>
    <row r="7" spans="1:134" ht="24" customHeight="1" x14ac:dyDescent="0.2">
      <c r="A7" s="183" t="s">
        <v>15</v>
      </c>
      <c r="B7" s="184"/>
      <c r="C7" s="45"/>
      <c r="D7" s="15"/>
      <c r="E7" s="46"/>
      <c r="F7" s="46"/>
      <c r="G7" s="46"/>
      <c r="H7" s="46"/>
      <c r="I7" s="46"/>
      <c r="J7" s="46"/>
      <c r="K7" s="46"/>
      <c r="L7" s="46"/>
      <c r="M7" s="46"/>
      <c r="N7" s="46"/>
      <c r="O7" s="46"/>
    </row>
    <row r="8" spans="1:134" ht="24" customHeight="1" x14ac:dyDescent="0.2">
      <c r="A8" s="183" t="s">
        <v>29</v>
      </c>
      <c r="B8" s="184"/>
      <c r="C8" s="45"/>
      <c r="D8" s="15"/>
      <c r="E8" s="46"/>
      <c r="F8" s="46"/>
      <c r="G8" s="46"/>
      <c r="H8" s="46"/>
      <c r="I8" s="46"/>
      <c r="J8" s="46"/>
      <c r="K8" s="46"/>
      <c r="L8" s="46"/>
      <c r="M8" s="46"/>
      <c r="N8" s="46"/>
      <c r="O8" s="46"/>
    </row>
    <row r="9" spans="1:134" ht="24" customHeight="1" x14ac:dyDescent="0.2">
      <c r="A9" s="183" t="s">
        <v>156</v>
      </c>
      <c r="B9" s="184"/>
      <c r="C9" s="9" t="s">
        <v>132</v>
      </c>
      <c r="D9" s="93"/>
      <c r="E9" s="94"/>
      <c r="F9" s="94"/>
      <c r="G9" s="94"/>
      <c r="H9" s="94"/>
      <c r="I9" s="94"/>
      <c r="J9" s="94"/>
      <c r="K9" s="94"/>
      <c r="L9" s="94">
        <v>29500</v>
      </c>
      <c r="M9" s="94"/>
      <c r="N9" s="94"/>
      <c r="O9" s="94"/>
      <c r="DT9" s="4" t="s">
        <v>279</v>
      </c>
      <c r="EB9" s="4" t="s">
        <v>300</v>
      </c>
      <c r="ED9" s="4" t="s">
        <v>301</v>
      </c>
    </row>
    <row r="10" spans="1:134" ht="24" customHeight="1" x14ac:dyDescent="0.2">
      <c r="A10" s="183" t="s">
        <v>20</v>
      </c>
      <c r="B10" s="184"/>
      <c r="C10" s="9" t="s">
        <v>132</v>
      </c>
      <c r="D10" s="93"/>
      <c r="E10" s="94"/>
      <c r="F10" s="94"/>
      <c r="G10" s="94"/>
      <c r="H10" s="94"/>
      <c r="I10" s="94"/>
      <c r="J10" s="94"/>
      <c r="K10" s="94"/>
      <c r="L10" s="94">
        <f>44423</f>
        <v>44423</v>
      </c>
      <c r="M10" s="94"/>
      <c r="N10" s="94"/>
      <c r="O10" s="94"/>
      <c r="DT10" s="4" t="s">
        <v>280</v>
      </c>
      <c r="EB10" s="4" t="s">
        <v>300</v>
      </c>
      <c r="ED10" s="4" t="s">
        <v>301</v>
      </c>
    </row>
    <row r="11" spans="1:134" s="13" customFormat="1" ht="15" customHeight="1" x14ac:dyDescent="0.2">
      <c r="A11" s="182" t="s">
        <v>18</v>
      </c>
      <c r="B11" s="110" t="s">
        <v>21</v>
      </c>
      <c r="C11" s="111" t="s">
        <v>132</v>
      </c>
      <c r="D11" s="115"/>
      <c r="E11" s="115"/>
      <c r="F11" s="116"/>
      <c r="G11" s="116"/>
      <c r="H11" s="116"/>
      <c r="I11" s="116"/>
      <c r="J11" s="116"/>
      <c r="K11" s="116"/>
      <c r="L11" s="116">
        <v>47300</v>
      </c>
      <c r="M11" s="116"/>
      <c r="N11" s="116"/>
      <c r="O11" s="116"/>
      <c r="DT11" s="13" t="s">
        <v>281</v>
      </c>
      <c r="EB11" s="13" t="s">
        <v>300</v>
      </c>
      <c r="ED11" s="13" t="s">
        <v>301</v>
      </c>
    </row>
    <row r="12" spans="1:134" s="13" customFormat="1" ht="15" customHeight="1" x14ac:dyDescent="0.2">
      <c r="A12" s="182"/>
      <c r="B12" s="110" t="s">
        <v>22</v>
      </c>
      <c r="C12" s="111" t="s">
        <v>132</v>
      </c>
      <c r="D12" s="115"/>
      <c r="E12" s="115"/>
      <c r="F12" s="115"/>
      <c r="G12" s="115"/>
      <c r="H12" s="115"/>
      <c r="I12" s="115"/>
      <c r="J12" s="115"/>
      <c r="K12" s="115"/>
      <c r="L12" s="115">
        <v>43800</v>
      </c>
      <c r="M12" s="115"/>
      <c r="N12" s="115"/>
      <c r="O12" s="115"/>
      <c r="DT12" s="13" t="s">
        <v>282</v>
      </c>
      <c r="EB12" s="13" t="s">
        <v>300</v>
      </c>
      <c r="ED12" s="13" t="s">
        <v>301</v>
      </c>
    </row>
    <row r="13" spans="1:134" s="13" customFormat="1" ht="15" customHeight="1" x14ac:dyDescent="0.2">
      <c r="A13" s="182"/>
      <c r="B13" s="110" t="s">
        <v>23</v>
      </c>
      <c r="C13" s="111" t="s">
        <v>132</v>
      </c>
      <c r="D13" s="115"/>
      <c r="E13" s="115"/>
      <c r="F13" s="115"/>
      <c r="G13" s="115"/>
      <c r="H13" s="115"/>
      <c r="I13" s="115"/>
      <c r="J13" s="115"/>
      <c r="K13" s="115"/>
      <c r="L13" s="115">
        <v>43000</v>
      </c>
      <c r="M13" s="115"/>
      <c r="N13" s="115"/>
      <c r="O13" s="115"/>
      <c r="DT13" s="13" t="s">
        <v>283</v>
      </c>
      <c r="EB13" s="13" t="s">
        <v>300</v>
      </c>
      <c r="ED13" s="13" t="s">
        <v>301</v>
      </c>
    </row>
    <row r="14" spans="1:134" ht="24" customHeight="1" x14ac:dyDescent="0.2">
      <c r="A14" s="183" t="s">
        <v>24</v>
      </c>
      <c r="B14" s="184"/>
      <c r="C14" s="45"/>
      <c r="D14" s="15"/>
      <c r="E14" s="46"/>
      <c r="F14" s="46"/>
      <c r="G14" s="46"/>
      <c r="H14" s="46"/>
      <c r="I14" s="46"/>
      <c r="J14" s="46"/>
      <c r="K14" s="46"/>
      <c r="L14" s="46"/>
      <c r="M14" s="46"/>
      <c r="N14" s="46"/>
      <c r="O14" s="46"/>
    </row>
    <row r="15" spans="1:134" s="13" customFormat="1" ht="15" customHeight="1" x14ac:dyDescent="0.2">
      <c r="A15" s="182" t="s">
        <v>18</v>
      </c>
      <c r="B15" s="110" t="s">
        <v>26</v>
      </c>
      <c r="C15" s="14"/>
      <c r="D15" s="15"/>
      <c r="E15" s="12"/>
      <c r="F15" s="12"/>
      <c r="G15" s="12"/>
      <c r="H15" s="12"/>
      <c r="I15" s="12"/>
      <c r="J15" s="12"/>
      <c r="K15" s="12"/>
      <c r="L15" s="12"/>
      <c r="M15" s="12"/>
      <c r="N15" s="12"/>
      <c r="O15" s="12"/>
    </row>
    <row r="16" spans="1:134" s="13" customFormat="1" ht="15" customHeight="1" x14ac:dyDescent="0.2">
      <c r="A16" s="182"/>
      <c r="B16" s="110" t="s">
        <v>27</v>
      </c>
      <c r="C16" s="14"/>
      <c r="D16" s="15"/>
      <c r="E16" s="12"/>
      <c r="F16" s="12"/>
      <c r="G16" s="12"/>
      <c r="H16" s="12"/>
      <c r="I16" s="12"/>
      <c r="J16" s="12"/>
      <c r="K16" s="12"/>
      <c r="L16" s="12"/>
      <c r="M16" s="12"/>
      <c r="N16" s="12"/>
      <c r="O16" s="12"/>
    </row>
    <row r="17" spans="1:15" s="13" customFormat="1" ht="15" customHeight="1" x14ac:dyDescent="0.2">
      <c r="A17" s="182"/>
      <c r="B17" s="110" t="s">
        <v>28</v>
      </c>
      <c r="C17" s="14"/>
      <c r="D17" s="15"/>
      <c r="E17" s="12"/>
      <c r="F17" s="12"/>
      <c r="G17" s="12"/>
      <c r="H17" s="12"/>
      <c r="I17" s="12"/>
      <c r="J17" s="12"/>
      <c r="K17" s="12"/>
      <c r="L17" s="12"/>
      <c r="M17" s="12"/>
      <c r="N17" s="12"/>
      <c r="O17" s="12"/>
    </row>
    <row r="18" spans="1:15" s="13" customFormat="1" ht="15" customHeight="1" x14ac:dyDescent="0.2">
      <c r="A18" s="182"/>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5"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4" sqref="D14"/>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Cyprus</v>
      </c>
      <c r="D2" s="1"/>
      <c r="E2" s="5"/>
      <c r="F2" s="3"/>
      <c r="G2" s="3"/>
      <c r="H2" s="3"/>
      <c r="I2" s="3"/>
      <c r="J2" s="3"/>
      <c r="K2" s="3"/>
    </row>
    <row r="3" spans="1:11" ht="18" customHeight="1" x14ac:dyDescent="0.25">
      <c r="A3" s="191" t="s">
        <v>2</v>
      </c>
      <c r="B3" s="193"/>
      <c r="C3" s="114">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14</v>
      </c>
      <c r="D6" s="120">
        <f ca="1">SUM(E6:J6)</f>
        <v>1688.2779989999999</v>
      </c>
      <c r="E6" s="121">
        <f ca="1">INDIRECT(ADDRESS(ROW(K6),$C$3 -2010 + 4,,,"1a_SpaceHeating"))</f>
        <v>177.89009100000001</v>
      </c>
      <c r="F6" s="121">
        <f ca="1">INDIRECT(ADDRESS(ROW(K6),$C$3-2010+4,,,"1b_SpaceCooling"))</f>
        <v>437.852532</v>
      </c>
      <c r="G6" s="121">
        <f ca="1">INDIRECT(ADDRESS(ROW(K6),$C$3-2010+4,,,"1c_WaterHeating"))</f>
        <v>132.69061300000001</v>
      </c>
      <c r="H6" s="121">
        <f ca="1">INDIRECT(ADDRESS(ROW(K6),$C$3-2010+4,,,"1d_Cooking"))</f>
        <v>97.870487999999995</v>
      </c>
      <c r="I6" s="121">
        <f ca="1">INDIRECT(ADDRESS(ROW(K6),$C$3-2010+4,,,"1e_LightingAndAppliances"))</f>
        <v>841.97427500000003</v>
      </c>
      <c r="J6" s="121">
        <f ca="1">INDIRECT(ADDRESS(ROW(K6),$C$3-2010+4,,,"1f_OtherEndUses"))</f>
        <v>0</v>
      </c>
      <c r="K6" s="122"/>
    </row>
    <row r="7" spans="1:11" ht="24" customHeight="1" x14ac:dyDescent="0.25">
      <c r="A7" s="186" t="s">
        <v>15</v>
      </c>
      <c r="B7" s="187"/>
      <c r="C7" s="109" t="s">
        <v>16</v>
      </c>
      <c r="D7" s="123">
        <f t="shared" ref="D7:D16" ca="1" si="0">SUM(E7:J7)</f>
        <v>0</v>
      </c>
      <c r="E7" s="124">
        <f t="shared" ref="E7:E16" ca="1" si="1">INDIRECT(ADDRESS(ROW(K7),$C$3 -2010 + 4,,,"1a_SpaceHeating"))</f>
        <v>0</v>
      </c>
      <c r="F7" s="125"/>
      <c r="G7" s="124">
        <f t="shared" ref="G7:G16" ca="1" si="2">INDIRECT(ADDRESS(ROW(K7),$C$3-2010+4,,,"1c_WaterHeating"))</f>
        <v>0</v>
      </c>
      <c r="H7" s="124">
        <f t="shared" ref="H7:H16" ca="1" si="3">INDIRECT(ADDRESS(ROW(K7),$C$3-2010+4,,,"1d_Cooking"))</f>
        <v>0</v>
      </c>
      <c r="I7" s="125"/>
      <c r="J7" s="124">
        <f t="shared" ref="J7:J17" ca="1" si="4">INDIRECT(ADDRESS(ROW(K7),$C$3-2010+4,,,"1f_OtherEndUses"))</f>
        <v>0</v>
      </c>
      <c r="K7" s="125"/>
    </row>
    <row r="8" spans="1:11" ht="24" customHeight="1" x14ac:dyDescent="0.25">
      <c r="A8" s="186" t="s">
        <v>29</v>
      </c>
      <c r="B8" s="187"/>
      <c r="C8" s="109" t="s">
        <v>17</v>
      </c>
      <c r="D8" s="123">
        <f t="shared" ca="1" si="0"/>
        <v>0</v>
      </c>
      <c r="E8" s="124">
        <f t="shared" ca="1" si="1"/>
        <v>0</v>
      </c>
      <c r="F8" s="125"/>
      <c r="G8" s="124">
        <f t="shared" ca="1" si="2"/>
        <v>0</v>
      </c>
      <c r="H8" s="124">
        <f t="shared" ca="1" si="3"/>
        <v>0</v>
      </c>
      <c r="I8" s="125"/>
      <c r="J8" s="124">
        <f t="shared" ca="1" si="4"/>
        <v>0</v>
      </c>
      <c r="K8" s="125"/>
    </row>
    <row r="9" spans="1:11" ht="24" customHeight="1" x14ac:dyDescent="0.25">
      <c r="A9" s="186" t="s">
        <v>156</v>
      </c>
      <c r="B9" s="187"/>
      <c r="C9" s="109" t="s">
        <v>19</v>
      </c>
      <c r="D9" s="123">
        <f t="shared" ca="1" si="0"/>
        <v>0</v>
      </c>
      <c r="E9" s="124">
        <f t="shared" ca="1" si="1"/>
        <v>0</v>
      </c>
      <c r="F9" s="125"/>
      <c r="G9" s="124">
        <f t="shared" ca="1" si="2"/>
        <v>0</v>
      </c>
      <c r="H9" s="124">
        <f t="shared" ca="1" si="3"/>
        <v>0</v>
      </c>
      <c r="I9" s="125"/>
      <c r="J9" s="124">
        <f t="shared" ca="1" si="4"/>
        <v>0</v>
      </c>
      <c r="K9" s="126">
        <f ca="1">INDIRECT(ADDRESS(ROW(K9),$C$3-2010+4,,,"Calorific_Values"))</f>
        <v>29500</v>
      </c>
    </row>
    <row r="10" spans="1:11" ht="24" customHeight="1" x14ac:dyDescent="0.25">
      <c r="A10" s="186" t="s">
        <v>42</v>
      </c>
      <c r="B10" s="187"/>
      <c r="C10" s="109" t="s">
        <v>19</v>
      </c>
      <c r="D10" s="123">
        <f t="shared" ca="1" si="0"/>
        <v>91.19086599660001</v>
      </c>
      <c r="E10" s="124">
        <f t="shared" ca="1" si="1"/>
        <v>69.771272214000007</v>
      </c>
      <c r="F10" s="125"/>
      <c r="G10" s="124">
        <f t="shared" ca="1" si="2"/>
        <v>6.4617637826000003</v>
      </c>
      <c r="H10" s="124">
        <f t="shared" ca="1" si="3"/>
        <v>14.95783</v>
      </c>
      <c r="I10" s="125"/>
      <c r="J10" s="124">
        <f t="shared" ca="1" si="4"/>
        <v>0</v>
      </c>
      <c r="K10" s="126">
        <f ca="1">INDIRECT(ADDRESS(ROW(K10),$C$3-2010+4,,,"Calorific_Values"))</f>
        <v>44423</v>
      </c>
    </row>
    <row r="11" spans="1:11" s="34" customFormat="1" ht="15" customHeight="1" x14ac:dyDescent="0.25">
      <c r="A11" s="185" t="s">
        <v>18</v>
      </c>
      <c r="B11" s="10" t="s">
        <v>21</v>
      </c>
      <c r="C11" s="11" t="s">
        <v>19</v>
      </c>
      <c r="D11" s="127">
        <f t="shared" ca="1" si="0"/>
        <v>28.447865999999998</v>
      </c>
      <c r="E11" s="128">
        <f t="shared" ca="1" si="1"/>
        <v>11.589874999999999</v>
      </c>
      <c r="F11" s="129"/>
      <c r="G11" s="128">
        <f t="shared" ca="1" si="2"/>
        <v>1.900161</v>
      </c>
      <c r="H11" s="128">
        <f t="shared" ca="1" si="3"/>
        <v>14.95783</v>
      </c>
      <c r="I11" s="129"/>
      <c r="J11" s="128">
        <f t="shared" ca="1" si="4"/>
        <v>0</v>
      </c>
      <c r="K11" s="130">
        <f t="shared" ref="K11:K13" ca="1" si="5">INDIRECT(ADDRESS(ROW(K11),$C$3-2010+4,,,"Calorific_Values"))</f>
        <v>47300</v>
      </c>
    </row>
    <row r="12" spans="1:11" s="34" customFormat="1" ht="15" customHeight="1" x14ac:dyDescent="0.25">
      <c r="A12" s="185"/>
      <c r="B12" s="10" t="s">
        <v>22</v>
      </c>
      <c r="C12" s="11" t="s">
        <v>19</v>
      </c>
      <c r="D12" s="127">
        <f t="shared" ca="1" si="0"/>
        <v>9.2989999996000012</v>
      </c>
      <c r="E12" s="128">
        <f t="shared" ca="1" si="1"/>
        <v>8.9034638840000007</v>
      </c>
      <c r="F12" s="129"/>
      <c r="G12" s="128">
        <f t="shared" ca="1" si="2"/>
        <v>0.39553611560000002</v>
      </c>
      <c r="H12" s="128">
        <f t="shared" ca="1" si="3"/>
        <v>0</v>
      </c>
      <c r="I12" s="129"/>
      <c r="J12" s="128">
        <f t="shared" ca="1" si="4"/>
        <v>0</v>
      </c>
      <c r="K12" s="130">
        <f t="shared" ca="1" si="5"/>
        <v>43800</v>
      </c>
    </row>
    <row r="13" spans="1:11" s="34" customFormat="1" ht="15" customHeight="1" x14ac:dyDescent="0.25">
      <c r="A13" s="185"/>
      <c r="B13" s="10" t="s">
        <v>23</v>
      </c>
      <c r="C13" s="11" t="s">
        <v>19</v>
      </c>
      <c r="D13" s="127">
        <f t="shared" ca="1" si="0"/>
        <v>53.443999997000006</v>
      </c>
      <c r="E13" s="128">
        <f t="shared" ca="1" si="1"/>
        <v>49.277933330000003</v>
      </c>
      <c r="F13" s="129"/>
      <c r="G13" s="128">
        <f t="shared" ca="1" si="2"/>
        <v>4.1660666669999999</v>
      </c>
      <c r="H13" s="128">
        <f t="shared" ca="1" si="3"/>
        <v>0</v>
      </c>
      <c r="I13" s="129"/>
      <c r="J13" s="128">
        <f t="shared" ca="1" si="4"/>
        <v>0</v>
      </c>
      <c r="K13" s="130">
        <f t="shared" ca="1" si="5"/>
        <v>43000</v>
      </c>
    </row>
    <row r="14" spans="1:11" ht="24" customHeight="1" x14ac:dyDescent="0.25">
      <c r="A14" s="186" t="s">
        <v>43</v>
      </c>
      <c r="B14" s="187"/>
      <c r="C14" s="109" t="s">
        <v>16</v>
      </c>
      <c r="D14" s="123">
        <f t="shared" ca="1" si="0"/>
        <v>3752.4381100000001</v>
      </c>
      <c r="E14" s="124">
        <f t="shared" ca="1" si="1"/>
        <v>1178.75</v>
      </c>
      <c r="F14" s="125"/>
      <c r="G14" s="124">
        <f t="shared" ca="1" si="2"/>
        <v>2557.50711</v>
      </c>
      <c r="H14" s="124">
        <f t="shared" ca="1" si="3"/>
        <v>0</v>
      </c>
      <c r="I14" s="125"/>
      <c r="J14" s="124">
        <f t="shared" ca="1" si="4"/>
        <v>16.181000000000001</v>
      </c>
      <c r="K14" s="125"/>
    </row>
    <row r="15" spans="1:11" s="34" customFormat="1" ht="15" customHeight="1" x14ac:dyDescent="0.25">
      <c r="A15" s="185" t="s">
        <v>18</v>
      </c>
      <c r="B15" s="10" t="s">
        <v>26</v>
      </c>
      <c r="C15" s="11" t="s">
        <v>16</v>
      </c>
      <c r="D15" s="127">
        <f t="shared" ca="1" si="0"/>
        <v>2548.5839999999998</v>
      </c>
      <c r="E15" s="128">
        <f t="shared" ca="1" si="1"/>
        <v>0</v>
      </c>
      <c r="F15" s="129"/>
      <c r="G15" s="128">
        <f t="shared" ca="1" si="2"/>
        <v>2548.5839999999998</v>
      </c>
      <c r="H15" s="128">
        <f t="shared" ca="1" si="3"/>
        <v>0</v>
      </c>
      <c r="I15" s="129"/>
      <c r="J15" s="128">
        <f t="shared" ca="1" si="4"/>
        <v>0</v>
      </c>
      <c r="K15" s="129"/>
    </row>
    <row r="16" spans="1:11" s="34" customFormat="1" ht="15" customHeight="1" x14ac:dyDescent="0.25">
      <c r="A16" s="185"/>
      <c r="B16" s="10" t="s">
        <v>27</v>
      </c>
      <c r="C16" s="11" t="s">
        <v>16</v>
      </c>
      <c r="D16" s="127">
        <f t="shared" ca="1" si="0"/>
        <v>709.19899499999997</v>
      </c>
      <c r="E16" s="128">
        <f t="shared" ca="1" si="1"/>
        <v>692.60830499999997</v>
      </c>
      <c r="F16" s="129"/>
      <c r="G16" s="128">
        <f t="shared" ca="1" si="2"/>
        <v>8.9231099999999994</v>
      </c>
      <c r="H16" s="128">
        <f t="shared" ca="1" si="3"/>
        <v>0</v>
      </c>
      <c r="I16" s="129"/>
      <c r="J16" s="128">
        <f t="shared" ca="1" si="4"/>
        <v>7.6675800000000001</v>
      </c>
      <c r="K16" s="129"/>
    </row>
    <row r="17" spans="1:11" s="34" customFormat="1" ht="15" customHeight="1" x14ac:dyDescent="0.25">
      <c r="A17" s="185"/>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85"/>
      <c r="B18" s="34" t="s">
        <v>184</v>
      </c>
      <c r="C18" s="11" t="s">
        <v>16</v>
      </c>
      <c r="D18" s="127">
        <f ca="1">SUM(E18:J18)</f>
        <v>421.226</v>
      </c>
      <c r="E18" s="128">
        <f ca="1">INDIRECT(ADDRESS(ROW(K18),$C$3 -2010 + 4,,,"1a_SpaceHeating"))</f>
        <v>421.226</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4" sqref="D14"/>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Cyprus</v>
      </c>
      <c r="D2" s="1"/>
      <c r="E2" s="5"/>
      <c r="F2" s="3"/>
      <c r="G2" s="3"/>
      <c r="H2" s="3"/>
      <c r="I2" s="3"/>
      <c r="J2" s="3"/>
      <c r="K2" s="3"/>
    </row>
    <row r="3" spans="1:11" ht="18" customHeight="1" x14ac:dyDescent="0.25">
      <c r="A3" s="191" t="s">
        <v>2</v>
      </c>
      <c r="B3" s="192"/>
      <c r="C3" s="1">
        <f>Table1_Totals!C3</f>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16</v>
      </c>
      <c r="D6" s="120">
        <f ca="1">SUM(E6:J6)</f>
        <v>6077.8007964000008</v>
      </c>
      <c r="E6" s="121">
        <f ca="1">Table1_Totals!E6*3.6</f>
        <v>640.4043276000001</v>
      </c>
      <c r="F6" s="121">
        <f ca="1">Table1_Totals!F6*3.6</f>
        <v>1576.2691152</v>
      </c>
      <c r="G6" s="121">
        <f ca="1">Table1_Totals!G6*3.6</f>
        <v>477.68620680000004</v>
      </c>
      <c r="H6" s="121">
        <f ca="1">Table1_Totals!H6*3.6</f>
        <v>352.3337568</v>
      </c>
      <c r="I6" s="121">
        <f ca="1">Table1_Totals!I6*3.6</f>
        <v>3031.1073900000001</v>
      </c>
      <c r="J6" s="121">
        <f ca="1">Table1_Totals!J6*3.6</f>
        <v>0</v>
      </c>
      <c r="K6" s="122"/>
    </row>
    <row r="7" spans="1:11" ht="24" customHeight="1" x14ac:dyDescent="0.25">
      <c r="A7" s="186" t="s">
        <v>15</v>
      </c>
      <c r="B7" s="187"/>
      <c r="C7" s="109" t="s">
        <v>16</v>
      </c>
      <c r="D7" s="123">
        <f t="shared" ref="D7:D18" ca="1" si="0">SUM(E7:J7)</f>
        <v>0</v>
      </c>
      <c r="E7" s="124">
        <f ca="1">Table1_Totals!E7</f>
        <v>0</v>
      </c>
      <c r="F7" s="125"/>
      <c r="G7" s="124">
        <f ca="1">Table1_Totals!G7</f>
        <v>0</v>
      </c>
      <c r="H7" s="124">
        <f ca="1">Table1_Totals!H7</f>
        <v>0</v>
      </c>
      <c r="I7" s="125"/>
      <c r="J7" s="124">
        <f ca="1">Table1_Totals!J7</f>
        <v>0</v>
      </c>
      <c r="K7" s="125"/>
    </row>
    <row r="8" spans="1:11" ht="24" customHeight="1" x14ac:dyDescent="0.25">
      <c r="A8" s="186" t="s">
        <v>29</v>
      </c>
      <c r="B8" s="187"/>
      <c r="C8" s="109" t="s">
        <v>16</v>
      </c>
      <c r="D8" s="123">
        <f t="shared" ca="1" si="0"/>
        <v>0</v>
      </c>
      <c r="E8" s="124">
        <f ca="1">Table1_Totals!E8*0.9</f>
        <v>0</v>
      </c>
      <c r="F8" s="125"/>
      <c r="G8" s="124">
        <f ca="1">Table1_Totals!G8*0.9</f>
        <v>0</v>
      </c>
      <c r="H8" s="124">
        <f ca="1">Table1_Totals!H8*0.9</f>
        <v>0</v>
      </c>
      <c r="I8" s="125"/>
      <c r="J8" s="124">
        <f ca="1">Table1_Totals!J8*0.9</f>
        <v>0</v>
      </c>
      <c r="K8" s="125"/>
    </row>
    <row r="9" spans="1:11" ht="24" customHeight="1" x14ac:dyDescent="0.25">
      <c r="A9" s="186" t="s">
        <v>156</v>
      </c>
      <c r="B9" s="187"/>
      <c r="C9" s="109" t="s">
        <v>16</v>
      </c>
      <c r="D9" s="123">
        <f t="shared" ca="1" si="0"/>
        <v>0</v>
      </c>
      <c r="E9" s="124" t="str">
        <f ca="1">IF(Table1_Totals!E9&lt;&gt;0,IF(Table1_Totals!$K9&lt;&gt;0,Table1_Totals!E9*Table1_Totals!$K9/1000,"Please check CV"),"0,000")</f>
        <v>0,000</v>
      </c>
      <c r="F9" s="125"/>
      <c r="G9" s="124" t="str">
        <f ca="1">IF(Table1_Totals!G9&lt;&gt;0,IF(Table1_Totals!$K9&lt;&gt;0,Table1_Totals!G9*Table1_Totals!$K$9/1000,"Please check CV"),"0,000")</f>
        <v>0,000</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29500</v>
      </c>
    </row>
    <row r="10" spans="1:11" ht="24" customHeight="1" x14ac:dyDescent="0.25">
      <c r="A10" s="186" t="s">
        <v>42</v>
      </c>
      <c r="B10" s="187"/>
      <c r="C10" s="109" t="s">
        <v>16</v>
      </c>
      <c r="D10" s="123">
        <f t="shared" ca="1" si="0"/>
        <v>4050.9718401669625</v>
      </c>
      <c r="E10" s="124">
        <f ca="1">IF(Table1_Totals!E10&lt;&gt;0,IF(Table1_Totals!$K10&lt;&gt;0,Table1_Totals!E10*Table1_Totals!$K10/1000,"Please check CV"),"0,000")</f>
        <v>3099.4492255625223</v>
      </c>
      <c r="F10" s="125"/>
      <c r="G10" s="124">
        <f ca="1">IF(Table1_Totals!G10&lt;&gt;0,IF(Table1_Totals!$K10&lt;&gt;0,Table1_Totals!G10*Table1_Totals!$K10/1000,"Please check CV"),"0,000")</f>
        <v>287.05093251443981</v>
      </c>
      <c r="H10" s="124">
        <f ca="1">IF(Table1_Totals!H10&lt;&gt;0,IF(Table1_Totals!$K10&lt;&gt;0,Table1_Totals!H10*Table1_Totals!$K10/1000,"Please check CV"),"0,000")</f>
        <v>664.47168209000006</v>
      </c>
      <c r="I10" s="125"/>
      <c r="J10" s="124" t="str">
        <f ca="1">IF(Table1_Totals!J10&lt;&gt;0,IF(Table1_Totals!$K10&lt;&gt;0,Table1_Totals!J10*Table1_Totals!$K10/1000,"Please check CV"),"0,000")</f>
        <v>0,000</v>
      </c>
      <c r="K10" s="126">
        <f ca="1">Table1_Totals!K10</f>
        <v>44423</v>
      </c>
    </row>
    <row r="11" spans="1:11" s="34" customFormat="1" ht="15" customHeight="1" x14ac:dyDescent="0.25">
      <c r="A11" s="185" t="s">
        <v>18</v>
      </c>
      <c r="B11" s="10" t="s">
        <v>21</v>
      </c>
      <c r="C11" s="11" t="s">
        <v>16</v>
      </c>
      <c r="D11" s="127">
        <f t="shared" ca="1" si="0"/>
        <v>1345.5840617999997</v>
      </c>
      <c r="E11" s="128">
        <f ca="1">IF(Table1_Totals!E11&lt;&gt;0,IF(Table1_Totals!$K11&lt;&gt;0,Table1_Totals!E11*Table1_Totals!$K11/1000,"Please check CV"),"0,000")</f>
        <v>548.20108749999986</v>
      </c>
      <c r="F11" s="129"/>
      <c r="G11" s="128">
        <f ca="1">IF(Table1_Totals!G11&lt;&gt;0,IF(Table1_Totals!$K11&lt;&gt;0,Table1_Totals!G11*Table1_Totals!$K11/1000,"Please check CV"),"0,000")</f>
        <v>89.877615300000002</v>
      </c>
      <c r="H11" s="128">
        <f ca="1">IF(Table1_Totals!H11&lt;&gt;0,IF(Table1_Totals!$K11&lt;&gt;0,Table1_Totals!H11*Table1_Totals!$K11/1000,"Please check CV"),"0,000")</f>
        <v>707.50535899999988</v>
      </c>
      <c r="I11" s="129"/>
      <c r="J11" s="128" t="str">
        <f ca="1">IF(Table1_Totals!J11&lt;&gt;0,IF(Table1_Totals!$K11&lt;&gt;0,Table1_Totals!J11*Table1_Totals!$K11/1000,"Please check CV"),"0,000")</f>
        <v>0,000</v>
      </c>
      <c r="K11" s="130">
        <f ca="1">Table1_Totals!K11</f>
        <v>47300</v>
      </c>
    </row>
    <row r="12" spans="1:11" s="34" customFormat="1" ht="15" customHeight="1" x14ac:dyDescent="0.25">
      <c r="A12" s="185"/>
      <c r="B12" s="10" t="s">
        <v>22</v>
      </c>
      <c r="C12" s="11" t="s">
        <v>16</v>
      </c>
      <c r="D12" s="127">
        <f t="shared" ca="1" si="0"/>
        <v>407.29619998248006</v>
      </c>
      <c r="E12" s="128">
        <f ca="1">IF(Table1_Totals!E12&lt;&gt;0,IF(Table1_Totals!$K12&lt;&gt;0,Table1_Totals!E12*Table1_Totals!$K12/1000,"Please check CV"),"0,000")</f>
        <v>389.97171811920003</v>
      </c>
      <c r="F12" s="129"/>
      <c r="G12" s="128">
        <f ca="1">IF(Table1_Totals!G12&lt;&gt;0,IF(Table1_Totals!$K12&lt;&gt;0,Table1_Totals!G12*Table1_Totals!$K12/1000,"Please check CV"),"0,000")</f>
        <v>17.324481863280003</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43800</v>
      </c>
    </row>
    <row r="13" spans="1:11" s="34" customFormat="1" ht="15" customHeight="1" x14ac:dyDescent="0.25">
      <c r="A13" s="185"/>
      <c r="B13" s="10" t="s">
        <v>23</v>
      </c>
      <c r="C13" s="11" t="s">
        <v>16</v>
      </c>
      <c r="D13" s="127">
        <f t="shared" ca="1" si="0"/>
        <v>2298.0919998709996</v>
      </c>
      <c r="E13" s="128">
        <f ca="1">IF(Table1_Totals!E13&lt;&gt;0,IF(Table1_Totals!$K13&lt;&gt;0,Table1_Totals!E13*Table1_Totals!$K13/1000,"Please check CV"),"0,000")</f>
        <v>2118.9511331899998</v>
      </c>
      <c r="F13" s="129"/>
      <c r="G13" s="128">
        <f ca="1">IF(Table1_Totals!G13&lt;&gt;0,IF(Table1_Totals!$K13&lt;&gt;0,Table1_Totals!G13*Table1_Totals!$K13/1000,"Please check CV"),"0,000")</f>
        <v>179.14086668099998</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43000</v>
      </c>
    </row>
    <row r="14" spans="1:11" ht="24" customHeight="1" x14ac:dyDescent="0.25">
      <c r="A14" s="186" t="s">
        <v>43</v>
      </c>
      <c r="B14" s="187"/>
      <c r="C14" s="109" t="s">
        <v>16</v>
      </c>
      <c r="D14" s="123">
        <f t="shared" ca="1" si="0"/>
        <v>3752.4381100000001</v>
      </c>
      <c r="E14" s="124">
        <f ca="1">Table1_Totals!E14</f>
        <v>1178.75</v>
      </c>
      <c r="F14" s="125"/>
      <c r="G14" s="124">
        <f ca="1">Table1_Totals!G14</f>
        <v>2557.50711</v>
      </c>
      <c r="H14" s="124">
        <f ca="1">Table1_Totals!H14</f>
        <v>0</v>
      </c>
      <c r="I14" s="125"/>
      <c r="J14" s="124">
        <f ca="1">Table1_Totals!J14</f>
        <v>16.181000000000001</v>
      </c>
      <c r="K14" s="125"/>
    </row>
    <row r="15" spans="1:11" s="34" customFormat="1" ht="15" customHeight="1" x14ac:dyDescent="0.25">
      <c r="A15" s="185" t="s">
        <v>18</v>
      </c>
      <c r="B15" s="10" t="s">
        <v>26</v>
      </c>
      <c r="C15" s="11" t="s">
        <v>16</v>
      </c>
      <c r="D15" s="127">
        <f t="shared" ca="1" si="0"/>
        <v>2548.5839999999998</v>
      </c>
      <c r="E15" s="128">
        <f ca="1">Table1_Totals!E15</f>
        <v>0</v>
      </c>
      <c r="F15" s="129"/>
      <c r="G15" s="128">
        <f ca="1">Table1_Totals!G15</f>
        <v>2548.5839999999998</v>
      </c>
      <c r="H15" s="128">
        <f ca="1">Table1_Totals!H15</f>
        <v>0</v>
      </c>
      <c r="I15" s="129"/>
      <c r="J15" s="128">
        <f ca="1">Table1_Totals!J15</f>
        <v>0</v>
      </c>
      <c r="K15" s="129"/>
    </row>
    <row r="16" spans="1:11" s="34" customFormat="1" ht="15" customHeight="1" x14ac:dyDescent="0.25">
      <c r="A16" s="185"/>
      <c r="B16" s="10" t="s">
        <v>27</v>
      </c>
      <c r="C16" s="11" t="s">
        <v>16</v>
      </c>
      <c r="D16" s="127">
        <f t="shared" ca="1" si="0"/>
        <v>709.19899499999997</v>
      </c>
      <c r="E16" s="128">
        <f ca="1">Table1_Totals!E16</f>
        <v>692.60830499999997</v>
      </c>
      <c r="F16" s="129"/>
      <c r="G16" s="128">
        <f ca="1">Table1_Totals!G16</f>
        <v>8.9231099999999994</v>
      </c>
      <c r="H16" s="128">
        <f ca="1">Table1_Totals!H16</f>
        <v>0</v>
      </c>
      <c r="I16" s="129"/>
      <c r="J16" s="128">
        <f ca="1">Table1_Totals!J16</f>
        <v>7.6675800000000001</v>
      </c>
      <c r="K16" s="129"/>
    </row>
    <row r="17" spans="1:11" s="34" customFormat="1" ht="15" customHeight="1" x14ac:dyDescent="0.25">
      <c r="A17" s="185"/>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85"/>
      <c r="B18" s="34" t="s">
        <v>184</v>
      </c>
      <c r="C18" s="11" t="s">
        <v>16</v>
      </c>
      <c r="D18" s="127">
        <f t="shared" ca="1" si="0"/>
        <v>421.226</v>
      </c>
      <c r="E18" s="128">
        <f ca="1">Table1_Totals!E18</f>
        <v>421.226</v>
      </c>
      <c r="F18" s="129"/>
      <c r="G18" s="128">
        <f ca="1">Table1_Totals!G18</f>
        <v>0</v>
      </c>
      <c r="H18" s="128">
        <f ca="1">Table1_Totals!H18</f>
        <v>0</v>
      </c>
      <c r="I18" s="129"/>
      <c r="J18" s="128">
        <f ca="1">Table1_Totals!J18</f>
        <v>0</v>
      </c>
      <c r="K18" s="129"/>
    </row>
    <row r="19" spans="1:11" ht="24" customHeight="1" x14ac:dyDescent="0.25">
      <c r="A19" s="186" t="s">
        <v>171</v>
      </c>
      <c r="B19" s="187"/>
      <c r="C19" s="109" t="s">
        <v>16</v>
      </c>
      <c r="D19" s="123">
        <f t="shared" ref="D19" ca="1" si="2">SUM(E19:J19)</f>
        <v>13881.210746566961</v>
      </c>
      <c r="E19" s="124">
        <f ca="1">SUM(E6:E10,E14)</f>
        <v>4918.6035531625221</v>
      </c>
      <c r="F19" s="124">
        <f t="shared" ref="F19:J19" ca="1" si="3">SUM(F6:F10,F14)</f>
        <v>1576.2691152</v>
      </c>
      <c r="G19" s="124">
        <f t="shared" ca="1" si="3"/>
        <v>3322.2442493144399</v>
      </c>
      <c r="H19" s="124">
        <f t="shared" ca="1" si="3"/>
        <v>1016.80543889</v>
      </c>
      <c r="I19" s="124">
        <f t="shared" ca="1" si="3"/>
        <v>3031.1073900000001</v>
      </c>
      <c r="J19" s="124">
        <f t="shared" ca="1" si="3"/>
        <v>16.181000000000001</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D19"/>
  <sheetViews>
    <sheetView showGridLines="0" zoomScale="90" zoomScaleNormal="90" workbookViewId="0">
      <pane xSplit="3" topLeftCell="F1" activePane="topRight" state="frozen"/>
      <selection activeCell="DS1" sqref="DS1:ED1048576"/>
      <selection pane="topRight" activeCell="C8" sqref="C8"/>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c r="J6" s="60"/>
      <c r="K6" s="60"/>
      <c r="L6" s="60">
        <f>177.890091</f>
        <v>177.89009100000001</v>
      </c>
      <c r="M6" s="60"/>
      <c r="N6" s="60"/>
      <c r="O6" s="60"/>
      <c r="DS6" s="4" t="str">
        <f>VLOOKUP(Cover!$D$15, Country_list!$B$3:$C$44, 2, 0)</f>
        <v>CY</v>
      </c>
      <c r="DT6" s="33" t="s">
        <v>289</v>
      </c>
      <c r="DV6" s="33" t="s">
        <v>302</v>
      </c>
      <c r="EB6" s="33" t="s">
        <v>291</v>
      </c>
      <c r="ED6" s="33" t="s">
        <v>294</v>
      </c>
    </row>
    <row r="7" spans="1:134" ht="24" customHeight="1" x14ac:dyDescent="0.25">
      <c r="A7" s="183" t="s">
        <v>15</v>
      </c>
      <c r="B7" s="20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0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c r="L10" s="58">
        <f>SUM(L11:L13)</f>
        <v>69.771272214000007</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f>11.589875</f>
        <v>11.589874999999999</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f>8.903463884</f>
        <v>8.9034638840000007</v>
      </c>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v>49.277933330000003</v>
      </c>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c r="L14" s="58">
        <v>1178.75</v>
      </c>
      <c r="M14" s="58"/>
      <c r="N14" s="58"/>
      <c r="O14" s="58"/>
      <c r="DT14" s="139" t="s">
        <v>284</v>
      </c>
      <c r="EB14" s="33" t="s">
        <v>291</v>
      </c>
      <c r="ED14" s="33" t="s">
        <v>295</v>
      </c>
    </row>
    <row r="15" spans="1:134" s="34" customFormat="1" ht="15" customHeight="1" x14ac:dyDescent="0.25">
      <c r="A15" s="182"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82"/>
      <c r="B16" s="110" t="s">
        <v>27</v>
      </c>
      <c r="C16" s="111" t="s">
        <v>25</v>
      </c>
      <c r="D16" s="112"/>
      <c r="E16" s="113"/>
      <c r="F16" s="113"/>
      <c r="G16" s="113"/>
      <c r="H16" s="113"/>
      <c r="I16" s="113"/>
      <c r="J16" s="113"/>
      <c r="K16" s="113"/>
      <c r="L16" s="113">
        <f>692.608305</f>
        <v>692.60830499999997</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82"/>
      <c r="B18" s="110" t="s">
        <v>184</v>
      </c>
      <c r="C18" s="111" t="s">
        <v>25</v>
      </c>
      <c r="D18" s="112"/>
      <c r="E18" s="112"/>
      <c r="F18" s="112"/>
      <c r="G18" s="112"/>
      <c r="H18" s="112"/>
      <c r="I18" s="112"/>
      <c r="J18" s="112"/>
      <c r="K18" s="112"/>
      <c r="L18" s="112">
        <v>421.226</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31496062992125984" right="0.31496062992125984"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D19"/>
  <sheetViews>
    <sheetView showGridLines="0" zoomScale="90" zoomScaleNormal="90" workbookViewId="0">
      <pane xSplit="3" topLeftCell="D1" activePane="topRight" state="frozen"/>
      <selection activeCell="DS1" sqref="DS1:ED1048576"/>
      <selection pane="topRight" activeCell="I31" sqref="I31"/>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0"/>
      <c r="C6" s="8" t="s">
        <v>14</v>
      </c>
      <c r="D6" s="59"/>
      <c r="E6" s="60"/>
      <c r="F6" s="60"/>
      <c r="G6" s="60"/>
      <c r="H6" s="60"/>
      <c r="I6" s="60"/>
      <c r="J6" s="60"/>
      <c r="K6" s="60"/>
      <c r="L6" s="60">
        <v>437.852532</v>
      </c>
      <c r="M6" s="60"/>
      <c r="N6" s="60"/>
      <c r="O6" s="60"/>
      <c r="DS6" s="4" t="str">
        <f>VLOOKUP(Cover!$D$15, Country_list!$B$3:$C$44, 2, 0)</f>
        <v>CY</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formula1>0</formula1>
    </dataValidation>
  </dataValidations>
  <printOptions horizontalCentered="1" verticalCentered="1"/>
  <pageMargins left="0.11811023622047245" right="0.11811023622047245" top="0.74803149606299213" bottom="0.74803149606299213" header="0.31496062992125984" footer="0.31496062992125984"/>
  <pageSetup paperSize="9" scale="65"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I1" activePane="topRight" state="frozen"/>
      <selection activeCell="DS1" sqref="DS1:ED1048576"/>
      <selection pane="topRight" activeCell="F32" sqref="F32"/>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8</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c r="J6" s="60"/>
      <c r="K6" s="60"/>
      <c r="L6" s="60">
        <v>132.69061300000001</v>
      </c>
      <c r="M6" s="60"/>
      <c r="N6" s="60"/>
      <c r="O6" s="60"/>
      <c r="DS6" s="4" t="str">
        <f>VLOOKUP(Cover!$D$15, Country_list!$B$3:$C$44, 2, 0)</f>
        <v>CY</v>
      </c>
      <c r="DT6" s="33" t="s">
        <v>289</v>
      </c>
      <c r="DV6" s="33" t="s">
        <v>304</v>
      </c>
      <c r="EB6" s="33" t="s">
        <v>291</v>
      </c>
      <c r="ED6" s="33" t="s">
        <v>294</v>
      </c>
    </row>
    <row r="7" spans="1:134" ht="24" customHeight="1" x14ac:dyDescent="0.25">
      <c r="A7" s="183" t="s">
        <v>15</v>
      </c>
      <c r="B7" s="20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0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c r="L10" s="58">
        <f>SUM(L11:L13)</f>
        <v>6.4617637826000003</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v>1.900161</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f>0.3955361156</f>
        <v>0.39553611560000002</v>
      </c>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f>4.166066667</f>
        <v>4.1660666669999999</v>
      </c>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c r="L14" s="58">
        <f>SUM(L15:L18)</f>
        <v>2557.50711</v>
      </c>
      <c r="M14" s="58"/>
      <c r="N14" s="58"/>
      <c r="O14" s="58"/>
      <c r="DT14" s="139" t="s">
        <v>284</v>
      </c>
      <c r="EB14" s="33" t="s">
        <v>291</v>
      </c>
      <c r="ED14" s="33" t="s">
        <v>295</v>
      </c>
    </row>
    <row r="15" spans="1:134" s="34" customFormat="1" ht="15" customHeight="1" x14ac:dyDescent="0.25">
      <c r="A15" s="182" t="s">
        <v>18</v>
      </c>
      <c r="B15" s="110" t="s">
        <v>26</v>
      </c>
      <c r="C15" s="111" t="s">
        <v>25</v>
      </c>
      <c r="D15" s="112"/>
      <c r="E15" s="113"/>
      <c r="F15" s="113"/>
      <c r="G15" s="113"/>
      <c r="H15" s="113"/>
      <c r="I15" s="113"/>
      <c r="J15" s="113"/>
      <c r="K15" s="113"/>
      <c r="L15" s="113">
        <f>2548.584</f>
        <v>2548.5839999999998</v>
      </c>
      <c r="M15" s="113"/>
      <c r="N15" s="113"/>
      <c r="O15" s="113"/>
      <c r="DT15" s="34" t="s">
        <v>285</v>
      </c>
      <c r="EB15" s="34" t="s">
        <v>291</v>
      </c>
      <c r="ED15" s="34" t="s">
        <v>295</v>
      </c>
    </row>
    <row r="16" spans="1:134" s="34" customFormat="1" ht="15" customHeight="1" x14ac:dyDescent="0.25">
      <c r="A16" s="182"/>
      <c r="B16" s="110" t="s">
        <v>27</v>
      </c>
      <c r="C16" s="111" t="s">
        <v>25</v>
      </c>
      <c r="D16" s="112"/>
      <c r="E16" s="113"/>
      <c r="F16" s="113"/>
      <c r="G16" s="113"/>
      <c r="H16" s="113"/>
      <c r="I16" s="113"/>
      <c r="J16" s="113"/>
      <c r="K16" s="113"/>
      <c r="L16" s="113">
        <f>8.92311</f>
        <v>8.9231099999999994</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82"/>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5"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sqref="A1:L18"/>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9</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c r="J6" s="60"/>
      <c r="K6" s="60"/>
      <c r="L6" s="60">
        <f>97.870488</f>
        <v>97.870487999999995</v>
      </c>
      <c r="M6" s="60"/>
      <c r="N6" s="60"/>
      <c r="O6" s="60"/>
      <c r="DS6" s="4" t="str">
        <f>VLOOKUP(Cover!$D$15, Country_list!$B$3:$C$44, 2, 0)</f>
        <v>CY</v>
      </c>
      <c r="DT6" s="33" t="s">
        <v>289</v>
      </c>
      <c r="DV6" s="33" t="s">
        <v>305</v>
      </c>
      <c r="EB6" s="33" t="s">
        <v>291</v>
      </c>
      <c r="ED6" s="33" t="s">
        <v>294</v>
      </c>
    </row>
    <row r="7" spans="1:134" ht="24" customHeight="1" x14ac:dyDescent="0.25">
      <c r="A7" s="183" t="s">
        <v>15</v>
      </c>
      <c r="B7" s="20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0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c r="L10" s="58">
        <f>SUM(L11:L13)</f>
        <v>14.95783</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f>14.95783</f>
        <v>14.95783</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5"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sqref="A1:L6"/>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c r="E6" s="63"/>
      <c r="F6" s="63"/>
      <c r="G6" s="63"/>
      <c r="H6" s="63"/>
      <c r="I6" s="63"/>
      <c r="J6" s="63"/>
      <c r="K6" s="63"/>
      <c r="L6" s="63">
        <f>841.974275</f>
        <v>841.97427500000003</v>
      </c>
      <c r="M6" s="63"/>
      <c r="N6" s="63"/>
      <c r="O6" s="63"/>
      <c r="DS6" s="4" t="str">
        <f>VLOOKUP(Cover!$D$15, Country_list!$B$3:$C$44, 2, 0)</f>
        <v>CY</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5"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G1" activePane="topRight" state="frozen"/>
      <selection activeCell="DS1" sqref="DS1:ED1048576"/>
      <selection pane="topRight" activeCell="L19" sqref="L19"/>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209"/>
      <c r="C6" s="8" t="s">
        <v>14</v>
      </c>
      <c r="D6" s="59"/>
      <c r="E6" s="60"/>
      <c r="F6" s="60"/>
      <c r="G6" s="60"/>
      <c r="H6" s="60"/>
      <c r="I6" s="60"/>
      <c r="J6" s="60"/>
      <c r="K6" s="60"/>
      <c r="L6" s="60"/>
      <c r="M6" s="60"/>
      <c r="N6" s="60"/>
      <c r="O6" s="60"/>
      <c r="DS6" s="4" t="str">
        <f>VLOOKUP(Cover!$D$15, Country_list!$B$3:$C$44, 2, 0)</f>
        <v>CY</v>
      </c>
      <c r="DT6" s="33" t="s">
        <v>289</v>
      </c>
      <c r="DV6" s="33" t="s">
        <v>307</v>
      </c>
      <c r="EB6" s="33" t="s">
        <v>291</v>
      </c>
      <c r="ED6" s="33" t="s">
        <v>294</v>
      </c>
    </row>
    <row r="7" spans="1:134" ht="24" customHeight="1" x14ac:dyDescent="0.25">
      <c r="A7" s="183" t="s">
        <v>15</v>
      </c>
      <c r="B7" s="21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1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c r="L14" s="58">
        <v>16.181000000000001</v>
      </c>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f>7.66758</f>
        <v>7.6675800000000001</v>
      </c>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5"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C5" sqref="C5:C43"/>
    </sheetView>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election activeCell="I45" sqref="I45"/>
    </sheetView>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
      </c>
      <c r="I42" s="99" t="str">
        <f>IF(Calorific_Values!J9&lt;&gt;0,IF(AND(5000&lt;=Calorific_Values!J9,Calorific_Values!J9&lt;=30000),"TRUE","FALSE"),"")</f>
        <v/>
      </c>
      <c r="J42" s="99" t="str">
        <f>IF(Calorific_Values!K9&lt;&gt;0,IF(AND(5000&lt;=Calorific_Values!K9,Calorific_Values!K9&lt;=30000),"TRUE","FALSE"),"")</f>
        <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
      </c>
      <c r="G43" s="99" t="str">
        <f>IF(Calorific_Values!H10&lt;&gt;0,IF(AND(40000&lt;=Calorific_Values!H10,Calorific_Values!H10&lt;=50000),"TRUE","FALSE"),"")</f>
        <v/>
      </c>
      <c r="H43" s="99" t="str">
        <f>IF(Calorific_Values!I10&lt;&gt;0,IF(AND(40000&lt;=Calorific_Values!I10,Calorific_Values!I10&lt;=50000),"TRUE","FALSE"),"")</f>
        <v/>
      </c>
      <c r="I43" s="99" t="str">
        <f>IF(Calorific_Values!J10&lt;&gt;0,IF(AND(40000&lt;=Calorific_Values!J10,Calorific_Values!J10&lt;=50000),"TRUE","FALSE"),"")</f>
        <v/>
      </c>
      <c r="J43" s="99" t="str">
        <f>IF(Calorific_Values!K10&lt;&gt;0,IF(AND(40000&lt;=Calorific_Values!K10,Calorific_Values!K10&lt;=50000),"TRUE","FALSE"),"")</f>
        <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
      </c>
      <c r="G44" s="99" t="str">
        <f>IF(Calorific_Values!H11&lt;&gt;0,IF(AND(40000&lt;=Calorific_Values!H11,Calorific_Values!H11&lt;=50000),"TRUE","FALSE"),"")</f>
        <v/>
      </c>
      <c r="H44" s="99" t="str">
        <f>IF(Calorific_Values!I11&lt;&gt;0,IF(AND(40000&lt;=Calorific_Values!I11,Calorific_Values!I11&lt;=50000),"TRUE","FALSE"),"")</f>
        <v/>
      </c>
      <c r="I44" s="99" t="str">
        <f>IF(Calorific_Values!J11&lt;&gt;0,IF(AND(40000&lt;=Calorific_Values!J11,Calorific_Values!J11&lt;=50000),"TRUE","FALSE"),"")</f>
        <v/>
      </c>
      <c r="J44" s="99" t="str">
        <f>IF(Calorific_Values!K11&lt;&gt;0,IF(AND(40000&lt;=Calorific_Values!K11,Calorific_Values!K11&lt;=50000),"TRUE","FALSE"),"")</f>
        <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TRUE</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
      </c>
      <c r="H46" s="99" t="str">
        <f>IF(Calorific_Values!I13&lt;&gt;0,IF(AND(40000&lt;=Calorific_Values!I13,Calorific_Values!I13&lt;=45000),"TRUE","FALSE"),"")</f>
        <v/>
      </c>
      <c r="I46" s="99" t="str">
        <f>IF(Calorific_Values!J13&lt;&gt;0,IF(AND(40000&lt;=Calorific_Values!J13,Calorific_Values!J13&lt;=45000),"TRUE","FALSE"),"")</f>
        <v/>
      </c>
      <c r="J46" s="99" t="str">
        <f>IF(Calorific_Values!K13&lt;&gt;0,IF(AND(40000&lt;=Calorific_Values!K13,Calorific_Values!K13&lt;=45000),"TRUE","FALSE"),"")</f>
        <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2019-11-25T09:13:16Z</cp:lastPrinted>
  <dcterms:created xsi:type="dcterms:W3CDTF">2014-09-17T09:30:01Z</dcterms:created>
  <dcterms:modified xsi:type="dcterms:W3CDTF">2020-01-30T14:03:18Z</dcterms:modified>
  <cp:category>Annual questionnaires</cp:category>
</cp:coreProperties>
</file>