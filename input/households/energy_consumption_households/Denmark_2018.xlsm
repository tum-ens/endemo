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04_Projekte\Nachfragemodell\02_Datensammlung\04_Haushalte\energy_consumption_households\"/>
    </mc:Choice>
  </mc:AlternateContent>
  <bookViews>
    <workbookView xWindow="480" yWindow="435" windowWidth="20580" windowHeight="11640" tabRatio="872" activeTab="5"/>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L10" i="11" l="1"/>
  <c r="L10" i="6"/>
  <c r="L10" i="4"/>
  <c r="L12" i="6" l="1"/>
  <c r="L12" i="8"/>
  <c r="L10" i="8" l="1"/>
  <c r="L8" i="6" l="1"/>
  <c r="L8" i="8"/>
  <c r="L8" i="9"/>
  <c r="L13" i="6"/>
  <c r="L11" i="6"/>
  <c r="L11" i="8"/>
  <c r="L13" i="8"/>
  <c r="L11" i="11"/>
  <c r="L17" i="8" l="1"/>
  <c r="L17" i="6" l="1"/>
  <c r="L6" i="10" l="1"/>
  <c r="L6" i="11"/>
  <c r="L6" i="6" l="1"/>
  <c r="L6" i="9" l="1"/>
  <c r="L6" i="8"/>
  <c r="K10" i="11"/>
  <c r="K6" i="11"/>
  <c r="K6" i="10"/>
  <c r="K8" i="9"/>
  <c r="K6" i="9"/>
  <c r="K10" i="8"/>
  <c r="K8" i="8"/>
  <c r="K7" i="8"/>
  <c r="K6" i="8"/>
  <c r="K10" i="6"/>
  <c r="K8" i="6"/>
  <c r="K7" i="6"/>
  <c r="K6" i="6"/>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J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1"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I6" i="5"/>
  <c r="E6" i="5"/>
  <c r="H16" i="5"/>
  <c r="H18" i="5"/>
  <c r="H6" i="5"/>
  <c r="G9" i="5"/>
  <c r="K9" i="5"/>
  <c r="J7" i="5"/>
  <c r="J13" i="5"/>
  <c r="J10" i="5"/>
  <c r="H10" i="5"/>
  <c r="H15" i="5"/>
  <c r="E11" i="5"/>
  <c r="H12" i="5"/>
  <c r="G6" i="5"/>
  <c r="H14" i="5"/>
  <c r="H11" i="5"/>
  <c r="F6" i="5"/>
  <c r="G7" i="5"/>
  <c r="G12" i="5"/>
  <c r="G11" i="5"/>
  <c r="J18" i="5"/>
  <c r="E15" i="5"/>
  <c r="G13" i="5"/>
  <c r="J8" i="5"/>
  <c r="G8" i="5"/>
  <c r="J14" i="5"/>
  <c r="E18" i="5"/>
  <c r="E7" i="5"/>
  <c r="E12" i="5"/>
  <c r="E16" i="5"/>
  <c r="J12" i="5"/>
  <c r="J16" i="5"/>
  <c r="E14" i="5"/>
  <c r="J6" i="5"/>
  <c r="J15" i="5"/>
  <c r="G18" i="5"/>
  <c r="H7" i="5"/>
  <c r="G14" i="5"/>
  <c r="J11" i="5"/>
  <c r="H9" i="5"/>
  <c r="G10" i="5"/>
  <c r="H8" i="5"/>
  <c r="E13" i="5"/>
  <c r="J9" i="5"/>
  <c r="E8" i="5"/>
  <c r="H13" i="5"/>
  <c r="E9" i="5"/>
  <c r="G16" i="5"/>
  <c r="G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<sst xmlns="http://schemas.openxmlformats.org/spreadsheetml/2006/main" count="952" uniqueCount="315">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</sst>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3"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
      <sz val="10"/>
      <color theme="1"/>
      <name val="Calibri"/>
      <family val="2"/>
      <scheme val="minor"/>
    </font>
    <font>
      <sz val="10"/>
      <color rgb="FFFF0000"/>
      <name val="Calibri"/>
      <family val="2"/>
      <scheme val="minor"/>
    </font>
    <font>
      <sz val="11"/>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1">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
      <left style="thin">
        <color indexed="64"/>
      </left>
      <right style="thin">
        <color indexed="64"/>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32">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1" fontId="50" fillId="0" borderId="27" xfId="0" applyNumberFormat="1" applyFont="1" applyBorder="1" applyAlignment="1">
      <alignment horizontal="right" vertical="center" wrapText="1"/>
    </xf>
    <xf numFmtId="1" fontId="50" fillId="0" borderId="27" xfId="0" applyNumberFormat="1" applyFont="1" applyBorder="1" applyAlignment="1">
      <alignment horizontal="right" vertical="center" wrapText="1"/>
    </xf>
    <xf numFmtId="1" fontId="0" fillId="0" borderId="0" xfId="0" applyNumberFormat="1"/>
    <xf numFmtId="1" fontId="52" fillId="0" borderId="0" xfId="0" applyNumberFormat="1" applyFont="1" applyFill="1" applyProtection="1"/>
    <xf numFmtId="1" fontId="0" fillId="0" borderId="0" xfId="0" applyNumberFormat="1"/>
    <xf numFmtId="1" fontId="0" fillId="0" borderId="0" xfId="0" applyNumberFormat="1"/>
    <xf numFmtId="1" fontId="0" fillId="0" borderId="0" xfId="0" applyNumberFormat="1"/>
    <xf numFmtId="0" fontId="51" fillId="0" borderId="27" xfId="0" applyFont="1" applyBorder="1" applyAlignment="1">
      <alignment horizontal="right" vertical="center" wrapText="1"/>
    </xf>
    <xf numFmtId="0" fontId="51" fillId="0" borderId="27" xfId="0" applyFont="1" applyBorder="1" applyAlignment="1">
      <alignment horizontal="right" vertical="center" wrapText="1"/>
    </xf>
    <xf numFmtId="0" fontId="50" fillId="0" borderId="30" xfId="0" applyFont="1" applyBorder="1" applyAlignment="1">
      <alignment horizontal="right" vertical="center" wrapText="1"/>
    </xf>
    <xf numFmtId="0" fontId="51" fillId="0" borderId="27" xfId="0" applyFont="1" applyBorder="1" applyAlignment="1">
      <alignment horizontal="right" vertical="center" wrapText="1"/>
    </xf>
    <xf numFmtId="1" fontId="0" fillId="0" borderId="0" xfId="0" applyNumberFormat="1"/>
    <xf numFmtId="1" fontId="0" fillId="0" borderId="0" xfId="0" applyNumberFormat="1"/>
    <xf numFmtId="1" fontId="0" fillId="0" borderId="0" xfId="0" applyNumberFormat="1" applyProtection="1"/>
    <xf numFmtId="1" fontId="51" fillId="0" borderId="27" xfId="0" applyNumberFormat="1" applyFont="1" applyBorder="1" applyAlignment="1">
      <alignment horizontal="right" vertical="center" wrapText="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Link" xfId="2" builtinId="8"/>
    <cellStyle name="Normal 10 2" xfId="10"/>
    <cellStyle name="Normal 10 2 2 5" xfId="11"/>
    <cellStyle name="Normal 2" xfId="3"/>
    <cellStyle name="Normal 2 2" xfId="4"/>
    <cellStyle name="Normal 3" xfId="5"/>
    <cellStyle name="Normal 4" xfId="6"/>
    <cellStyle name="Normal_Oilques" xfId="7"/>
    <cellStyle name="NumberCellStyle" xfId="8"/>
    <cellStyle name="Standard" xfId="0" builtinId="0"/>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2018</v>
          </cell>
          <cell r="K127" t="str">
            <v>Israël</v>
          </cell>
          <cell r="L127" t="str">
            <v>ISRAEL</v>
          </cell>
          <cell r="M127" t="str">
            <v>IL</v>
          </cell>
          <cell r="N127"/>
          <cell r="P127" t="str">
            <v>Israel</v>
          </cell>
          <cell r="Q127" t="str">
            <v>Israël</v>
          </cell>
          <cell r="R127" t="str">
            <v>Израиль</v>
          </cell>
        </row>
        <row r="128">
          <cell r="D128">
            <v>2005</v>
          </cell>
          <cell r="G128">
            <v>4</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2018</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zoomScale="90" zoomScaleNormal="90" workbookViewId="0">
      <selection activeCell="C23" sqref="C23:D23"/>
    </sheetView>
  </sheetViews>
  <sheetFormatPr baseColWidth="10"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73" t="s">
        <v>144</v>
      </c>
      <c r="B13" s="173"/>
      <c r="C13" s="173"/>
      <c r="D13" s="173"/>
      <c r="E13" s="173"/>
    </row>
    <row r="14" spans="1:5" ht="15" customHeight="1" thickBot="1" x14ac:dyDescent="0.3">
      <c r="A14" s="23"/>
      <c r="B14" s="24"/>
      <c r="C14" s="24"/>
      <c r="D14" s="24"/>
      <c r="E14" s="24"/>
    </row>
    <row r="15" spans="1:5" ht="21" customHeight="1" thickBot="1" x14ac:dyDescent="0.3">
      <c r="A15" s="23"/>
      <c r="B15" s="23"/>
      <c r="C15" s="51" t="s">
        <v>32</v>
      </c>
      <c r="D15" s="56" t="s">
        <v>50</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74"/>
      <c r="D19" s="175"/>
      <c r="E19" s="23"/>
    </row>
    <row r="20" spans="1:5" ht="15" customHeight="1" thickBot="1" x14ac:dyDescent="0.3">
      <c r="A20" s="23"/>
      <c r="B20" s="27"/>
      <c r="C20" s="24"/>
      <c r="D20" s="24"/>
      <c r="E20" s="23"/>
    </row>
    <row r="21" spans="1:5" ht="21" customHeight="1" thickBot="1" x14ac:dyDescent="0.3">
      <c r="A21" s="23"/>
      <c r="B21" s="27" t="s">
        <v>35</v>
      </c>
      <c r="C21" s="176"/>
      <c r="D21" s="175"/>
      <c r="E21" s="23"/>
    </row>
    <row r="22" spans="1:5" ht="15" customHeight="1" thickBot="1" x14ac:dyDescent="0.3">
      <c r="A22" s="23"/>
      <c r="B22" s="27"/>
      <c r="C22" s="24"/>
      <c r="D22" s="24"/>
      <c r="E22" s="23"/>
    </row>
    <row r="23" spans="1:5" ht="21" customHeight="1" thickBot="1" x14ac:dyDescent="0.3">
      <c r="A23" s="23"/>
      <c r="B23" s="27" t="s">
        <v>36</v>
      </c>
      <c r="C23" s="174"/>
      <c r="D23" s="175"/>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72" t="s">
        <v>142</v>
      </c>
      <c r="B37" s="172"/>
      <c r="C37" s="172"/>
      <c r="D37" s="172"/>
      <c r="E37" s="172"/>
    </row>
    <row r="38" spans="1:5" ht="15" customHeight="1" x14ac:dyDescent="0.25">
      <c r="A38" s="53"/>
      <c r="B38" s="53"/>
      <c r="C38" s="53"/>
      <c r="D38" s="53"/>
      <c r="E38" s="53"/>
    </row>
    <row r="39" spans="1:5" ht="21" customHeight="1" x14ac:dyDescent="0.25">
      <c r="A39" s="172" t="s">
        <v>39</v>
      </c>
      <c r="B39" s="172"/>
      <c r="C39" s="172"/>
      <c r="D39" s="172"/>
      <c r="E39" s="172"/>
    </row>
    <row r="40" spans="1:5" ht="45" customHeight="1" x14ac:dyDescent="0.25">
      <c r="A40" s="172" t="s">
        <v>148</v>
      </c>
      <c r="B40" s="172"/>
      <c r="C40" s="172"/>
      <c r="D40" s="172"/>
      <c r="E40" s="172"/>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77" t="s">
        <v>145</v>
      </c>
      <c r="C2" s="178"/>
    </row>
    <row r="3" spans="2:3" ht="9.75" customHeight="1" x14ac:dyDescent="0.25">
      <c r="B3" s="64"/>
      <c r="C3" s="65"/>
    </row>
    <row r="4" spans="2:3" ht="36" customHeight="1" x14ac:dyDescent="0.25">
      <c r="B4" s="179" t="s">
        <v>82</v>
      </c>
      <c r="C4" s="66" t="s">
        <v>83</v>
      </c>
    </row>
    <row r="5" spans="2:3" ht="36" customHeight="1" x14ac:dyDescent="0.25">
      <c r="B5" s="180"/>
      <c r="C5" s="67" t="s">
        <v>134</v>
      </c>
    </row>
    <row r="6" spans="2:3" ht="36" customHeight="1" x14ac:dyDescent="0.25">
      <c r="B6" s="180"/>
      <c r="C6" s="67" t="s">
        <v>146</v>
      </c>
    </row>
    <row r="7" spans="2:3" ht="45" customHeight="1" x14ac:dyDescent="0.25">
      <c r="B7" s="181"/>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82" t="s">
        <v>29</v>
      </c>
      <c r="C15" s="67" t="s">
        <v>312</v>
      </c>
    </row>
    <row r="16" spans="2:3" ht="63" customHeight="1" x14ac:dyDescent="0.25">
      <c r="B16" s="183"/>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84" t="s">
        <v>115</v>
      </c>
      <c r="C31" s="67" t="s">
        <v>311</v>
      </c>
    </row>
    <row r="32" spans="2:3" ht="105" customHeight="1" x14ac:dyDescent="0.25">
      <c r="B32" s="185"/>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84" t="s">
        <v>117</v>
      </c>
      <c r="C41" s="67" t="s">
        <v>127</v>
      </c>
    </row>
    <row r="42" spans="1:3" ht="59.25" customHeight="1" x14ac:dyDescent="0.25">
      <c r="B42" s="185"/>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28" sqref="L28"/>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91" t="s">
        <v>0</v>
      </c>
      <c r="B1" s="192"/>
      <c r="C1" s="20"/>
      <c r="D1" s="1"/>
      <c r="E1" s="2"/>
      <c r="F1" s="2"/>
      <c r="G1" s="2"/>
      <c r="H1" s="2"/>
      <c r="I1" s="2"/>
      <c r="J1" s="2"/>
      <c r="K1" s="2"/>
      <c r="L1" s="2"/>
      <c r="M1" s="2"/>
      <c r="N1" s="2"/>
      <c r="O1" s="2"/>
    </row>
    <row r="2" spans="1:134" ht="18" customHeight="1" x14ac:dyDescent="0.25">
      <c r="A2" s="193"/>
      <c r="B2" s="194"/>
      <c r="C2" s="1"/>
      <c r="D2" s="1"/>
      <c r="E2" s="5"/>
      <c r="F2" s="3"/>
      <c r="G2" s="3"/>
      <c r="H2" s="3"/>
      <c r="I2" s="3"/>
      <c r="J2" s="3"/>
      <c r="K2" s="3"/>
      <c r="L2" s="3"/>
      <c r="M2" s="3"/>
      <c r="N2" s="3"/>
      <c r="O2" s="3"/>
    </row>
    <row r="3" spans="1:134" ht="18" customHeight="1" x14ac:dyDescent="0.3">
      <c r="A3" s="195" t="s">
        <v>12</v>
      </c>
      <c r="B3" s="196"/>
      <c r="C3" s="1"/>
      <c r="D3" s="1"/>
      <c r="E3" s="5"/>
      <c r="F3" s="3"/>
      <c r="G3" s="3"/>
      <c r="H3" s="3"/>
      <c r="I3" s="3"/>
      <c r="J3" s="3"/>
      <c r="K3" s="3"/>
      <c r="L3" s="3"/>
      <c r="M3" s="3"/>
      <c r="N3" s="3"/>
      <c r="O3" s="3"/>
      <c r="DS3" s="4" t="s">
        <v>229</v>
      </c>
    </row>
    <row r="4" spans="1:134" ht="18" customHeight="1" x14ac:dyDescent="0.25">
      <c r="A4" s="197"/>
      <c r="B4" s="19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98" t="s">
        <v>3</v>
      </c>
      <c r="B5" s="19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187"/>
      <c r="C6" s="47"/>
      <c r="D6" s="48"/>
      <c r="E6" s="49"/>
      <c r="F6" s="49"/>
      <c r="G6" s="49"/>
      <c r="H6" s="49"/>
      <c r="I6" s="49"/>
      <c r="J6" s="49"/>
      <c r="K6" s="49"/>
      <c r="L6" s="49"/>
      <c r="M6" s="49"/>
      <c r="N6" s="49"/>
      <c r="O6" s="49"/>
      <c r="DS6" s="4" t="str">
        <f>VLOOKUP(Cover!$D$15, Country_list!$B$3:$C$44, 2, 0)</f>
        <v>DK</v>
      </c>
      <c r="DV6" s="4" t="s">
        <v>298</v>
      </c>
    </row>
    <row r="7" spans="1:134" ht="24" customHeight="1" x14ac:dyDescent="0.2">
      <c r="A7" s="189" t="s">
        <v>15</v>
      </c>
      <c r="B7" s="190"/>
      <c r="C7" s="45"/>
      <c r="D7" s="15"/>
      <c r="E7" s="46"/>
      <c r="F7" s="46"/>
      <c r="G7" s="46"/>
      <c r="H7" s="46"/>
      <c r="I7" s="46"/>
      <c r="J7" s="46"/>
      <c r="K7" s="46"/>
      <c r="L7" s="46"/>
      <c r="M7" s="46"/>
      <c r="N7" s="46"/>
      <c r="O7" s="46"/>
    </row>
    <row r="8" spans="1:134" ht="24" customHeight="1" x14ac:dyDescent="0.2">
      <c r="A8" s="189" t="s">
        <v>29</v>
      </c>
      <c r="B8" s="190"/>
      <c r="C8" s="45"/>
      <c r="D8" s="15"/>
      <c r="E8" s="46"/>
      <c r="F8" s="46"/>
      <c r="G8" s="46"/>
      <c r="H8" s="46"/>
      <c r="I8" s="46"/>
      <c r="J8" s="46"/>
      <c r="K8" s="46"/>
      <c r="L8" s="46"/>
      <c r="M8" s="46"/>
      <c r="N8" s="46"/>
      <c r="O8" s="46"/>
    </row>
    <row r="9" spans="1:134" ht="24" customHeight="1" x14ac:dyDescent="0.2">
      <c r="A9" s="189" t="s">
        <v>156</v>
      </c>
      <c r="B9" s="190"/>
      <c r="C9" s="9" t="s">
        <v>132</v>
      </c>
      <c r="D9" s="93"/>
      <c r="E9" s="94"/>
      <c r="F9" s="94"/>
      <c r="G9" s="94"/>
      <c r="H9" s="94"/>
      <c r="I9" s="94"/>
      <c r="J9" s="94"/>
      <c r="K9" s="94"/>
      <c r="L9" s="94"/>
      <c r="M9" s="94"/>
      <c r="N9" s="94"/>
      <c r="O9" s="94"/>
      <c r="DT9" s="4" t="s">
        <v>279</v>
      </c>
      <c r="EB9" s="4" t="s">
        <v>300</v>
      </c>
      <c r="ED9" s="4" t="s">
        <v>301</v>
      </c>
    </row>
    <row r="10" spans="1:134" ht="24" customHeight="1" x14ac:dyDescent="0.2">
      <c r="A10" s="189" t="s">
        <v>20</v>
      </c>
      <c r="B10" s="190"/>
      <c r="C10" s="9" t="s">
        <v>132</v>
      </c>
      <c r="D10" s="93"/>
      <c r="E10" s="94"/>
      <c r="F10" s="94"/>
      <c r="G10" s="94"/>
      <c r="H10" s="94">
        <v>41868</v>
      </c>
      <c r="I10" s="94">
        <v>41868</v>
      </c>
      <c r="J10" s="94">
        <v>41868</v>
      </c>
      <c r="K10" s="94">
        <v>41868</v>
      </c>
      <c r="L10" s="94">
        <f>9289/215*1000</f>
        <v>43204.651162790695</v>
      </c>
      <c r="M10" s="94"/>
      <c r="N10" s="94"/>
      <c r="O10" s="94"/>
      <c r="DT10" s="4" t="s">
        <v>280</v>
      </c>
      <c r="EB10" s="4" t="s">
        <v>300</v>
      </c>
      <c r="ED10" s="4" t="s">
        <v>301</v>
      </c>
    </row>
    <row r="11" spans="1:134" s="13" customFormat="1" ht="15" customHeight="1" x14ac:dyDescent="0.2">
      <c r="A11" s="188" t="s">
        <v>18</v>
      </c>
      <c r="B11" s="110" t="s">
        <v>21</v>
      </c>
      <c r="C11" s="111" t="s">
        <v>132</v>
      </c>
      <c r="D11" s="115"/>
      <c r="E11" s="115"/>
      <c r="F11" s="116"/>
      <c r="G11" s="116"/>
      <c r="H11" s="116">
        <v>46000</v>
      </c>
      <c r="I11" s="116">
        <v>46000</v>
      </c>
      <c r="J11" s="116">
        <v>46000</v>
      </c>
      <c r="K11" s="116">
        <v>46000</v>
      </c>
      <c r="L11" s="116">
        <v>46000</v>
      </c>
      <c r="M11" s="116">
        <v>46000</v>
      </c>
      <c r="N11" s="116">
        <v>46000</v>
      </c>
      <c r="O11" s="116">
        <v>46000</v>
      </c>
      <c r="DT11" s="13" t="s">
        <v>281</v>
      </c>
      <c r="EB11" s="13" t="s">
        <v>300</v>
      </c>
      <c r="ED11" s="13" t="s">
        <v>301</v>
      </c>
    </row>
    <row r="12" spans="1:134" s="13" customFormat="1" ht="15" customHeight="1" x14ac:dyDescent="0.2">
      <c r="A12" s="188"/>
      <c r="B12" s="110" t="s">
        <v>22</v>
      </c>
      <c r="C12" s="111" t="s">
        <v>132</v>
      </c>
      <c r="D12" s="115"/>
      <c r="E12" s="115"/>
      <c r="F12" s="115"/>
      <c r="G12" s="115"/>
      <c r="H12" s="115"/>
      <c r="I12" s="115"/>
      <c r="J12" s="115"/>
      <c r="K12" s="115"/>
      <c r="L12" s="115">
        <v>37669.305917309299</v>
      </c>
      <c r="M12" s="115"/>
      <c r="N12" s="115"/>
      <c r="O12" s="115"/>
      <c r="DT12" s="13" t="s">
        <v>282</v>
      </c>
      <c r="EB12" s="13" t="s">
        <v>300</v>
      </c>
      <c r="ED12" s="13" t="s">
        <v>301</v>
      </c>
    </row>
    <row r="13" spans="1:134" s="13" customFormat="1" ht="15" customHeight="1" x14ac:dyDescent="0.2">
      <c r="A13" s="188"/>
      <c r="B13" s="110" t="s">
        <v>23</v>
      </c>
      <c r="C13" s="111" t="s">
        <v>132</v>
      </c>
      <c r="D13" s="115"/>
      <c r="E13" s="115"/>
      <c r="F13" s="115"/>
      <c r="G13" s="115"/>
      <c r="H13" s="115">
        <v>42700</v>
      </c>
      <c r="I13" s="115">
        <v>42700</v>
      </c>
      <c r="J13" s="115">
        <v>42700</v>
      </c>
      <c r="K13" s="115">
        <v>42700</v>
      </c>
      <c r="L13" s="115">
        <v>42700</v>
      </c>
      <c r="M13" s="115">
        <v>42700</v>
      </c>
      <c r="N13" s="115">
        <v>42700</v>
      </c>
      <c r="O13" s="115">
        <v>42700</v>
      </c>
      <c r="DT13" s="13" t="s">
        <v>283</v>
      </c>
      <c r="EB13" s="13" t="s">
        <v>300</v>
      </c>
      <c r="ED13" s="13" t="s">
        <v>301</v>
      </c>
    </row>
    <row r="14" spans="1:134" ht="24" customHeight="1" x14ac:dyDescent="0.2">
      <c r="A14" s="189" t="s">
        <v>24</v>
      </c>
      <c r="B14" s="190"/>
      <c r="C14" s="45"/>
      <c r="D14" s="15"/>
      <c r="E14" s="46"/>
      <c r="F14" s="46"/>
      <c r="G14" s="46"/>
      <c r="H14" s="46"/>
      <c r="I14" s="46"/>
      <c r="J14" s="46"/>
      <c r="K14" s="46"/>
      <c r="L14" s="46"/>
      <c r="M14" s="46"/>
      <c r="N14" s="46"/>
      <c r="O14" s="46"/>
    </row>
    <row r="15" spans="1:134" s="13" customFormat="1" ht="15" customHeight="1" x14ac:dyDescent="0.2">
      <c r="A15" s="188" t="s">
        <v>18</v>
      </c>
      <c r="B15" s="110" t="s">
        <v>26</v>
      </c>
      <c r="C15" s="14"/>
      <c r="D15" s="15"/>
      <c r="E15" s="12"/>
      <c r="F15" s="12"/>
      <c r="G15" s="12"/>
      <c r="H15" s="12"/>
      <c r="I15" s="12"/>
      <c r="J15" s="12"/>
      <c r="K15" s="12"/>
      <c r="L15" s="12"/>
      <c r="M15" s="12"/>
      <c r="N15" s="12"/>
      <c r="O15" s="12"/>
    </row>
    <row r="16" spans="1:134" s="13" customFormat="1" ht="15" customHeight="1" x14ac:dyDescent="0.2">
      <c r="A16" s="188"/>
      <c r="B16" s="110" t="s">
        <v>27</v>
      </c>
      <c r="C16" s="14"/>
      <c r="D16" s="15"/>
      <c r="E16" s="12"/>
      <c r="F16" s="12"/>
      <c r="G16" s="12"/>
      <c r="H16" s="12"/>
      <c r="I16" s="12"/>
      <c r="J16" s="12"/>
      <c r="K16" s="12"/>
      <c r="L16" s="12"/>
      <c r="M16" s="12"/>
      <c r="N16" s="12"/>
      <c r="O16" s="12"/>
    </row>
    <row r="17" spans="1:15" s="13" customFormat="1" ht="15" customHeight="1" x14ac:dyDescent="0.2">
      <c r="A17" s="188"/>
      <c r="B17" s="110" t="s">
        <v>28</v>
      </c>
      <c r="C17" s="14"/>
      <c r="D17" s="15"/>
      <c r="E17" s="12"/>
      <c r="F17" s="12"/>
      <c r="G17" s="12"/>
      <c r="H17" s="12"/>
      <c r="I17" s="12"/>
      <c r="J17" s="12"/>
      <c r="K17" s="12"/>
      <c r="L17" s="12"/>
      <c r="M17" s="12"/>
      <c r="N17" s="12"/>
      <c r="O17" s="12"/>
    </row>
    <row r="18" spans="1:15" s="13" customFormat="1" ht="15" customHeight="1" x14ac:dyDescent="0.2">
      <c r="A18" s="188"/>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C31" sqref="C31"/>
    </sheetView>
  </sheetViews>
  <sheetFormatPr baseColWidth="10"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91" t="s">
        <v>0</v>
      </c>
      <c r="B1" s="202"/>
      <c r="C1" s="31"/>
      <c r="D1" s="1"/>
      <c r="E1" s="2"/>
      <c r="F1" s="2"/>
      <c r="G1" s="2"/>
      <c r="H1" s="2"/>
      <c r="I1" s="2"/>
      <c r="J1" s="2"/>
      <c r="K1" s="3"/>
    </row>
    <row r="2" spans="1:11" ht="18" customHeight="1" x14ac:dyDescent="0.25">
      <c r="A2" s="203" t="s">
        <v>1</v>
      </c>
      <c r="B2" s="204"/>
      <c r="C2" s="1" t="str">
        <f>Cover!D15</f>
        <v>Denmark</v>
      </c>
      <c r="D2" s="1"/>
      <c r="E2" s="5"/>
      <c r="F2" s="3"/>
      <c r="G2" s="3"/>
      <c r="H2" s="3"/>
      <c r="I2" s="3"/>
      <c r="J2" s="3"/>
      <c r="K2" s="3"/>
    </row>
    <row r="3" spans="1:11" ht="18" customHeight="1" x14ac:dyDescent="0.25">
      <c r="A3" s="203" t="s">
        <v>2</v>
      </c>
      <c r="B3" s="205"/>
      <c r="C3" s="114">
        <v>2018</v>
      </c>
      <c r="D3" s="1"/>
      <c r="E3" s="5"/>
      <c r="F3" s="3"/>
      <c r="G3" s="3"/>
      <c r="H3" s="3"/>
      <c r="I3" s="3"/>
      <c r="J3" s="3"/>
      <c r="K3" s="3"/>
    </row>
    <row r="4" spans="1:11" ht="18" customHeight="1" x14ac:dyDescent="0.25">
      <c r="A4" s="206"/>
      <c r="B4" s="207"/>
      <c r="C4" s="31"/>
      <c r="D4" s="1"/>
      <c r="E4" s="5"/>
      <c r="F4" s="3"/>
      <c r="G4" s="3"/>
      <c r="H4" s="3"/>
      <c r="I4" s="3"/>
      <c r="J4" s="3"/>
      <c r="K4" s="3"/>
    </row>
    <row r="5" spans="1:11" ht="37.5" customHeight="1" x14ac:dyDescent="0.25">
      <c r="A5" s="198" t="s">
        <v>3</v>
      </c>
      <c r="B5" s="208"/>
      <c r="C5" s="6" t="s">
        <v>4</v>
      </c>
      <c r="D5" s="7" t="s">
        <v>5</v>
      </c>
      <c r="E5" s="6" t="s">
        <v>6</v>
      </c>
      <c r="F5" s="6" t="s">
        <v>7</v>
      </c>
      <c r="G5" s="6" t="s">
        <v>8</v>
      </c>
      <c r="H5" s="6" t="s">
        <v>9</v>
      </c>
      <c r="I5" s="6" t="s">
        <v>10</v>
      </c>
      <c r="J5" s="6" t="s">
        <v>11</v>
      </c>
      <c r="K5" s="7" t="s">
        <v>12</v>
      </c>
    </row>
    <row r="6" spans="1:11" ht="24" customHeight="1" x14ac:dyDescent="0.25">
      <c r="A6" s="200" t="s">
        <v>13</v>
      </c>
      <c r="B6" s="201"/>
      <c r="C6" s="108" t="s">
        <v>14</v>
      </c>
      <c r="D6" s="120">
        <f ca="1">SUM(E6:J6)</f>
        <v>9773.0555555555566</v>
      </c>
      <c r="E6" s="121">
        <f ca="1">INDIRECT(ADDRESS(ROW(K6),$C$3 -2010 + 4,,,"1a_SpaceHeating"))</f>
        <v>940</v>
      </c>
      <c r="F6" s="121">
        <f ca="1">INDIRECT(ADDRESS(ROW(K6),$C$3-2010+4,,,"1b_SpaceCooling"))</f>
        <v>0</v>
      </c>
      <c r="G6" s="121">
        <f ca="1">INDIRECT(ADDRESS(ROW(K6),$C$3-2010+4,,,"1c_WaterHeating"))</f>
        <v>524.72222222222217</v>
      </c>
      <c r="H6" s="121">
        <f ca="1">INDIRECT(ADDRESS(ROW(K6),$C$3-2010+4,,,"1d_Cooking"))</f>
        <v>840.83333333333326</v>
      </c>
      <c r="I6" s="121">
        <f ca="1">INDIRECT(ADDRESS(ROW(K6),$C$3-2010+4,,,"1e_LightingAndAppliances"))</f>
        <v>7441.6666666666661</v>
      </c>
      <c r="J6" s="121">
        <f ca="1">INDIRECT(ADDRESS(ROW(K6),$C$3-2010+4,,,"1f_OtherEndUses"))</f>
        <v>25.833333333333332</v>
      </c>
      <c r="K6" s="122"/>
    </row>
    <row r="7" spans="1:11" ht="24" customHeight="1" x14ac:dyDescent="0.25">
      <c r="A7" s="210" t="s">
        <v>15</v>
      </c>
      <c r="B7" s="211"/>
      <c r="C7" s="109" t="s">
        <v>16</v>
      </c>
      <c r="D7" s="123">
        <f t="shared" ref="D7:D16" ca="1" si="0">SUM(E7:J7)</f>
        <v>69599</v>
      </c>
      <c r="E7" s="124">
        <f t="shared" ref="E7:E16" ca="1" si="1">INDIRECT(ADDRESS(ROW(K7),$C$3 -2010 + 4,,,"1a_SpaceHeating"))</f>
        <v>43807</v>
      </c>
      <c r="F7" s="125"/>
      <c r="G7" s="124">
        <f t="shared" ref="G7:G16" ca="1" si="2">INDIRECT(ADDRESS(ROW(K7),$C$3-2010+4,,,"1c_WaterHeating"))</f>
        <v>25792</v>
      </c>
      <c r="H7" s="124">
        <f t="shared" ref="H7:H16" ca="1" si="3">INDIRECT(ADDRESS(ROW(K7),$C$3-2010+4,,,"1d_Cooking"))</f>
        <v>0</v>
      </c>
      <c r="I7" s="125"/>
      <c r="J7" s="124">
        <f t="shared" ref="J7:J17" ca="1" si="4">INDIRECT(ADDRESS(ROW(K7),$C$3-2010+4,,,"1f_OtherEndUses"))</f>
        <v>0</v>
      </c>
      <c r="K7" s="125"/>
    </row>
    <row r="8" spans="1:11" ht="24" customHeight="1" x14ac:dyDescent="0.25">
      <c r="A8" s="210" t="s">
        <v>29</v>
      </c>
      <c r="B8" s="211"/>
      <c r="C8" s="109" t="s">
        <v>17</v>
      </c>
      <c r="D8" s="123">
        <f t="shared" ca="1" si="0"/>
        <v>28612.222222222223</v>
      </c>
      <c r="E8" s="124">
        <f t="shared" ca="1" si="1"/>
        <v>20683.333333333332</v>
      </c>
      <c r="F8" s="125"/>
      <c r="G8" s="124">
        <f t="shared" ca="1" si="2"/>
        <v>7822.2222222222217</v>
      </c>
      <c r="H8" s="124">
        <f t="shared" ca="1" si="3"/>
        <v>106.66666666666666</v>
      </c>
      <c r="I8" s="125"/>
      <c r="J8" s="124">
        <f t="shared" ca="1" si="4"/>
        <v>0</v>
      </c>
      <c r="K8" s="125"/>
    </row>
    <row r="9" spans="1:11" ht="24" customHeight="1" x14ac:dyDescent="0.25">
      <c r="A9" s="210" t="s">
        <v>156</v>
      </c>
      <c r="B9" s="211"/>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210" t="s">
        <v>42</v>
      </c>
      <c r="B10" s="211"/>
      <c r="C10" s="109" t="s">
        <v>19</v>
      </c>
      <c r="D10" s="123">
        <f t="shared" ca="1" si="0"/>
        <v>215.52515964764723</v>
      </c>
      <c r="E10" s="124">
        <f t="shared" ca="1" si="1"/>
        <v>112.9240282237043</v>
      </c>
      <c r="F10" s="125"/>
      <c r="G10" s="124">
        <f t="shared" ca="1" si="2"/>
        <v>79.329739722533347</v>
      </c>
      <c r="H10" s="124">
        <f t="shared" ca="1" si="3"/>
        <v>0</v>
      </c>
      <c r="I10" s="125"/>
      <c r="J10" s="124">
        <f t="shared" ca="1" si="4"/>
        <v>23.27139170140957</v>
      </c>
      <c r="K10" s="126">
        <f ca="1">INDIRECT(ADDRESS(ROW(K10),$C$3-2010+4,,,"Calorific_Values"))</f>
        <v>43204.651162790695</v>
      </c>
    </row>
    <row r="11" spans="1:11" s="34" customFormat="1" ht="15" customHeight="1" x14ac:dyDescent="0.25">
      <c r="A11" s="209" t="s">
        <v>18</v>
      </c>
      <c r="B11" s="10" t="s">
        <v>21</v>
      </c>
      <c r="C11" s="11" t="s">
        <v>19</v>
      </c>
      <c r="D11" s="127">
        <f t="shared" ca="1" si="0"/>
        <v>19.15217391304348</v>
      </c>
      <c r="E11" s="128">
        <f t="shared" ca="1" si="1"/>
        <v>8.3913043478260878</v>
      </c>
      <c r="F11" s="129"/>
      <c r="G11" s="128">
        <f t="shared" ca="1" si="2"/>
        <v>5.8913043478260869</v>
      </c>
      <c r="H11" s="128">
        <f t="shared" ca="1" si="3"/>
        <v>0</v>
      </c>
      <c r="I11" s="129"/>
      <c r="J11" s="128">
        <f t="shared" ca="1" si="4"/>
        <v>4.8695652173913047</v>
      </c>
      <c r="K11" s="130">
        <f t="shared" ref="K11:K13" ca="1" si="5">INDIRECT(ADDRESS(ROW(K11),$C$3-2010+4,,,"Calorific_Values"))</f>
        <v>46000</v>
      </c>
    </row>
    <row r="12" spans="1:11" s="34" customFormat="1" ht="15" customHeight="1" x14ac:dyDescent="0.25">
      <c r="A12" s="209"/>
      <c r="B12" s="10" t="s">
        <v>22</v>
      </c>
      <c r="C12" s="11" t="s">
        <v>19</v>
      </c>
      <c r="D12" s="127">
        <f t="shared" ca="1" si="0"/>
        <v>2.6549999999999998</v>
      </c>
      <c r="E12" s="128">
        <f t="shared" ca="1" si="1"/>
        <v>1.5584849999999999</v>
      </c>
      <c r="F12" s="129"/>
      <c r="G12" s="128">
        <f t="shared" ca="1" si="2"/>
        <v>1.0965149999999999</v>
      </c>
      <c r="H12" s="128">
        <f t="shared" ca="1" si="3"/>
        <v>0</v>
      </c>
      <c r="I12" s="129"/>
      <c r="J12" s="128">
        <f t="shared" ca="1" si="4"/>
        <v>0</v>
      </c>
      <c r="K12" s="130">
        <f t="shared" ca="1" si="5"/>
        <v>37669.305917309299</v>
      </c>
    </row>
    <row r="13" spans="1:11" s="34" customFormat="1" ht="15" customHeight="1" x14ac:dyDescent="0.25">
      <c r="A13" s="209"/>
      <c r="B13" s="10" t="s">
        <v>23</v>
      </c>
      <c r="C13" s="11" t="s">
        <v>19</v>
      </c>
      <c r="D13" s="127">
        <f t="shared" ca="1" si="0"/>
        <v>175.31615925058549</v>
      </c>
      <c r="E13" s="128">
        <f t="shared" ca="1" si="1"/>
        <v>102.97423887587821</v>
      </c>
      <c r="F13" s="129"/>
      <c r="G13" s="128">
        <f t="shared" ca="1" si="2"/>
        <v>72.341920374707257</v>
      </c>
      <c r="H13" s="128">
        <f t="shared" ca="1" si="3"/>
        <v>0</v>
      </c>
      <c r="I13" s="129"/>
      <c r="J13" s="128">
        <f t="shared" ca="1" si="4"/>
        <v>0</v>
      </c>
      <c r="K13" s="130">
        <f t="shared" ca="1" si="5"/>
        <v>42700</v>
      </c>
    </row>
    <row r="14" spans="1:11" ht="24" customHeight="1" x14ac:dyDescent="0.25">
      <c r="A14" s="210" t="s">
        <v>43</v>
      </c>
      <c r="B14" s="211"/>
      <c r="C14" s="109" t="s">
        <v>16</v>
      </c>
      <c r="D14" s="123">
        <f t="shared" ca="1" si="0"/>
        <v>51788</v>
      </c>
      <c r="E14" s="124">
        <f t="shared" ca="1" si="1"/>
        <v>49123</v>
      </c>
      <c r="F14" s="125"/>
      <c r="G14" s="124">
        <f t="shared" ca="1" si="2"/>
        <v>2665</v>
      </c>
      <c r="H14" s="124">
        <f t="shared" ca="1" si="3"/>
        <v>0</v>
      </c>
      <c r="I14" s="125"/>
      <c r="J14" s="124">
        <f t="shared" ca="1" si="4"/>
        <v>0</v>
      </c>
      <c r="K14" s="125"/>
    </row>
    <row r="15" spans="1:11" s="34" customFormat="1" ht="15" customHeight="1" x14ac:dyDescent="0.25">
      <c r="A15" s="209" t="s">
        <v>18</v>
      </c>
      <c r="B15" s="10" t="s">
        <v>26</v>
      </c>
      <c r="C15" s="11" t="s">
        <v>16</v>
      </c>
      <c r="D15" s="127">
        <f t="shared" ca="1" si="0"/>
        <v>513</v>
      </c>
      <c r="E15" s="128">
        <f t="shared" ca="1" si="1"/>
        <v>486.60396261263782</v>
      </c>
      <c r="F15" s="129"/>
      <c r="G15" s="128">
        <f t="shared" ca="1" si="2"/>
        <v>26.396037387362178</v>
      </c>
      <c r="H15" s="128">
        <f t="shared" ca="1" si="3"/>
        <v>0</v>
      </c>
      <c r="I15" s="129"/>
      <c r="J15" s="128">
        <f t="shared" ca="1" si="4"/>
        <v>0</v>
      </c>
      <c r="K15" s="129"/>
    </row>
    <row r="16" spans="1:11" s="34" customFormat="1" ht="15" customHeight="1" x14ac:dyDescent="0.25">
      <c r="A16" s="209"/>
      <c r="B16" s="10" t="s">
        <v>27</v>
      </c>
      <c r="C16" s="11" t="s">
        <v>16</v>
      </c>
      <c r="D16" s="127">
        <f t="shared" ca="1" si="0"/>
        <v>44014.759426130113</v>
      </c>
      <c r="E16" s="128">
        <f t="shared" ca="1" si="1"/>
        <v>41750</v>
      </c>
      <c r="F16" s="129"/>
      <c r="G16" s="128">
        <f t="shared" ca="1" si="2"/>
        <v>2264.7594261301097</v>
      </c>
      <c r="H16" s="128">
        <f t="shared" ca="1" si="3"/>
        <v>0</v>
      </c>
      <c r="I16" s="129"/>
      <c r="J16" s="128">
        <f t="shared" ca="1" si="4"/>
        <v>0</v>
      </c>
      <c r="K16" s="129"/>
    </row>
    <row r="17" spans="1:11" s="34" customFormat="1" ht="15" customHeight="1" x14ac:dyDescent="0.25">
      <c r="A17" s="209"/>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209"/>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20" sqref="D20"/>
    </sheetView>
  </sheetViews>
  <sheetFormatPr baseColWidth="10"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91" t="s">
        <v>0</v>
      </c>
      <c r="B1" s="202"/>
      <c r="C1" s="31"/>
      <c r="D1" s="1"/>
      <c r="E1" s="2"/>
      <c r="F1" s="2"/>
      <c r="G1" s="2"/>
      <c r="H1" s="2"/>
      <c r="I1" s="2"/>
      <c r="J1" s="2"/>
      <c r="K1" s="3"/>
    </row>
    <row r="2" spans="1:11" ht="18" customHeight="1" x14ac:dyDescent="0.25">
      <c r="A2" s="203" t="s">
        <v>1</v>
      </c>
      <c r="B2" s="204"/>
      <c r="C2" s="1" t="str">
        <f>Cover!D15</f>
        <v>Denmark</v>
      </c>
      <c r="D2" s="1"/>
      <c r="E2" s="5"/>
      <c r="F2" s="3"/>
      <c r="G2" s="3"/>
      <c r="H2" s="3"/>
      <c r="I2" s="3"/>
      <c r="J2" s="3"/>
      <c r="K2" s="3"/>
    </row>
    <row r="3" spans="1:11" ht="18" customHeight="1" x14ac:dyDescent="0.25">
      <c r="A3" s="203" t="s">
        <v>2</v>
      </c>
      <c r="B3" s="204"/>
      <c r="C3" s="1">
        <f>Table1_Totals!C3</f>
        <v>2018</v>
      </c>
      <c r="D3" s="1"/>
      <c r="E3" s="5"/>
      <c r="F3" s="3"/>
      <c r="G3" s="3"/>
      <c r="H3" s="3"/>
      <c r="I3" s="3"/>
      <c r="J3" s="3"/>
      <c r="K3" s="3"/>
    </row>
    <row r="4" spans="1:11" ht="18" customHeight="1" x14ac:dyDescent="0.25">
      <c r="A4" s="206"/>
      <c r="B4" s="207"/>
      <c r="C4" s="31"/>
      <c r="D4" s="1"/>
      <c r="E4" s="5"/>
      <c r="F4" s="3"/>
      <c r="G4" s="3"/>
      <c r="H4" s="3"/>
      <c r="I4" s="3"/>
      <c r="J4" s="3"/>
      <c r="K4" s="3"/>
    </row>
    <row r="5" spans="1:11" ht="37.5" customHeight="1" x14ac:dyDescent="0.25">
      <c r="A5" s="198" t="s">
        <v>3</v>
      </c>
      <c r="B5" s="208"/>
      <c r="C5" s="6" t="s">
        <v>4</v>
      </c>
      <c r="D5" s="7" t="s">
        <v>5</v>
      </c>
      <c r="E5" s="6" t="s">
        <v>6</v>
      </c>
      <c r="F5" s="6" t="s">
        <v>7</v>
      </c>
      <c r="G5" s="6" t="s">
        <v>8</v>
      </c>
      <c r="H5" s="6" t="s">
        <v>9</v>
      </c>
      <c r="I5" s="6" t="s">
        <v>10</v>
      </c>
      <c r="J5" s="6" t="s">
        <v>11</v>
      </c>
      <c r="K5" s="7" t="s">
        <v>12</v>
      </c>
    </row>
    <row r="6" spans="1:11" ht="24" customHeight="1" x14ac:dyDescent="0.25">
      <c r="A6" s="200" t="s">
        <v>13</v>
      </c>
      <c r="B6" s="201"/>
      <c r="C6" s="108" t="s">
        <v>16</v>
      </c>
      <c r="D6" s="120">
        <f ca="1">SUM(E6:J6)</f>
        <v>35183</v>
      </c>
      <c r="E6" s="121">
        <f ca="1">Table1_Totals!E6*3.6</f>
        <v>3384</v>
      </c>
      <c r="F6" s="121">
        <f ca="1">Table1_Totals!F6*3.6</f>
        <v>0</v>
      </c>
      <c r="G6" s="121">
        <f ca="1">Table1_Totals!G6*3.6</f>
        <v>1888.9999999999998</v>
      </c>
      <c r="H6" s="121">
        <f ca="1">Table1_Totals!H6*3.6</f>
        <v>3027</v>
      </c>
      <c r="I6" s="121">
        <f ca="1">Table1_Totals!I6*3.6</f>
        <v>26790</v>
      </c>
      <c r="J6" s="121">
        <f ca="1">Table1_Totals!J6*3.6</f>
        <v>93</v>
      </c>
      <c r="K6" s="122"/>
    </row>
    <row r="7" spans="1:11" ht="24" customHeight="1" x14ac:dyDescent="0.25">
      <c r="A7" s="210" t="s">
        <v>15</v>
      </c>
      <c r="B7" s="211"/>
      <c r="C7" s="109" t="s">
        <v>16</v>
      </c>
      <c r="D7" s="123">
        <f t="shared" ref="D7:D18" ca="1" si="0">SUM(E7:J7)</f>
        <v>69599</v>
      </c>
      <c r="E7" s="124">
        <f ca="1">Table1_Totals!E7</f>
        <v>43807</v>
      </c>
      <c r="F7" s="125"/>
      <c r="G7" s="124">
        <f ca="1">Table1_Totals!G7</f>
        <v>25792</v>
      </c>
      <c r="H7" s="124">
        <f ca="1">Table1_Totals!H7</f>
        <v>0</v>
      </c>
      <c r="I7" s="125"/>
      <c r="J7" s="124">
        <f ca="1">Table1_Totals!J7</f>
        <v>0</v>
      </c>
      <c r="K7" s="125"/>
    </row>
    <row r="8" spans="1:11" ht="24" customHeight="1" x14ac:dyDescent="0.25">
      <c r="A8" s="210" t="s">
        <v>29</v>
      </c>
      <c r="B8" s="211"/>
      <c r="C8" s="109" t="s">
        <v>16</v>
      </c>
      <c r="D8" s="123">
        <f t="shared" ca="1" si="0"/>
        <v>25751</v>
      </c>
      <c r="E8" s="124">
        <f ca="1">Table1_Totals!E8*0.9</f>
        <v>18615</v>
      </c>
      <c r="F8" s="125"/>
      <c r="G8" s="124">
        <f ca="1">Table1_Totals!G8*0.9</f>
        <v>7040</v>
      </c>
      <c r="H8" s="124">
        <f ca="1">Table1_Totals!H8*0.9</f>
        <v>96</v>
      </c>
      <c r="I8" s="125"/>
      <c r="J8" s="124">
        <f ca="1">Table1_Totals!J8*0.9</f>
        <v>0</v>
      </c>
      <c r="K8" s="125"/>
    </row>
    <row r="9" spans="1:11" ht="24" customHeight="1" x14ac:dyDescent="0.25">
      <c r="A9" s="210" t="s">
        <v>156</v>
      </c>
      <c r="B9" s="211"/>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210" t="s">
        <v>42</v>
      </c>
      <c r="B10" s="211"/>
      <c r="C10" s="109" t="s">
        <v>16</v>
      </c>
      <c r="D10" s="123">
        <f t="shared" ca="1" si="0"/>
        <v>9311.6893393813716</v>
      </c>
      <c r="E10" s="124">
        <f ca="1">IF(Table1_Totals!E10&lt;&gt;0,IF(Table1_Totals!$K10&lt;&gt;0,Table1_Totals!E10*Table1_Totals!$K10/1000,"Please check CV"),"0,000")</f>
        <v>4878.8432473022749</v>
      </c>
      <c r="F10" s="125"/>
      <c r="G10" s="124">
        <f ca="1">IF(Table1_Totals!G10&lt;&gt;0,IF(Table1_Totals!$K10&lt;&gt;0,Table1_Totals!G10*Table1_Totals!$K10/1000,"Please check CV"),"0,000")</f>
        <v>3427.4137315470334</v>
      </c>
      <c r="H10" s="124" t="str">
        <f ca="1">IF(Table1_Totals!H10&lt;&gt;0,IF(Table1_Totals!$K10&lt;&gt;0,Table1_Totals!H10*Table1_Totals!$K10/1000,"Please check CV"),"0,000")</f>
        <v>0,000</v>
      </c>
      <c r="I10" s="125"/>
      <c r="J10" s="124">
        <f ca="1">IF(Table1_Totals!J10&lt;&gt;0,IF(Table1_Totals!$K10&lt;&gt;0,Table1_Totals!J10*Table1_Totals!$K10/1000,"Please check CV"),"0,000")</f>
        <v>1005.4323605320627</v>
      </c>
      <c r="K10" s="126">
        <f ca="1">Table1_Totals!K10</f>
        <v>43204.651162790695</v>
      </c>
    </row>
    <row r="11" spans="1:11" s="34" customFormat="1" ht="15" customHeight="1" x14ac:dyDescent="0.25">
      <c r="A11" s="209" t="s">
        <v>18</v>
      </c>
      <c r="B11" s="10" t="s">
        <v>21</v>
      </c>
      <c r="C11" s="11" t="s">
        <v>16</v>
      </c>
      <c r="D11" s="127">
        <f t="shared" ca="1" si="0"/>
        <v>881</v>
      </c>
      <c r="E11" s="128">
        <f ca="1">IF(Table1_Totals!E11&lt;&gt;0,IF(Table1_Totals!$K11&lt;&gt;0,Table1_Totals!E11*Table1_Totals!$K11/1000,"Please check CV"),"0,000")</f>
        <v>386.00000000000006</v>
      </c>
      <c r="F11" s="129"/>
      <c r="G11" s="128">
        <f ca="1">IF(Table1_Totals!G11&lt;&gt;0,IF(Table1_Totals!$K11&lt;&gt;0,Table1_Totals!G11*Table1_Totals!$K11/1000,"Please check CV"),"0,000")</f>
        <v>271</v>
      </c>
      <c r="H11" s="128" t="str">
        <f ca="1">IF(Table1_Totals!H11&lt;&gt;0,IF(Table1_Totals!$K11&lt;&gt;0,Table1_Totals!H11*Table1_Totals!$K11/1000,"Please check CV"),"0,000")</f>
        <v>0,000</v>
      </c>
      <c r="I11" s="129"/>
      <c r="J11" s="128">
        <f ca="1">IF(Table1_Totals!J11&lt;&gt;0,IF(Table1_Totals!$K11&lt;&gt;0,Table1_Totals!J11*Table1_Totals!$K11/1000,"Please check CV"),"0,000")</f>
        <v>224</v>
      </c>
      <c r="K11" s="130">
        <f ca="1">Table1_Totals!K11</f>
        <v>46000</v>
      </c>
    </row>
    <row r="12" spans="1:11" s="34" customFormat="1" ht="15" customHeight="1" x14ac:dyDescent="0.25">
      <c r="A12" s="209"/>
      <c r="B12" s="10" t="s">
        <v>22</v>
      </c>
      <c r="C12" s="11" t="s">
        <v>16</v>
      </c>
      <c r="D12" s="127">
        <f t="shared" ca="1" si="0"/>
        <v>100.01200721045618</v>
      </c>
      <c r="E12" s="128">
        <f ca="1">IF(Table1_Totals!E12&lt;&gt;0,IF(Table1_Totals!$K12&lt;&gt;0,Table1_Totals!E12*Table1_Totals!$K12/1000,"Please check CV"),"0,000")</f>
        <v>58.70704823253778</v>
      </c>
      <c r="F12" s="129"/>
      <c r="G12" s="128">
        <f ca="1">IF(Table1_Totals!G12&lt;&gt;0,IF(Table1_Totals!$K12&lt;&gt;0,Table1_Totals!G12*Table1_Totals!$K12/1000,"Please check CV"),"0,000")</f>
        <v>41.304958977918403</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37669.305917309299</v>
      </c>
    </row>
    <row r="13" spans="1:11" s="34" customFormat="1" ht="15" customHeight="1" x14ac:dyDescent="0.25">
      <c r="A13" s="209"/>
      <c r="B13" s="10" t="s">
        <v>23</v>
      </c>
      <c r="C13" s="11" t="s">
        <v>16</v>
      </c>
      <c r="D13" s="127">
        <f t="shared" ca="1" si="0"/>
        <v>7486</v>
      </c>
      <c r="E13" s="128">
        <f ca="1">IF(Table1_Totals!E13&lt;&gt;0,IF(Table1_Totals!$K13&lt;&gt;0,Table1_Totals!E13*Table1_Totals!$K13/1000,"Please check CV"),"0,000")</f>
        <v>4397</v>
      </c>
      <c r="F13" s="129"/>
      <c r="G13" s="128">
        <f ca="1">IF(Table1_Totals!G13&lt;&gt;0,IF(Table1_Totals!$K13&lt;&gt;0,Table1_Totals!G13*Table1_Totals!$K13/1000,"Please check CV"),"0,000")</f>
        <v>3089</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42700</v>
      </c>
    </row>
    <row r="14" spans="1:11" ht="24" customHeight="1" x14ac:dyDescent="0.25">
      <c r="A14" s="210" t="s">
        <v>43</v>
      </c>
      <c r="B14" s="211"/>
      <c r="C14" s="109" t="s">
        <v>16</v>
      </c>
      <c r="D14" s="123">
        <f t="shared" ca="1" si="0"/>
        <v>51788</v>
      </c>
      <c r="E14" s="124">
        <f ca="1">Table1_Totals!E14</f>
        <v>49123</v>
      </c>
      <c r="F14" s="125"/>
      <c r="G14" s="124">
        <f ca="1">Table1_Totals!G14</f>
        <v>2665</v>
      </c>
      <c r="H14" s="124">
        <f ca="1">Table1_Totals!H14</f>
        <v>0</v>
      </c>
      <c r="I14" s="125"/>
      <c r="J14" s="124">
        <f ca="1">Table1_Totals!J14</f>
        <v>0</v>
      </c>
      <c r="K14" s="125"/>
    </row>
    <row r="15" spans="1:11" s="34" customFormat="1" ht="15" customHeight="1" x14ac:dyDescent="0.25">
      <c r="A15" s="209" t="s">
        <v>18</v>
      </c>
      <c r="B15" s="10" t="s">
        <v>26</v>
      </c>
      <c r="C15" s="11" t="s">
        <v>16</v>
      </c>
      <c r="D15" s="127">
        <f t="shared" ca="1" si="0"/>
        <v>513</v>
      </c>
      <c r="E15" s="128">
        <f ca="1">Table1_Totals!E15</f>
        <v>486.60396261263782</v>
      </c>
      <c r="F15" s="129"/>
      <c r="G15" s="128">
        <f ca="1">Table1_Totals!G15</f>
        <v>26.396037387362178</v>
      </c>
      <c r="H15" s="128">
        <f ca="1">Table1_Totals!H15</f>
        <v>0</v>
      </c>
      <c r="I15" s="129"/>
      <c r="J15" s="128">
        <f ca="1">Table1_Totals!J15</f>
        <v>0</v>
      </c>
      <c r="K15" s="129"/>
    </row>
    <row r="16" spans="1:11" s="34" customFormat="1" ht="15" customHeight="1" x14ac:dyDescent="0.25">
      <c r="A16" s="209"/>
      <c r="B16" s="10" t="s">
        <v>27</v>
      </c>
      <c r="C16" s="11" t="s">
        <v>16</v>
      </c>
      <c r="D16" s="127">
        <f t="shared" ca="1" si="0"/>
        <v>44014.759426130113</v>
      </c>
      <c r="E16" s="128">
        <f ca="1">Table1_Totals!E16</f>
        <v>41750</v>
      </c>
      <c r="F16" s="129"/>
      <c r="G16" s="128">
        <f ca="1">Table1_Totals!G16</f>
        <v>2264.7594261301097</v>
      </c>
      <c r="H16" s="128">
        <f ca="1">Table1_Totals!H16</f>
        <v>0</v>
      </c>
      <c r="I16" s="129"/>
      <c r="J16" s="128">
        <f ca="1">Table1_Totals!J16</f>
        <v>0</v>
      </c>
      <c r="K16" s="129"/>
    </row>
    <row r="17" spans="1:11" s="34" customFormat="1" ht="15" customHeight="1" x14ac:dyDescent="0.25">
      <c r="A17" s="209"/>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209"/>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210" t="s">
        <v>171</v>
      </c>
      <c r="B19" s="211"/>
      <c r="C19" s="109" t="s">
        <v>16</v>
      </c>
      <c r="D19" s="123">
        <f t="shared" ref="D19" ca="1" si="2">SUM(E19:J19)</f>
        <v>191632.68933938135</v>
      </c>
      <c r="E19" s="124">
        <f ca="1">SUM(E6:E10,E14)</f>
        <v>119807.84324730227</v>
      </c>
      <c r="F19" s="124">
        <f t="shared" ref="F19:J19" ca="1" si="3">SUM(F6:F10,F14)</f>
        <v>0</v>
      </c>
      <c r="G19" s="124">
        <f t="shared" ca="1" si="3"/>
        <v>40813.413731547036</v>
      </c>
      <c r="H19" s="124">
        <f t="shared" ca="1" si="3"/>
        <v>3123</v>
      </c>
      <c r="I19" s="124">
        <f t="shared" ca="1" si="3"/>
        <v>26790</v>
      </c>
      <c r="J19" s="124">
        <f t="shared" ca="1" si="3"/>
        <v>1098.4323605320628</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tabSelected="1" zoomScale="90" zoomScaleNormal="90" workbookViewId="0">
      <pane xSplit="3" topLeftCell="D1" activePane="topRight" state="frozen"/>
      <selection activeCell="DS1" sqref="DS1:ED1048576"/>
      <selection pane="topRight" activeCell="D39" sqref="A1:XFD1048576"/>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30</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212"/>
      <c r="C6" s="8" t="s">
        <v>14</v>
      </c>
      <c r="D6" s="59"/>
      <c r="E6" s="60"/>
      <c r="F6" s="60"/>
      <c r="G6" s="60"/>
      <c r="H6" s="60"/>
      <c r="I6" s="60">
        <v>984.16666666666663</v>
      </c>
      <c r="J6" s="60">
        <v>1005.7536100650583</v>
      </c>
      <c r="K6" s="60">
        <f>3438/3.6</f>
        <v>955</v>
      </c>
      <c r="L6" s="60">
        <f>3384/3.6</f>
        <v>940</v>
      </c>
      <c r="M6" s="60"/>
      <c r="N6" s="60"/>
      <c r="O6" s="60"/>
      <c r="DS6" s="4" t="str">
        <f>VLOOKUP(Cover!$D$15, Country_list!$B$3:$C$44, 2, 0)</f>
        <v>DK</v>
      </c>
      <c r="DT6" s="33" t="s">
        <v>289</v>
      </c>
      <c r="DV6" s="33" t="s">
        <v>302</v>
      </c>
      <c r="EB6" s="33" t="s">
        <v>291</v>
      </c>
      <c r="ED6" s="33" t="s">
        <v>294</v>
      </c>
    </row>
    <row r="7" spans="1:134" ht="24" customHeight="1" x14ac:dyDescent="0.25">
      <c r="A7" s="189" t="s">
        <v>15</v>
      </c>
      <c r="B7" s="213"/>
      <c r="C7" s="9" t="s">
        <v>25</v>
      </c>
      <c r="D7" s="61"/>
      <c r="E7" s="58"/>
      <c r="F7" s="58"/>
      <c r="G7" s="58"/>
      <c r="H7" s="58"/>
      <c r="I7" s="58">
        <v>40916</v>
      </c>
      <c r="J7" s="58">
        <v>45272.324900516294</v>
      </c>
      <c r="K7" s="58">
        <f>44607</f>
        <v>44607</v>
      </c>
      <c r="L7" s="157">
        <v>43807</v>
      </c>
      <c r="M7" s="58"/>
      <c r="N7" s="58"/>
      <c r="O7" s="58"/>
      <c r="DT7" s="33" t="s">
        <v>290</v>
      </c>
      <c r="EB7" s="33" t="s">
        <v>291</v>
      </c>
      <c r="ED7" s="33" t="s">
        <v>295</v>
      </c>
    </row>
    <row r="8" spans="1:134" ht="24" customHeight="1" x14ac:dyDescent="0.25">
      <c r="A8" s="189" t="s">
        <v>29</v>
      </c>
      <c r="B8" s="213"/>
      <c r="C8" s="9" t="s">
        <v>17</v>
      </c>
      <c r="D8" s="61"/>
      <c r="E8" s="58"/>
      <c r="F8" s="58"/>
      <c r="G8" s="58"/>
      <c r="H8" s="58"/>
      <c r="I8" s="58">
        <v>20272.222222222223</v>
      </c>
      <c r="J8" s="58">
        <v>21260.37338327611</v>
      </c>
      <c r="K8" s="58">
        <f>17890/0.9</f>
        <v>19877.777777777777</v>
      </c>
      <c r="L8" s="58">
        <f>18615/0.9</f>
        <v>20683.333333333332</v>
      </c>
      <c r="M8" s="58"/>
      <c r="N8" s="58"/>
      <c r="O8" s="58"/>
      <c r="DT8" s="33" t="s">
        <v>231</v>
      </c>
      <c r="EB8" s="33" t="s">
        <v>291</v>
      </c>
      <c r="ED8" s="33" t="s">
        <v>296</v>
      </c>
    </row>
    <row r="9" spans="1:134" ht="24" customHeight="1" x14ac:dyDescent="0.25">
      <c r="A9" s="189" t="s">
        <v>156</v>
      </c>
      <c r="B9" s="213"/>
      <c r="C9" s="9" t="s">
        <v>19</v>
      </c>
      <c r="D9" s="61"/>
      <c r="E9" s="58"/>
      <c r="F9" s="58"/>
      <c r="G9" s="58"/>
      <c r="H9" s="58"/>
      <c r="I9" s="58">
        <v>0</v>
      </c>
      <c r="J9" s="58">
        <v>0</v>
      </c>
      <c r="K9" s="58"/>
      <c r="L9" s="58"/>
      <c r="M9" s="58"/>
      <c r="N9" s="58"/>
      <c r="O9" s="58"/>
      <c r="DT9" s="33" t="s">
        <v>279</v>
      </c>
      <c r="EB9" s="33" t="s">
        <v>292</v>
      </c>
      <c r="ED9" s="33" t="s">
        <v>293</v>
      </c>
    </row>
    <row r="10" spans="1:134" ht="24" customHeight="1" x14ac:dyDescent="0.25">
      <c r="A10" s="189" t="s">
        <v>20</v>
      </c>
      <c r="B10" s="213"/>
      <c r="C10" s="9" t="s">
        <v>19</v>
      </c>
      <c r="D10" s="61"/>
      <c r="E10" s="58"/>
      <c r="F10" s="58"/>
      <c r="G10" s="58"/>
      <c r="H10" s="58"/>
      <c r="I10" s="58">
        <v>127.78255469571032</v>
      </c>
      <c r="J10" s="58">
        <v>123.69828986338014</v>
      </c>
      <c r="K10" s="58">
        <f>4679/41.868</f>
        <v>111.75599503200534</v>
      </c>
      <c r="L10" s="58">
        <f>SUM(L11:L13)</f>
        <v>112.9240282237043</v>
      </c>
      <c r="M10" s="58"/>
      <c r="N10" s="58"/>
      <c r="O10" s="58"/>
      <c r="DT10" s="139" t="s">
        <v>280</v>
      </c>
      <c r="EB10" s="33" t="s">
        <v>292</v>
      </c>
      <c r="ED10" s="33" t="s">
        <v>293</v>
      </c>
    </row>
    <row r="11" spans="1:134" s="34" customFormat="1" ht="15" customHeight="1" x14ac:dyDescent="0.25">
      <c r="A11" s="188" t="s">
        <v>18</v>
      </c>
      <c r="B11" s="110" t="s">
        <v>21</v>
      </c>
      <c r="C11" s="111" t="s">
        <v>19</v>
      </c>
      <c r="D11" s="112"/>
      <c r="E11" s="113"/>
      <c r="F11" s="113"/>
      <c r="G11" s="113"/>
      <c r="H11" s="113"/>
      <c r="I11" s="113"/>
      <c r="J11" s="113"/>
      <c r="K11" s="113"/>
      <c r="L11" s="113">
        <f>386/46</f>
        <v>8.3913043478260878</v>
      </c>
      <c r="M11" s="113"/>
      <c r="N11" s="113"/>
      <c r="O11" s="113"/>
      <c r="DT11" s="34" t="s">
        <v>281</v>
      </c>
      <c r="EB11" s="34" t="s">
        <v>292</v>
      </c>
      <c r="ED11" s="34" t="s">
        <v>293</v>
      </c>
    </row>
    <row r="12" spans="1:134" s="34" customFormat="1" ht="15" customHeight="1" x14ac:dyDescent="0.25">
      <c r="A12" s="188"/>
      <c r="B12" s="110" t="s">
        <v>22</v>
      </c>
      <c r="C12" s="111" t="s">
        <v>19</v>
      </c>
      <c r="D12" s="112"/>
      <c r="E12" s="113"/>
      <c r="F12" s="113"/>
      <c r="G12" s="113"/>
      <c r="H12" s="113"/>
      <c r="I12" s="113"/>
      <c r="J12" s="113"/>
      <c r="K12" s="113"/>
      <c r="L12" s="113">
        <f>2.655*(1-0.413)</f>
        <v>1.5584849999999999</v>
      </c>
      <c r="M12" s="113"/>
      <c r="N12" s="113"/>
      <c r="O12" s="113"/>
      <c r="DT12" s="34" t="s">
        <v>282</v>
      </c>
      <c r="EB12" s="34" t="s">
        <v>292</v>
      </c>
      <c r="ED12" s="34" t="s">
        <v>293</v>
      </c>
    </row>
    <row r="13" spans="1:134" s="34" customFormat="1" ht="15" customHeight="1" x14ac:dyDescent="0.25">
      <c r="A13" s="188"/>
      <c r="B13" s="110" t="s">
        <v>23</v>
      </c>
      <c r="C13" s="111" t="s">
        <v>19</v>
      </c>
      <c r="D13" s="112"/>
      <c r="E13" s="113"/>
      <c r="F13" s="113"/>
      <c r="G13" s="113"/>
      <c r="H13" s="113"/>
      <c r="I13" s="113"/>
      <c r="J13" s="113"/>
      <c r="K13" s="113"/>
      <c r="L13" s="113">
        <f>4397/42.7</f>
        <v>102.97423887587821</v>
      </c>
      <c r="M13" s="113"/>
      <c r="N13" s="113"/>
      <c r="O13" s="113"/>
      <c r="DT13" s="34" t="s">
        <v>283</v>
      </c>
      <c r="EB13" s="34" t="s">
        <v>292</v>
      </c>
      <c r="ED13" s="34" t="s">
        <v>293</v>
      </c>
    </row>
    <row r="14" spans="1:134" ht="24" customHeight="1" x14ac:dyDescent="0.25">
      <c r="A14" s="189" t="s">
        <v>24</v>
      </c>
      <c r="B14" s="213"/>
      <c r="C14" s="9" t="s">
        <v>25</v>
      </c>
      <c r="D14" s="61"/>
      <c r="E14" s="58"/>
      <c r="F14" s="58"/>
      <c r="G14" s="58"/>
      <c r="H14" s="58"/>
      <c r="I14" s="58">
        <v>44192</v>
      </c>
      <c r="J14" s="58">
        <v>47399</v>
      </c>
      <c r="K14" s="58">
        <v>48396</v>
      </c>
      <c r="L14" s="158">
        <v>49123</v>
      </c>
      <c r="M14" s="58"/>
      <c r="N14" s="58"/>
      <c r="O14" s="58"/>
      <c r="DT14" s="139" t="s">
        <v>284</v>
      </c>
      <c r="EB14" s="33" t="s">
        <v>291</v>
      </c>
      <c r="ED14" s="33" t="s">
        <v>295</v>
      </c>
    </row>
    <row r="15" spans="1:134" s="34" customFormat="1" ht="15" customHeight="1" x14ac:dyDescent="0.25">
      <c r="A15" s="188" t="s">
        <v>18</v>
      </c>
      <c r="B15" s="110" t="s">
        <v>26</v>
      </c>
      <c r="C15" s="111" t="s">
        <v>25</v>
      </c>
      <c r="D15" s="112"/>
      <c r="E15" s="113"/>
      <c r="F15" s="113"/>
      <c r="G15" s="113"/>
      <c r="H15" s="113"/>
      <c r="I15" s="113"/>
      <c r="J15" s="113"/>
      <c r="K15" s="113"/>
      <c r="L15" s="159">
        <v>486.60396261263782</v>
      </c>
      <c r="M15" s="113"/>
      <c r="N15" s="113"/>
      <c r="O15" s="113"/>
      <c r="DT15" s="34" t="s">
        <v>285</v>
      </c>
      <c r="EB15" s="34" t="s">
        <v>291</v>
      </c>
      <c r="ED15" s="34" t="s">
        <v>295</v>
      </c>
    </row>
    <row r="16" spans="1:134" s="34" customFormat="1" ht="15" customHeight="1" x14ac:dyDescent="0.25">
      <c r="A16" s="188"/>
      <c r="B16" s="110" t="s">
        <v>27</v>
      </c>
      <c r="C16" s="111" t="s">
        <v>25</v>
      </c>
      <c r="D16" s="112"/>
      <c r="E16" s="113"/>
      <c r="F16" s="113"/>
      <c r="G16" s="113"/>
      <c r="H16" s="113"/>
      <c r="I16" s="113"/>
      <c r="J16" s="113"/>
      <c r="K16" s="113"/>
      <c r="L16" s="113">
        <v>41750</v>
      </c>
      <c r="M16" s="113"/>
      <c r="N16" s="113"/>
      <c r="O16" s="113"/>
      <c r="DT16" s="34" t="s">
        <v>286</v>
      </c>
      <c r="EB16" s="34" t="s">
        <v>291</v>
      </c>
      <c r="ED16" s="34" t="s">
        <v>295</v>
      </c>
    </row>
    <row r="17" spans="1:134" s="34" customFormat="1" ht="15" customHeight="1" x14ac:dyDescent="0.25">
      <c r="A17" s="188"/>
      <c r="B17" s="110" t="s">
        <v>28</v>
      </c>
      <c r="C17" s="111" t="s">
        <v>25</v>
      </c>
      <c r="D17" s="112"/>
      <c r="E17" s="112"/>
      <c r="F17" s="112"/>
      <c r="G17" s="112"/>
      <c r="H17" s="112"/>
      <c r="I17" s="112"/>
      <c r="J17" s="112"/>
      <c r="K17" s="112"/>
      <c r="L17" s="112">
        <f>1720-1720</f>
        <v>0</v>
      </c>
      <c r="M17" s="112"/>
      <c r="N17" s="112"/>
      <c r="O17" s="112"/>
      <c r="DT17" s="34" t="s">
        <v>287</v>
      </c>
      <c r="EB17" s="34" t="s">
        <v>291</v>
      </c>
      <c r="ED17" s="34" t="s">
        <v>295</v>
      </c>
    </row>
    <row r="18" spans="1:134" s="34" customFormat="1" ht="15" customHeight="1" x14ac:dyDescent="0.25">
      <c r="A18" s="188"/>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31</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186"/>
      <c r="C6" s="8" t="s">
        <v>14</v>
      </c>
      <c r="D6" s="59"/>
      <c r="E6" s="60"/>
      <c r="F6" s="60"/>
      <c r="G6" s="60"/>
      <c r="H6" s="60"/>
      <c r="I6" s="60"/>
      <c r="J6" s="60"/>
      <c r="K6" s="60"/>
      <c r="L6" s="60"/>
      <c r="M6" s="60"/>
      <c r="N6" s="60"/>
      <c r="O6" s="60"/>
      <c r="DS6" s="4" t="str">
        <f>VLOOKUP(Cover!$D$15, Country_list!$B$3:$C$44, 2, 0)</f>
        <v>DK</v>
      </c>
      <c r="DT6" s="33" t="s">
        <v>289</v>
      </c>
      <c r="DV6" s="33" t="s">
        <v>303</v>
      </c>
      <c r="EB6" s="33" t="s">
        <v>291</v>
      </c>
      <c r="ED6" s="33" t="s">
        <v>294</v>
      </c>
    </row>
    <row r="7" spans="1:134" s="119" customFormat="1" ht="24" customHeight="1" x14ac:dyDescent="0.25">
      <c r="A7" s="216" t="s">
        <v>15</v>
      </c>
      <c r="B7" s="217"/>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16" t="s">
        <v>29</v>
      </c>
      <c r="B8" s="217"/>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16" t="s">
        <v>156</v>
      </c>
      <c r="B9" s="217"/>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16" t="s">
        <v>20</v>
      </c>
      <c r="B10" s="217"/>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18"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18"/>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18"/>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16" t="s">
        <v>24</v>
      </c>
      <c r="B14" s="217"/>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18"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18"/>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18"/>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18"/>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8</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212"/>
      <c r="C6" s="8" t="s">
        <v>14</v>
      </c>
      <c r="D6" s="59"/>
      <c r="E6" s="60"/>
      <c r="F6" s="60"/>
      <c r="G6" s="60"/>
      <c r="H6" s="60"/>
      <c r="I6" s="60">
        <v>535.27777777777771</v>
      </c>
      <c r="J6" s="60">
        <v>534.24638993494159</v>
      </c>
      <c r="K6" s="60">
        <f>1905/3.6</f>
        <v>529.16666666666663</v>
      </c>
      <c r="L6" s="60">
        <f>1889/3.6</f>
        <v>524.72222222222217</v>
      </c>
      <c r="M6" s="60"/>
      <c r="N6" s="60"/>
      <c r="O6" s="60"/>
      <c r="DS6" s="4" t="str">
        <f>VLOOKUP(Cover!$D$15, Country_list!$B$3:$C$44, 2, 0)</f>
        <v>DK</v>
      </c>
      <c r="DT6" s="33" t="s">
        <v>289</v>
      </c>
      <c r="DV6" s="33" t="s">
        <v>304</v>
      </c>
      <c r="EB6" s="33" t="s">
        <v>291</v>
      </c>
      <c r="ED6" s="33" t="s">
        <v>294</v>
      </c>
    </row>
    <row r="7" spans="1:134" ht="24" customHeight="1" x14ac:dyDescent="0.25">
      <c r="A7" s="189" t="s">
        <v>15</v>
      </c>
      <c r="B7" s="213"/>
      <c r="C7" s="9" t="s">
        <v>25</v>
      </c>
      <c r="D7" s="61"/>
      <c r="E7" s="58"/>
      <c r="F7" s="58"/>
      <c r="G7" s="58"/>
      <c r="H7" s="58"/>
      <c r="I7" s="58">
        <v>24782</v>
      </c>
      <c r="J7" s="58">
        <v>25144.675099483709</v>
      </c>
      <c r="K7" s="58">
        <f>25449</f>
        <v>25449</v>
      </c>
      <c r="L7" s="160">
        <v>25792</v>
      </c>
      <c r="M7" s="58"/>
      <c r="N7" s="58"/>
      <c r="O7" s="58"/>
      <c r="DT7" s="33" t="s">
        <v>290</v>
      </c>
      <c r="EB7" s="33" t="s">
        <v>291</v>
      </c>
      <c r="ED7" s="33" t="s">
        <v>295</v>
      </c>
    </row>
    <row r="8" spans="1:134" ht="24" customHeight="1" x14ac:dyDescent="0.25">
      <c r="A8" s="189" t="s">
        <v>29</v>
      </c>
      <c r="B8" s="213"/>
      <c r="C8" s="9" t="s">
        <v>17</v>
      </c>
      <c r="D8" s="61"/>
      <c r="E8" s="58"/>
      <c r="F8" s="58"/>
      <c r="G8" s="58"/>
      <c r="H8" s="58"/>
      <c r="I8" s="58">
        <v>7156.6666666666661</v>
      </c>
      <c r="J8" s="58">
        <v>7168.5155056127778</v>
      </c>
      <c r="K8" s="58">
        <f>6465/0.9</f>
        <v>7183.333333333333</v>
      </c>
      <c r="L8" s="58">
        <f>7040/0.9</f>
        <v>7822.2222222222217</v>
      </c>
      <c r="M8" s="58"/>
      <c r="N8" s="58"/>
      <c r="O8" s="58"/>
      <c r="DT8" s="33" t="s">
        <v>231</v>
      </c>
      <c r="EB8" s="33" t="s">
        <v>291</v>
      </c>
      <c r="ED8" s="33" t="s">
        <v>296</v>
      </c>
    </row>
    <row r="9" spans="1:134" ht="24" customHeight="1" x14ac:dyDescent="0.25">
      <c r="A9" s="189" t="s">
        <v>156</v>
      </c>
      <c r="B9" s="213"/>
      <c r="C9" s="9" t="s">
        <v>19</v>
      </c>
      <c r="D9" s="61"/>
      <c r="E9" s="58"/>
      <c r="F9" s="58"/>
      <c r="G9" s="58"/>
      <c r="H9" s="58"/>
      <c r="I9" s="58">
        <v>0</v>
      </c>
      <c r="J9" s="58">
        <v>0</v>
      </c>
      <c r="K9" s="58">
        <v>0</v>
      </c>
      <c r="L9" s="58"/>
      <c r="M9" s="58"/>
      <c r="N9" s="58"/>
      <c r="O9" s="58"/>
      <c r="DT9" s="33" t="s">
        <v>279</v>
      </c>
      <c r="EB9" s="33" t="s">
        <v>292</v>
      </c>
      <c r="ED9" s="33" t="s">
        <v>293</v>
      </c>
    </row>
    <row r="10" spans="1:134" ht="24" customHeight="1" x14ac:dyDescent="0.25">
      <c r="A10" s="189" t="s">
        <v>20</v>
      </c>
      <c r="B10" s="213"/>
      <c r="C10" s="9" t="s">
        <v>19</v>
      </c>
      <c r="D10" s="61"/>
      <c r="E10" s="58"/>
      <c r="F10" s="58"/>
      <c r="G10" s="58"/>
      <c r="H10" s="58"/>
      <c r="I10" s="58">
        <v>102.41712047387026</v>
      </c>
      <c r="J10" s="58">
        <v>97.902933027610587</v>
      </c>
      <c r="K10" s="58">
        <f>3928/41.868</f>
        <v>93.818668195280395</v>
      </c>
      <c r="L10" s="58">
        <f>SUM(L11:L13)</f>
        <v>79.329739722533347</v>
      </c>
      <c r="M10" s="58"/>
      <c r="N10" s="58"/>
      <c r="O10" s="58"/>
      <c r="DT10" s="139" t="s">
        <v>280</v>
      </c>
      <c r="EB10" s="33" t="s">
        <v>292</v>
      </c>
      <c r="ED10" s="33" t="s">
        <v>293</v>
      </c>
    </row>
    <row r="11" spans="1:134" s="34" customFormat="1" ht="15" customHeight="1" x14ac:dyDescent="0.25">
      <c r="A11" s="188" t="s">
        <v>18</v>
      </c>
      <c r="B11" s="110" t="s">
        <v>21</v>
      </c>
      <c r="C11" s="111" t="s">
        <v>19</v>
      </c>
      <c r="D11" s="112"/>
      <c r="E11" s="113"/>
      <c r="F11" s="113"/>
      <c r="G11" s="113"/>
      <c r="H11" s="113"/>
      <c r="I11" s="113"/>
      <c r="J11" s="113"/>
      <c r="K11" s="113"/>
      <c r="L11" s="58">
        <f>271/46</f>
        <v>5.8913043478260869</v>
      </c>
      <c r="M11" s="113"/>
      <c r="N11" s="113"/>
      <c r="O11" s="113"/>
      <c r="DT11" s="34" t="s">
        <v>281</v>
      </c>
      <c r="EB11" s="34" t="s">
        <v>292</v>
      </c>
      <c r="ED11" s="34" t="s">
        <v>293</v>
      </c>
    </row>
    <row r="12" spans="1:134" s="34" customFormat="1" ht="15" customHeight="1" x14ac:dyDescent="0.25">
      <c r="A12" s="188"/>
      <c r="B12" s="110" t="s">
        <v>22</v>
      </c>
      <c r="C12" s="111" t="s">
        <v>19</v>
      </c>
      <c r="D12" s="112"/>
      <c r="E12" s="113"/>
      <c r="F12" s="113"/>
      <c r="G12" s="113"/>
      <c r="H12" s="113"/>
      <c r="I12" s="113"/>
      <c r="J12" s="113"/>
      <c r="K12" s="113"/>
      <c r="L12" s="113">
        <f>2.655*0.413</f>
        <v>1.0965149999999999</v>
      </c>
      <c r="M12" s="113"/>
      <c r="N12" s="113"/>
      <c r="O12" s="113"/>
      <c r="DT12" s="34" t="s">
        <v>282</v>
      </c>
      <c r="EB12" s="34" t="s">
        <v>292</v>
      </c>
      <c r="ED12" s="34" t="s">
        <v>293</v>
      </c>
    </row>
    <row r="13" spans="1:134" s="34" customFormat="1" ht="15" customHeight="1" x14ac:dyDescent="0.25">
      <c r="A13" s="188"/>
      <c r="B13" s="110" t="s">
        <v>23</v>
      </c>
      <c r="C13" s="111" t="s">
        <v>19</v>
      </c>
      <c r="D13" s="112"/>
      <c r="E13" s="113"/>
      <c r="F13" s="113"/>
      <c r="G13" s="113"/>
      <c r="H13" s="113"/>
      <c r="I13" s="113"/>
      <c r="J13" s="113"/>
      <c r="K13" s="113"/>
      <c r="L13" s="58">
        <f>3089/42.7</f>
        <v>72.341920374707257</v>
      </c>
      <c r="M13" s="113"/>
      <c r="N13" s="113"/>
      <c r="O13" s="113"/>
      <c r="DT13" s="34" t="s">
        <v>283</v>
      </c>
      <c r="EB13" s="34" t="s">
        <v>292</v>
      </c>
      <c r="ED13" s="34" t="s">
        <v>293</v>
      </c>
    </row>
    <row r="14" spans="1:134" ht="24" customHeight="1" x14ac:dyDescent="0.25">
      <c r="A14" s="189" t="s">
        <v>24</v>
      </c>
      <c r="B14" s="213"/>
      <c r="C14" s="9" t="s">
        <v>25</v>
      </c>
      <c r="D14" s="61"/>
      <c r="E14" s="58"/>
      <c r="F14" s="58"/>
      <c r="G14" s="58"/>
      <c r="H14" s="58"/>
      <c r="I14" s="58">
        <v>2318</v>
      </c>
      <c r="J14" s="58">
        <v>2457</v>
      </c>
      <c r="K14" s="58">
        <v>2599</v>
      </c>
      <c r="L14" s="58">
        <v>2665</v>
      </c>
      <c r="M14" s="58"/>
      <c r="N14" s="58"/>
      <c r="O14" s="58"/>
      <c r="DT14" s="139" t="s">
        <v>284</v>
      </c>
      <c r="EB14" s="33" t="s">
        <v>291</v>
      </c>
      <c r="ED14" s="33" t="s">
        <v>295</v>
      </c>
    </row>
    <row r="15" spans="1:134" s="34" customFormat="1" ht="15" customHeight="1" x14ac:dyDescent="0.25">
      <c r="A15" s="188" t="s">
        <v>18</v>
      </c>
      <c r="B15" s="110" t="s">
        <v>26</v>
      </c>
      <c r="C15" s="111" t="s">
        <v>25</v>
      </c>
      <c r="D15" s="112"/>
      <c r="E15" s="113"/>
      <c r="F15" s="113"/>
      <c r="G15" s="113"/>
      <c r="H15" s="113"/>
      <c r="I15" s="113"/>
      <c r="J15" s="113"/>
      <c r="K15" s="113"/>
      <c r="L15" s="161">
        <v>26.396037387362178</v>
      </c>
      <c r="M15" s="113"/>
      <c r="N15" s="113"/>
      <c r="O15" s="113"/>
      <c r="DT15" s="34" t="s">
        <v>285</v>
      </c>
      <c r="EB15" s="34" t="s">
        <v>291</v>
      </c>
      <c r="ED15" s="34" t="s">
        <v>295</v>
      </c>
    </row>
    <row r="16" spans="1:134" s="34" customFormat="1" ht="15" customHeight="1" x14ac:dyDescent="0.25">
      <c r="A16" s="188"/>
      <c r="B16" s="110" t="s">
        <v>27</v>
      </c>
      <c r="C16" s="111" t="s">
        <v>25</v>
      </c>
      <c r="D16" s="112"/>
      <c r="E16" s="113"/>
      <c r="F16" s="113"/>
      <c r="G16" s="113"/>
      <c r="H16" s="113"/>
      <c r="I16" s="113"/>
      <c r="J16" s="113"/>
      <c r="K16" s="113"/>
      <c r="L16" s="162">
        <v>2264.7594261301097</v>
      </c>
      <c r="M16" s="113"/>
      <c r="N16" s="113"/>
      <c r="O16" s="113"/>
      <c r="DT16" s="34" t="s">
        <v>286</v>
      </c>
      <c r="EB16" s="34" t="s">
        <v>291</v>
      </c>
      <c r="ED16" s="34" t="s">
        <v>295</v>
      </c>
    </row>
    <row r="17" spans="1:134" s="34" customFormat="1" ht="15" customHeight="1" x14ac:dyDescent="0.25">
      <c r="A17" s="188"/>
      <c r="B17" s="110" t="s">
        <v>28</v>
      </c>
      <c r="C17" s="111" t="s">
        <v>25</v>
      </c>
      <c r="D17" s="112"/>
      <c r="E17" s="112"/>
      <c r="F17" s="112"/>
      <c r="G17" s="112"/>
      <c r="H17" s="112"/>
      <c r="I17" s="112"/>
      <c r="J17" s="112"/>
      <c r="K17" s="112"/>
      <c r="L17" s="163">
        <f>93.2865804742449-93.2865804742449</f>
        <v>0</v>
      </c>
      <c r="M17" s="112"/>
      <c r="N17" s="112"/>
      <c r="O17" s="112"/>
      <c r="DT17" s="34" t="s">
        <v>287</v>
      </c>
      <c r="EB17" s="34" t="s">
        <v>291</v>
      </c>
      <c r="ED17" s="34" t="s">
        <v>295</v>
      </c>
    </row>
    <row r="18" spans="1:134" s="34" customFormat="1" ht="15" customHeight="1" x14ac:dyDescent="0.25">
      <c r="A18" s="188"/>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8" sqref="L8"/>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9</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212"/>
      <c r="C6" s="8" t="s">
        <v>14</v>
      </c>
      <c r="D6" s="59"/>
      <c r="E6" s="60"/>
      <c r="F6" s="60"/>
      <c r="G6" s="60"/>
      <c r="H6" s="60"/>
      <c r="I6" s="60">
        <v>831.11111111111109</v>
      </c>
      <c r="J6" s="60">
        <v>831.11111111111109</v>
      </c>
      <c r="K6" s="60">
        <f>3009/3.6</f>
        <v>835.83333333333326</v>
      </c>
      <c r="L6" s="164">
        <f>3027/3.6</f>
        <v>840.83333333333326</v>
      </c>
      <c r="M6" s="60"/>
      <c r="N6" s="60"/>
      <c r="O6" s="60"/>
      <c r="DS6" s="4" t="str">
        <f>VLOOKUP(Cover!$D$15, Country_list!$B$3:$C$44, 2, 0)</f>
        <v>DK</v>
      </c>
      <c r="DT6" s="33" t="s">
        <v>289</v>
      </c>
      <c r="DV6" s="33" t="s">
        <v>305</v>
      </c>
      <c r="EB6" s="33" t="s">
        <v>291</v>
      </c>
      <c r="ED6" s="33" t="s">
        <v>294</v>
      </c>
    </row>
    <row r="7" spans="1:134" ht="24" customHeight="1" x14ac:dyDescent="0.25">
      <c r="A7" s="189" t="s">
        <v>15</v>
      </c>
      <c r="B7" s="213"/>
      <c r="C7" s="9" t="s">
        <v>25</v>
      </c>
      <c r="D7" s="61"/>
      <c r="E7" s="58"/>
      <c r="F7" s="58"/>
      <c r="G7" s="58"/>
      <c r="H7" s="58"/>
      <c r="I7" s="58"/>
      <c r="J7" s="58"/>
      <c r="K7" s="58"/>
      <c r="L7" s="58"/>
      <c r="M7" s="58"/>
      <c r="N7" s="58"/>
      <c r="O7" s="58"/>
      <c r="DT7" s="33" t="s">
        <v>290</v>
      </c>
      <c r="EB7" s="33" t="s">
        <v>291</v>
      </c>
      <c r="ED7" s="33" t="s">
        <v>295</v>
      </c>
    </row>
    <row r="8" spans="1:134" ht="24" customHeight="1" x14ac:dyDescent="0.25">
      <c r="A8" s="189" t="s">
        <v>29</v>
      </c>
      <c r="B8" s="213"/>
      <c r="C8" s="9" t="s">
        <v>17</v>
      </c>
      <c r="D8" s="61"/>
      <c r="E8" s="58"/>
      <c r="F8" s="58"/>
      <c r="G8" s="58"/>
      <c r="H8" s="58"/>
      <c r="I8" s="58">
        <v>542.22222222222217</v>
      </c>
      <c r="J8" s="58">
        <v>456.66666666666663</v>
      </c>
      <c r="K8" s="58">
        <f>458/0.9</f>
        <v>508.88888888888886</v>
      </c>
      <c r="L8" s="165">
        <f>96/0.9</f>
        <v>106.66666666666666</v>
      </c>
      <c r="M8" s="58"/>
      <c r="N8" s="58"/>
      <c r="O8" s="58"/>
      <c r="DT8" s="33" t="s">
        <v>231</v>
      </c>
      <c r="EB8" s="33" t="s">
        <v>291</v>
      </c>
      <c r="ED8" s="33" t="s">
        <v>296</v>
      </c>
    </row>
    <row r="9" spans="1:134" ht="24" customHeight="1" x14ac:dyDescent="0.25">
      <c r="A9" s="189" t="s">
        <v>156</v>
      </c>
      <c r="B9" s="213"/>
      <c r="C9" s="9" t="s">
        <v>19</v>
      </c>
      <c r="D9" s="61"/>
      <c r="E9" s="58"/>
      <c r="F9" s="58"/>
      <c r="G9" s="58"/>
      <c r="H9" s="58"/>
      <c r="I9" s="58"/>
      <c r="J9" s="58"/>
      <c r="K9" s="58"/>
      <c r="L9" s="58"/>
      <c r="M9" s="58"/>
      <c r="N9" s="58"/>
      <c r="O9" s="58"/>
      <c r="DT9" s="33" t="s">
        <v>279</v>
      </c>
      <c r="EB9" s="33" t="s">
        <v>292</v>
      </c>
      <c r="ED9" s="33" t="s">
        <v>293</v>
      </c>
    </row>
    <row r="10" spans="1:134" ht="24" customHeight="1" x14ac:dyDescent="0.25">
      <c r="A10" s="189" t="s">
        <v>20</v>
      </c>
      <c r="B10" s="213"/>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8"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8"/>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8"/>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9" t="s">
        <v>24</v>
      </c>
      <c r="B14" s="213"/>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19"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20"/>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20"/>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21"/>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7" sqref="L7"/>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10</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22" t="s">
        <v>13</v>
      </c>
      <c r="B6" s="223"/>
      <c r="C6" s="32" t="s">
        <v>14</v>
      </c>
      <c r="D6" s="62"/>
      <c r="E6" s="63"/>
      <c r="F6" s="63"/>
      <c r="G6" s="63"/>
      <c r="H6" s="63"/>
      <c r="I6" s="63">
        <v>7800.5555555555557</v>
      </c>
      <c r="J6" s="63">
        <v>7899.4444444444443</v>
      </c>
      <c r="K6" s="63">
        <f>27065/3.6</f>
        <v>7518.0555555555557</v>
      </c>
      <c r="L6" s="166">
        <f>26790/3.6</f>
        <v>7441.6666666666661</v>
      </c>
      <c r="M6" s="63"/>
      <c r="N6" s="63"/>
      <c r="O6" s="63"/>
      <c r="DS6" s="4" t="str">
        <f>VLOOKUP(Cover!$D$15, Country_list!$B$3:$C$44, 2, 0)</f>
        <v>DK</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H22" sqref="H22"/>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91" t="s">
        <v>0</v>
      </c>
      <c r="B1" s="214"/>
      <c r="C1" s="31"/>
      <c r="D1" s="1"/>
      <c r="E1" s="2"/>
      <c r="F1" s="2"/>
      <c r="G1" s="2"/>
      <c r="H1" s="2"/>
      <c r="I1" s="2"/>
      <c r="J1" s="2"/>
      <c r="K1" s="2"/>
      <c r="L1" s="2"/>
      <c r="M1" s="2"/>
      <c r="N1" s="2"/>
      <c r="O1" s="2"/>
    </row>
    <row r="2" spans="1:134" ht="18" customHeight="1" x14ac:dyDescent="0.25">
      <c r="A2" s="193"/>
      <c r="B2" s="207"/>
      <c r="C2" s="1"/>
      <c r="D2" s="1"/>
      <c r="E2" s="5"/>
      <c r="F2" s="3"/>
      <c r="G2" s="3"/>
      <c r="H2" s="3"/>
      <c r="I2" s="3"/>
      <c r="J2" s="3"/>
      <c r="K2" s="3"/>
      <c r="L2" s="3"/>
      <c r="M2" s="3"/>
      <c r="N2" s="3"/>
      <c r="O2" s="3"/>
    </row>
    <row r="3" spans="1:134" ht="18" customHeight="1" x14ac:dyDescent="0.25">
      <c r="A3" s="195" t="s">
        <v>11</v>
      </c>
      <c r="B3" s="215"/>
      <c r="C3" s="1"/>
      <c r="D3" s="1"/>
      <c r="E3" s="5"/>
      <c r="F3" s="3"/>
      <c r="G3" s="3"/>
      <c r="H3" s="3"/>
      <c r="I3" s="3"/>
      <c r="J3" s="3"/>
      <c r="K3" s="3"/>
      <c r="L3" s="3"/>
      <c r="M3" s="3"/>
      <c r="N3" s="3"/>
      <c r="O3" s="3"/>
      <c r="DS3" s="33" t="s">
        <v>229</v>
      </c>
    </row>
    <row r="4" spans="1:134" ht="18" customHeight="1" x14ac:dyDescent="0.25">
      <c r="A4" s="206"/>
      <c r="B4" s="207"/>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98" t="s">
        <v>3</v>
      </c>
      <c r="B5" s="20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6" t="s">
        <v>13</v>
      </c>
      <c r="B6" s="224"/>
      <c r="C6" s="8" t="s">
        <v>14</v>
      </c>
      <c r="D6" s="59"/>
      <c r="E6" s="60"/>
      <c r="F6" s="60"/>
      <c r="G6" s="60"/>
      <c r="H6" s="60"/>
      <c r="I6" s="60">
        <v>25.555555555555554</v>
      </c>
      <c r="J6" s="60">
        <v>25.555555555555554</v>
      </c>
      <c r="K6" s="60">
        <f>93/3.6</f>
        <v>25.833333333333332</v>
      </c>
      <c r="L6" s="167">
        <f>93/3.6</f>
        <v>25.833333333333332</v>
      </c>
      <c r="M6" s="60"/>
      <c r="N6" s="60"/>
      <c r="O6" s="60"/>
      <c r="DS6" s="4" t="str">
        <f>VLOOKUP(Cover!$D$15, Country_list!$B$3:$C$44, 2, 0)</f>
        <v>DK</v>
      </c>
      <c r="DT6" s="33" t="s">
        <v>289</v>
      </c>
      <c r="DV6" s="33" t="s">
        <v>307</v>
      </c>
      <c r="EB6" s="33" t="s">
        <v>291</v>
      </c>
      <c r="ED6" s="33" t="s">
        <v>294</v>
      </c>
    </row>
    <row r="7" spans="1:134" ht="24" customHeight="1" x14ac:dyDescent="0.25">
      <c r="A7" s="189" t="s">
        <v>15</v>
      </c>
      <c r="B7" s="225"/>
      <c r="C7" s="9" t="s">
        <v>25</v>
      </c>
      <c r="D7" s="61"/>
      <c r="E7" s="58"/>
      <c r="F7" s="58"/>
      <c r="G7" s="58"/>
      <c r="H7" s="58"/>
      <c r="I7" s="58"/>
      <c r="J7" s="58"/>
      <c r="K7" s="58"/>
      <c r="L7" s="58"/>
      <c r="M7" s="58"/>
      <c r="N7" s="58"/>
      <c r="O7" s="58"/>
      <c r="DT7" s="33" t="s">
        <v>290</v>
      </c>
      <c r="EB7" s="33" t="s">
        <v>291</v>
      </c>
      <c r="ED7" s="33" t="s">
        <v>295</v>
      </c>
    </row>
    <row r="8" spans="1:134" ht="24" customHeight="1" x14ac:dyDescent="0.25">
      <c r="A8" s="189" t="s">
        <v>29</v>
      </c>
      <c r="B8" s="225"/>
      <c r="C8" s="9" t="s">
        <v>17</v>
      </c>
      <c r="D8" s="61"/>
      <c r="E8" s="58"/>
      <c r="F8" s="58"/>
      <c r="G8" s="58"/>
      <c r="H8" s="58"/>
      <c r="I8" s="58"/>
      <c r="J8" s="58"/>
      <c r="K8" s="58"/>
      <c r="L8" s="58"/>
      <c r="M8" s="58"/>
      <c r="N8" s="58"/>
      <c r="O8" s="58"/>
      <c r="DT8" s="33" t="s">
        <v>231</v>
      </c>
      <c r="EB8" s="33" t="s">
        <v>291</v>
      </c>
      <c r="ED8" s="33" t="s">
        <v>296</v>
      </c>
    </row>
    <row r="9" spans="1:134" ht="24" customHeight="1" x14ac:dyDescent="0.25">
      <c r="A9" s="189" t="s">
        <v>156</v>
      </c>
      <c r="B9" s="213"/>
      <c r="C9" s="9" t="s">
        <v>19</v>
      </c>
      <c r="D9" s="61"/>
      <c r="E9" s="58"/>
      <c r="F9" s="58"/>
      <c r="G9" s="58"/>
      <c r="H9" s="58"/>
      <c r="I9" s="58"/>
      <c r="J9" s="58"/>
      <c r="K9" s="58"/>
      <c r="L9" s="58"/>
      <c r="M9" s="58"/>
      <c r="N9" s="58"/>
      <c r="O9" s="58"/>
      <c r="DT9" s="33" t="s">
        <v>279</v>
      </c>
      <c r="EB9" s="33" t="s">
        <v>292</v>
      </c>
      <c r="ED9" s="33" t="s">
        <v>293</v>
      </c>
    </row>
    <row r="10" spans="1:134" ht="24" customHeight="1" x14ac:dyDescent="0.25">
      <c r="A10" s="189" t="s">
        <v>20</v>
      </c>
      <c r="B10" s="213"/>
      <c r="C10" s="9" t="s">
        <v>19</v>
      </c>
      <c r="D10" s="61"/>
      <c r="E10" s="58"/>
      <c r="F10" s="58"/>
      <c r="G10" s="58"/>
      <c r="H10" s="58"/>
      <c r="I10" s="58">
        <v>7.9057991783701151</v>
      </c>
      <c r="J10" s="58">
        <v>7.9296837680328647</v>
      </c>
      <c r="K10" s="58">
        <f>334/41.868</f>
        <v>7.9774529473583637</v>
      </c>
      <c r="L10" s="171">
        <f>L11+L12+806/43.8</f>
        <v>23.27139170140957</v>
      </c>
      <c r="M10" s="58"/>
      <c r="N10" s="58"/>
      <c r="O10" s="58"/>
      <c r="DT10" s="139" t="s">
        <v>280</v>
      </c>
      <c r="EB10" s="33" t="s">
        <v>292</v>
      </c>
      <c r="ED10" s="33" t="s">
        <v>293</v>
      </c>
    </row>
    <row r="11" spans="1:134" s="34" customFormat="1" ht="15" customHeight="1" x14ac:dyDescent="0.25">
      <c r="A11" s="188" t="s">
        <v>18</v>
      </c>
      <c r="B11" s="110" t="s">
        <v>21</v>
      </c>
      <c r="C11" s="111" t="s">
        <v>19</v>
      </c>
      <c r="D11" s="112"/>
      <c r="E11" s="113"/>
      <c r="F11" s="113"/>
      <c r="G11" s="113"/>
      <c r="H11" s="113"/>
      <c r="I11" s="113"/>
      <c r="J11" s="113"/>
      <c r="K11" s="113"/>
      <c r="L11" s="168">
        <f>224/46</f>
        <v>4.8695652173913047</v>
      </c>
      <c r="M11" s="113"/>
      <c r="N11" s="113"/>
      <c r="O11" s="113"/>
      <c r="DT11" s="34" t="s">
        <v>281</v>
      </c>
      <c r="EB11" s="34" t="s">
        <v>292</v>
      </c>
      <c r="ED11" s="34" t="s">
        <v>293</v>
      </c>
    </row>
    <row r="12" spans="1:134" s="34" customFormat="1" ht="15" customHeight="1" x14ac:dyDescent="0.25">
      <c r="A12" s="188"/>
      <c r="B12" s="110" t="s">
        <v>22</v>
      </c>
      <c r="C12" s="111" t="s">
        <v>19</v>
      </c>
      <c r="D12" s="112"/>
      <c r="E12" s="113"/>
      <c r="F12" s="113"/>
      <c r="G12" s="113"/>
      <c r="H12" s="113"/>
      <c r="I12" s="113"/>
      <c r="J12" s="113"/>
      <c r="K12" s="113"/>
      <c r="L12" s="170"/>
      <c r="M12" s="113"/>
      <c r="N12" s="113"/>
      <c r="O12" s="113"/>
      <c r="DT12" s="34" t="s">
        <v>282</v>
      </c>
      <c r="EB12" s="34" t="s">
        <v>292</v>
      </c>
      <c r="ED12" s="34" t="s">
        <v>293</v>
      </c>
    </row>
    <row r="13" spans="1:134" s="34" customFormat="1" ht="15" customHeight="1" x14ac:dyDescent="0.25">
      <c r="A13" s="188"/>
      <c r="B13" s="110" t="s">
        <v>23</v>
      </c>
      <c r="C13" s="111" t="s">
        <v>19</v>
      </c>
      <c r="D13" s="112"/>
      <c r="E13" s="113"/>
      <c r="F13" s="113"/>
      <c r="G13" s="113"/>
      <c r="H13" s="113"/>
      <c r="I13" s="113"/>
      <c r="J13" s="113"/>
      <c r="K13" s="113"/>
      <c r="L13" s="169"/>
      <c r="M13" s="113"/>
      <c r="N13" s="113"/>
      <c r="O13" s="113"/>
      <c r="DT13" s="34" t="s">
        <v>283</v>
      </c>
      <c r="EB13" s="34" t="s">
        <v>292</v>
      </c>
      <c r="ED13" s="34" t="s">
        <v>293</v>
      </c>
    </row>
    <row r="14" spans="1:134" ht="24" customHeight="1" x14ac:dyDescent="0.25">
      <c r="A14" s="189" t="s">
        <v>24</v>
      </c>
      <c r="B14" s="213"/>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19"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20"/>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20"/>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21"/>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26" t="s">
        <v>44</v>
      </c>
      <c r="C3" s="227"/>
      <c r="D3" s="228"/>
    </row>
    <row r="4" spans="2:4" ht="15.75" thickBot="1" x14ac:dyDescent="0.3"/>
    <row r="5" spans="2:4" ht="15" customHeight="1" x14ac:dyDescent="0.25">
      <c r="B5" s="39"/>
      <c r="C5" s="229"/>
      <c r="D5" s="95"/>
    </row>
    <row r="6" spans="2:4" x14ac:dyDescent="0.25">
      <c r="B6" s="40"/>
      <c r="C6" s="230"/>
      <c r="D6" s="41"/>
    </row>
    <row r="7" spans="2:4" x14ac:dyDescent="0.25">
      <c r="B7" s="40"/>
      <c r="C7" s="230"/>
      <c r="D7" s="41"/>
    </row>
    <row r="8" spans="2:4" x14ac:dyDescent="0.25">
      <c r="B8" s="40"/>
      <c r="C8" s="230"/>
      <c r="D8" s="41"/>
    </row>
    <row r="9" spans="2:4" x14ac:dyDescent="0.25">
      <c r="B9" s="40"/>
      <c r="C9" s="230"/>
      <c r="D9" s="41"/>
    </row>
    <row r="10" spans="2:4" x14ac:dyDescent="0.25">
      <c r="B10" s="40"/>
      <c r="C10" s="230"/>
      <c r="D10" s="41"/>
    </row>
    <row r="11" spans="2:4" x14ac:dyDescent="0.25">
      <c r="B11" s="40"/>
      <c r="C11" s="230"/>
      <c r="D11" s="41"/>
    </row>
    <row r="12" spans="2:4" x14ac:dyDescent="0.25">
      <c r="B12" s="40"/>
      <c r="C12" s="230"/>
      <c r="D12" s="41"/>
    </row>
    <row r="13" spans="2:4" x14ac:dyDescent="0.25">
      <c r="B13" s="40"/>
      <c r="C13" s="230"/>
      <c r="D13" s="41"/>
    </row>
    <row r="14" spans="2:4" x14ac:dyDescent="0.25">
      <c r="B14" s="40"/>
      <c r="C14" s="230"/>
      <c r="D14" s="41"/>
    </row>
    <row r="15" spans="2:4" x14ac:dyDescent="0.25">
      <c r="B15" s="40"/>
      <c r="C15" s="230"/>
      <c r="D15" s="41"/>
    </row>
    <row r="16" spans="2:4" x14ac:dyDescent="0.25">
      <c r="B16" s="40"/>
      <c r="C16" s="230"/>
      <c r="D16" s="41"/>
    </row>
    <row r="17" spans="2:4" x14ac:dyDescent="0.25">
      <c r="B17" s="40"/>
      <c r="C17" s="230"/>
      <c r="D17" s="41"/>
    </row>
    <row r="18" spans="2:4" x14ac:dyDescent="0.25">
      <c r="B18" s="40"/>
      <c r="C18" s="230"/>
      <c r="D18" s="41"/>
    </row>
    <row r="19" spans="2:4" x14ac:dyDescent="0.25">
      <c r="B19" s="40"/>
      <c r="C19" s="230"/>
      <c r="D19" s="41"/>
    </row>
    <row r="20" spans="2:4" x14ac:dyDescent="0.25">
      <c r="B20" s="40"/>
      <c r="C20" s="230"/>
      <c r="D20" s="41"/>
    </row>
    <row r="21" spans="2:4" x14ac:dyDescent="0.25">
      <c r="B21" s="40"/>
      <c r="C21" s="230"/>
      <c r="D21" s="41"/>
    </row>
    <row r="22" spans="2:4" x14ac:dyDescent="0.25">
      <c r="B22" s="40"/>
      <c r="C22" s="230"/>
      <c r="D22" s="41"/>
    </row>
    <row r="23" spans="2:4" x14ac:dyDescent="0.25">
      <c r="B23" s="40"/>
      <c r="C23" s="230"/>
      <c r="D23" s="41"/>
    </row>
    <row r="24" spans="2:4" x14ac:dyDescent="0.25">
      <c r="B24" s="40"/>
      <c r="C24" s="230"/>
      <c r="D24" s="41"/>
    </row>
    <row r="25" spans="2:4" x14ac:dyDescent="0.25">
      <c r="B25" s="40"/>
      <c r="C25" s="230"/>
      <c r="D25" s="41"/>
    </row>
    <row r="26" spans="2:4" x14ac:dyDescent="0.25">
      <c r="B26" s="40"/>
      <c r="C26" s="230"/>
      <c r="D26" s="41"/>
    </row>
    <row r="27" spans="2:4" x14ac:dyDescent="0.25">
      <c r="B27" s="40"/>
      <c r="C27" s="230"/>
      <c r="D27" s="41"/>
    </row>
    <row r="28" spans="2:4" x14ac:dyDescent="0.25">
      <c r="B28" s="40"/>
      <c r="C28" s="230"/>
      <c r="D28" s="41"/>
    </row>
    <row r="29" spans="2:4" x14ac:dyDescent="0.25">
      <c r="B29" s="40"/>
      <c r="C29" s="230"/>
      <c r="D29" s="41"/>
    </row>
    <row r="30" spans="2:4" x14ac:dyDescent="0.25">
      <c r="B30" s="40"/>
      <c r="C30" s="230"/>
      <c r="D30" s="41"/>
    </row>
    <row r="31" spans="2:4" x14ac:dyDescent="0.25">
      <c r="B31" s="40"/>
      <c r="C31" s="230"/>
      <c r="D31" s="41"/>
    </row>
    <row r="32" spans="2:4" x14ac:dyDescent="0.25">
      <c r="B32" s="40"/>
      <c r="C32" s="230"/>
      <c r="D32" s="41"/>
    </row>
    <row r="33" spans="2:4" x14ac:dyDescent="0.25">
      <c r="B33" s="40"/>
      <c r="C33" s="230"/>
      <c r="D33" s="41"/>
    </row>
    <row r="34" spans="2:4" x14ac:dyDescent="0.25">
      <c r="B34" s="40"/>
      <c r="C34" s="230"/>
      <c r="D34" s="41"/>
    </row>
    <row r="35" spans="2:4" x14ac:dyDescent="0.25">
      <c r="B35" s="40"/>
      <c r="C35" s="230"/>
      <c r="D35" s="41"/>
    </row>
    <row r="36" spans="2:4" x14ac:dyDescent="0.25">
      <c r="B36" s="40"/>
      <c r="C36" s="230"/>
      <c r="D36" s="41"/>
    </row>
    <row r="37" spans="2:4" x14ac:dyDescent="0.25">
      <c r="B37" s="40"/>
      <c r="C37" s="230"/>
      <c r="D37" s="41"/>
    </row>
    <row r="38" spans="2:4" x14ac:dyDescent="0.25">
      <c r="B38" s="40"/>
      <c r="C38" s="230"/>
      <c r="D38" s="41"/>
    </row>
    <row r="39" spans="2:4" x14ac:dyDescent="0.25">
      <c r="B39" s="40"/>
      <c r="C39" s="230"/>
      <c r="D39" s="41"/>
    </row>
    <row r="40" spans="2:4" x14ac:dyDescent="0.25">
      <c r="B40" s="40"/>
      <c r="C40" s="230"/>
      <c r="D40" s="41"/>
    </row>
    <row r="41" spans="2:4" x14ac:dyDescent="0.25">
      <c r="B41" s="40"/>
      <c r="C41" s="230"/>
      <c r="D41" s="41"/>
    </row>
    <row r="42" spans="2:4" x14ac:dyDescent="0.25">
      <c r="B42" s="40"/>
      <c r="C42" s="230"/>
      <c r="D42" s="41"/>
    </row>
    <row r="43" spans="2:4" ht="15.75" thickBot="1" x14ac:dyDescent="0.3">
      <c r="B43" s="42"/>
      <c r="C43" s="231"/>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2" zoomScale="90" zoomScaleNormal="90" workbookViewId="0">
      <selection activeCell="K7" sqref="K7"/>
    </sheetView>
  </sheetViews>
  <sheetFormatPr baseColWidth="10"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FALSE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FALSE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TRUE</v>
      </c>
      <c r="M44" s="99" t="str">
        <f>IF(Calorific_Values!N11&lt;&gt;0,IF(AND(40000&lt;=Calorific_Values!N11,Calorific_Values!N11&lt;=50000),"TRUE","FALSE"),"")</f>
        <v>TRUE</v>
      </c>
      <c r="N44" s="99" t="str">
        <f>IF(Calorific_Values!O11&lt;&gt;0,IF(AND(40000&lt;=Calorific_Values!O11,Calorific_Values!O11&lt;=50000),"TRUE","FALSE"),"")</f>
        <v>TRUE</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FALSE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TRUE</v>
      </c>
      <c r="M46" s="99" t="str">
        <f>IF(Calorific_Values!N13&lt;&gt;0,IF(AND(40000&lt;=Calorific_Values!N13,Calorific_Values!N13&lt;=45000),"TRUE","FALSE"),"")</f>
        <v>TRUE</v>
      </c>
      <c r="N46" s="99" t="str">
        <f>IF(Calorific_Values!O13&lt;&gt;0,IF(AND(40000&lt;=Calorific_Values!O13,Calorific_Values!O13&lt;=45000),"TRUE","FALSE"),"")</f>
        <v>TRUE</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baseColWidth="10"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'1a_SpaceHeating'!Druckbereich</vt:lpstr>
      <vt:lpstr>'1b_SpaceCooling'!Druckbereich</vt:lpstr>
      <vt:lpstr>'1c_WaterHeating'!Druckbereich</vt:lpstr>
      <vt:lpstr>'1d_Cooking'!Druckbereich</vt:lpstr>
      <vt:lpstr>'1e_LightingAndAppliances'!Druckbereich</vt:lpstr>
      <vt:lpstr>'1f_OtherEndUses'!Druckbereich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Breuning, Larissa</cp:lastModifiedBy>
  <cp:lastPrinted>2017-09-15T13:51:39Z</cp:lastPrinted>
  <dcterms:created xsi:type="dcterms:W3CDTF">2014-09-17T09:30:01Z</dcterms:created>
  <dcterms:modified xsi:type="dcterms:W3CDTF">2020-07-17T13:46:44Z</dcterms:modified>
  <cp:category>Annual questionnaires</cp:category>
</cp:coreProperties>
</file>