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0" yWindow="0" windowWidth="23040" windowHeight="9195"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G17" i="5"/>
  <c r="E17" i="5"/>
  <c r="H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G10" i="5"/>
  <c r="J8" i="5"/>
  <c r="H12" i="5"/>
  <c r="G7" i="5"/>
  <c r="G16" i="5"/>
  <c r="G18" i="5"/>
  <c r="E18" i="5"/>
  <c r="E16" i="5"/>
  <c r="H7" i="5"/>
  <c r="H13" i="5"/>
  <c r="E13" i="5"/>
  <c r="J15" i="5"/>
  <c r="G13" i="5"/>
  <c r="J6" i="5"/>
  <c r="H14" i="5"/>
  <c r="H8" i="5"/>
  <c r="J13" i="5"/>
  <c r="E11" i="5"/>
  <c r="F6" i="5"/>
  <c r="G11" i="5"/>
  <c r="I6" i="5"/>
  <c r="H15" i="5"/>
  <c r="J7" i="5"/>
  <c r="G6" i="5"/>
  <c r="E12" i="5"/>
  <c r="J9" i="5"/>
  <c r="H10" i="5"/>
  <c r="G8" i="5"/>
  <c r="J12" i="5"/>
  <c r="G12" i="5"/>
  <c r="E14" i="5"/>
  <c r="G14" i="5"/>
  <c r="J11" i="5"/>
  <c r="J16" i="5"/>
  <c r="H9" i="5"/>
  <c r="H18" i="5"/>
  <c r="H6" i="5"/>
  <c r="E7" i="5"/>
  <c r="E8" i="5"/>
  <c r="E15" i="5"/>
  <c r="H11" i="5"/>
  <c r="J18" i="5"/>
  <c r="J14" i="5"/>
  <c r="H16" i="5"/>
  <c r="E9" i="5"/>
  <c r="G9" i="5"/>
  <c r="J10" i="5"/>
  <c r="K9" i="5"/>
  <c r="E6" i="5"/>
  <c r="G15"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<sst xmlns="http://schemas.openxmlformats.org/spreadsheetml/2006/main" count="952" uniqueCount="315">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</sst>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6">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topLeftCell="A4" zoomScale="90" zoomScaleNormal="90" workbookViewId="0">
      <selection activeCell="B30" sqref="B30"/>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57</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59"/>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1" t="s">
        <v>145</v>
      </c>
      <c r="C2" s="162"/>
    </row>
    <row r="3" spans="2:3" ht="9.75" customHeight="1" x14ac:dyDescent="0.25">
      <c r="B3" s="64"/>
      <c r="C3" s="65"/>
    </row>
    <row r="4" spans="2:3" ht="36" customHeight="1" x14ac:dyDescent="0.25">
      <c r="B4" s="163" t="s">
        <v>82</v>
      </c>
      <c r="C4" s="66" t="s">
        <v>83</v>
      </c>
    </row>
    <row r="5" spans="2:3" ht="36" customHeight="1" x14ac:dyDescent="0.25">
      <c r="B5" s="164"/>
      <c r="C5" s="67" t="s">
        <v>134</v>
      </c>
    </row>
    <row r="6" spans="2:3" ht="36" customHeight="1" x14ac:dyDescent="0.25">
      <c r="B6" s="164"/>
      <c r="C6" s="67" t="s">
        <v>146</v>
      </c>
    </row>
    <row r="7" spans="2:3" ht="45" customHeight="1" x14ac:dyDescent="0.25">
      <c r="B7" s="165"/>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6" t="s">
        <v>29</v>
      </c>
      <c r="C15" s="67" t="s">
        <v>312</v>
      </c>
    </row>
    <row r="16" spans="2:3" ht="63" customHeight="1" x14ac:dyDescent="0.25">
      <c r="B16" s="167"/>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8" t="s">
        <v>115</v>
      </c>
      <c r="C31" s="67" t="s">
        <v>311</v>
      </c>
    </row>
    <row r="32" spans="2:3" ht="105" customHeight="1" x14ac:dyDescent="0.25">
      <c r="B32" s="169"/>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8" t="s">
        <v>117</v>
      </c>
      <c r="C41" s="67" t="s">
        <v>127</v>
      </c>
    </row>
    <row r="42" spans="1:3" ht="59.25" customHeight="1" x14ac:dyDescent="0.25">
      <c r="B42" s="169"/>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M10" sqref="M10"/>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0" t="s">
        <v>0</v>
      </c>
      <c r="B1" s="171"/>
      <c r="C1" s="20"/>
      <c r="D1" s="1"/>
      <c r="E1" s="2"/>
      <c r="F1" s="2"/>
      <c r="G1" s="2"/>
      <c r="H1" s="2"/>
      <c r="I1" s="2"/>
      <c r="J1" s="2"/>
      <c r="K1" s="2"/>
      <c r="L1" s="2"/>
      <c r="M1" s="2"/>
      <c r="N1" s="2"/>
      <c r="O1" s="2"/>
    </row>
    <row r="2" spans="1:134" ht="18" customHeight="1" x14ac:dyDescent="0.25">
      <c r="A2" s="172"/>
      <c r="B2" s="173"/>
      <c r="C2" s="1"/>
      <c r="D2" s="1"/>
      <c r="E2" s="5"/>
      <c r="F2" s="3"/>
      <c r="G2" s="3"/>
      <c r="H2" s="3"/>
      <c r="I2" s="3"/>
      <c r="J2" s="3"/>
      <c r="K2" s="3"/>
      <c r="L2" s="3"/>
      <c r="M2" s="3"/>
      <c r="N2" s="3"/>
      <c r="O2" s="3"/>
    </row>
    <row r="3" spans="1:134" ht="18" customHeight="1" x14ac:dyDescent="0.3">
      <c r="A3" s="174" t="s">
        <v>12</v>
      </c>
      <c r="B3" s="175"/>
      <c r="C3" s="1"/>
      <c r="D3" s="1"/>
      <c r="E3" s="5"/>
      <c r="F3" s="3"/>
      <c r="G3" s="3"/>
      <c r="H3" s="3"/>
      <c r="I3" s="3"/>
      <c r="J3" s="3"/>
      <c r="K3" s="3"/>
      <c r="L3" s="3"/>
      <c r="M3" s="3"/>
      <c r="N3" s="3"/>
      <c r="O3" s="3"/>
      <c r="DS3" s="4" t="s">
        <v>229</v>
      </c>
    </row>
    <row r="4" spans="1:134" ht="18" customHeight="1" x14ac:dyDescent="0.25">
      <c r="A4" s="176"/>
      <c r="B4" s="173"/>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7"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80"/>
      <c r="C6" s="47"/>
      <c r="D6" s="48"/>
      <c r="E6" s="49"/>
      <c r="F6" s="49"/>
      <c r="G6" s="49"/>
      <c r="H6" s="49"/>
      <c r="I6" s="49"/>
      <c r="J6" s="49"/>
      <c r="K6" s="49"/>
      <c r="L6" s="49"/>
      <c r="M6" s="49"/>
      <c r="N6" s="49"/>
      <c r="O6" s="49"/>
      <c r="DS6" s="4" t="str">
        <f>VLOOKUP(Cover!$D$15, Country_list!$B$3:$C$44, 2, 0)</f>
        <v>IT</v>
      </c>
      <c r="DV6" s="4" t="s">
        <v>298</v>
      </c>
    </row>
    <row r="7" spans="1:134" ht="24" customHeight="1" x14ac:dyDescent="0.2">
      <c r="A7" s="182" t="s">
        <v>15</v>
      </c>
      <c r="B7" s="183"/>
      <c r="C7" s="45"/>
      <c r="D7" s="15"/>
      <c r="E7" s="46"/>
      <c r="F7" s="46"/>
      <c r="G7" s="46"/>
      <c r="H7" s="46"/>
      <c r="I7" s="46"/>
      <c r="J7" s="46"/>
      <c r="K7" s="46"/>
      <c r="L7" s="46"/>
      <c r="M7" s="46"/>
      <c r="N7" s="46"/>
      <c r="O7" s="46"/>
    </row>
    <row r="8" spans="1:134" ht="24" customHeight="1" x14ac:dyDescent="0.2">
      <c r="A8" s="182" t="s">
        <v>29</v>
      </c>
      <c r="B8" s="183"/>
      <c r="C8" s="45"/>
      <c r="D8" s="15"/>
      <c r="E8" s="46"/>
      <c r="F8" s="46"/>
      <c r="G8" s="46"/>
      <c r="H8" s="46"/>
      <c r="I8" s="46"/>
      <c r="J8" s="46"/>
      <c r="K8" s="46"/>
      <c r="L8" s="46"/>
      <c r="M8" s="46"/>
      <c r="N8" s="46"/>
      <c r="O8" s="46"/>
    </row>
    <row r="9" spans="1:134" ht="24" customHeight="1" x14ac:dyDescent="0.2">
      <c r="A9" s="182" t="s">
        <v>156</v>
      </c>
      <c r="B9" s="183"/>
      <c r="C9" s="9" t="s">
        <v>132</v>
      </c>
      <c r="D9" s="93"/>
      <c r="E9" s="94"/>
      <c r="F9" s="94"/>
      <c r="G9" s="94"/>
      <c r="H9" s="94"/>
      <c r="I9" s="94"/>
      <c r="J9" s="94"/>
      <c r="K9" s="94"/>
      <c r="L9" s="94"/>
      <c r="M9" s="94"/>
      <c r="N9" s="94"/>
      <c r="O9" s="94"/>
      <c r="DT9" s="4" t="s">
        <v>279</v>
      </c>
      <c r="EB9" s="4" t="s">
        <v>300</v>
      </c>
      <c r="ED9" s="4" t="s">
        <v>301</v>
      </c>
    </row>
    <row r="10" spans="1:134" ht="24" customHeight="1" x14ac:dyDescent="0.2">
      <c r="A10" s="182" t="s">
        <v>20</v>
      </c>
      <c r="B10" s="183"/>
      <c r="C10" s="9" t="s">
        <v>132</v>
      </c>
      <c r="D10" s="93"/>
      <c r="E10" s="94"/>
      <c r="F10" s="94"/>
      <c r="G10" s="94"/>
      <c r="H10" s="94"/>
      <c r="I10" s="94">
        <v>44088.691796008869</v>
      </c>
      <c r="J10" s="94">
        <v>44194.928538497006</v>
      </c>
      <c r="K10" s="94">
        <v>44403.705402891181</v>
      </c>
      <c r="L10" s="94">
        <v>44260.218489107261</v>
      </c>
      <c r="M10" s="94"/>
      <c r="N10" s="94"/>
      <c r="O10" s="94"/>
      <c r="DT10" s="4" t="s">
        <v>280</v>
      </c>
      <c r="EB10" s="4" t="s">
        <v>300</v>
      </c>
      <c r="ED10" s="4" t="s">
        <v>301</v>
      </c>
    </row>
    <row r="11" spans="1:134" s="13" customFormat="1" ht="15" customHeight="1" x14ac:dyDescent="0.2">
      <c r="A11" s="181" t="s">
        <v>18</v>
      </c>
      <c r="B11" s="110" t="s">
        <v>21</v>
      </c>
      <c r="C11" s="111" t="s">
        <v>132</v>
      </c>
      <c r="D11" s="115"/>
      <c r="E11" s="115"/>
      <c r="F11" s="116"/>
      <c r="G11" s="116"/>
      <c r="H11" s="116"/>
      <c r="I11" s="116">
        <v>46000</v>
      </c>
      <c r="J11" s="116">
        <v>46000</v>
      </c>
      <c r="K11" s="116">
        <v>46000</v>
      </c>
      <c r="L11" s="116">
        <v>46000</v>
      </c>
      <c r="M11" s="116"/>
      <c r="N11" s="116"/>
      <c r="O11" s="116"/>
      <c r="DT11" s="13" t="s">
        <v>281</v>
      </c>
      <c r="EB11" s="13" t="s">
        <v>300</v>
      </c>
      <c r="ED11" s="13" t="s">
        <v>301</v>
      </c>
    </row>
    <row r="12" spans="1:134" s="13" customFormat="1" ht="15" customHeight="1" x14ac:dyDescent="0.2">
      <c r="A12" s="181"/>
      <c r="B12" s="110" t="s">
        <v>22</v>
      </c>
      <c r="C12" s="111" t="s">
        <v>132</v>
      </c>
      <c r="D12" s="115"/>
      <c r="E12" s="115"/>
      <c r="F12" s="115"/>
      <c r="G12" s="115"/>
      <c r="H12" s="115"/>
      <c r="I12" s="115">
        <v>43000</v>
      </c>
      <c r="J12" s="115">
        <v>43000</v>
      </c>
      <c r="K12" s="115">
        <v>43000</v>
      </c>
      <c r="L12" s="115">
        <v>43000</v>
      </c>
      <c r="M12" s="115"/>
      <c r="N12" s="115"/>
      <c r="O12" s="115"/>
      <c r="DT12" s="13" t="s">
        <v>282</v>
      </c>
      <c r="EB12" s="13" t="s">
        <v>300</v>
      </c>
      <c r="ED12" s="13" t="s">
        <v>301</v>
      </c>
    </row>
    <row r="13" spans="1:134" s="13" customFormat="1" ht="15" customHeight="1" x14ac:dyDescent="0.2">
      <c r="A13" s="181"/>
      <c r="B13" s="110" t="s">
        <v>23</v>
      </c>
      <c r="C13" s="111" t="s">
        <v>132</v>
      </c>
      <c r="D13" s="115"/>
      <c r="E13" s="115"/>
      <c r="F13" s="115"/>
      <c r="G13" s="115"/>
      <c r="H13" s="115"/>
      <c r="I13" s="115">
        <v>42600</v>
      </c>
      <c r="J13" s="115">
        <v>42600</v>
      </c>
      <c r="K13" s="115">
        <v>42600</v>
      </c>
      <c r="L13" s="115">
        <v>42600</v>
      </c>
      <c r="M13" s="115"/>
      <c r="N13" s="115"/>
      <c r="O13" s="115"/>
      <c r="DT13" s="13" t="s">
        <v>283</v>
      </c>
      <c r="EB13" s="13" t="s">
        <v>300</v>
      </c>
      <c r="ED13" s="13" t="s">
        <v>301</v>
      </c>
    </row>
    <row r="14" spans="1:134" ht="24" customHeight="1" x14ac:dyDescent="0.2">
      <c r="A14" s="182" t="s">
        <v>24</v>
      </c>
      <c r="B14" s="183"/>
      <c r="C14" s="45"/>
      <c r="D14" s="15"/>
      <c r="E14" s="46"/>
      <c r="F14" s="46"/>
      <c r="G14" s="46"/>
      <c r="H14" s="46"/>
      <c r="I14" s="46"/>
      <c r="J14" s="46"/>
      <c r="K14" s="46"/>
      <c r="L14" s="46"/>
      <c r="M14" s="46"/>
      <c r="N14" s="46"/>
      <c r="O14" s="46"/>
    </row>
    <row r="15" spans="1:134" s="13" customFormat="1" ht="15" customHeight="1" x14ac:dyDescent="0.2">
      <c r="A15" s="181" t="s">
        <v>18</v>
      </c>
      <c r="B15" s="110" t="s">
        <v>26</v>
      </c>
      <c r="C15" s="14"/>
      <c r="D15" s="15"/>
      <c r="E15" s="12"/>
      <c r="F15" s="12"/>
      <c r="G15" s="12"/>
      <c r="H15" s="12"/>
      <c r="I15" s="12"/>
      <c r="J15" s="12"/>
      <c r="K15" s="12"/>
      <c r="L15" s="12"/>
      <c r="M15" s="12"/>
      <c r="N15" s="12"/>
      <c r="O15" s="12"/>
    </row>
    <row r="16" spans="1:134" s="13" customFormat="1" ht="15" customHeight="1" x14ac:dyDescent="0.2">
      <c r="A16" s="181"/>
      <c r="B16" s="110" t="s">
        <v>27</v>
      </c>
      <c r="C16" s="14"/>
      <c r="D16" s="15"/>
      <c r="E16" s="12"/>
      <c r="F16" s="12"/>
      <c r="G16" s="12"/>
      <c r="H16" s="12"/>
      <c r="I16" s="12"/>
      <c r="J16" s="12"/>
      <c r="K16" s="12"/>
      <c r="L16" s="12"/>
      <c r="M16" s="12"/>
      <c r="N16" s="12"/>
      <c r="O16" s="12"/>
    </row>
    <row r="17" spans="1:15" s="13" customFormat="1" ht="15" customHeight="1" x14ac:dyDescent="0.2">
      <c r="A17" s="181"/>
      <c r="B17" s="110" t="s">
        <v>28</v>
      </c>
      <c r="C17" s="14"/>
      <c r="D17" s="15"/>
      <c r="E17" s="12"/>
      <c r="F17" s="12"/>
      <c r="G17" s="12"/>
      <c r="H17" s="12"/>
      <c r="I17" s="12"/>
      <c r="J17" s="12"/>
      <c r="K17" s="12"/>
      <c r="L17" s="12"/>
      <c r="M17" s="12"/>
      <c r="N17" s="12"/>
      <c r="O17" s="12"/>
    </row>
    <row r="18" spans="1:15" s="13" customFormat="1" ht="15" customHeight="1" x14ac:dyDescent="0.2">
      <c r="A18" s="181"/>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topLeftCell="A2" zoomScale="90" zoomScaleNormal="90" workbookViewId="0">
      <pane xSplit="3" topLeftCell="D1" activePane="topRight" state="frozen"/>
      <selection activeCell="C5" sqref="C5:C43"/>
      <selection pane="topRight" activeCell="B18" sqref="B18"/>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Italy</v>
      </c>
      <c r="D2" s="1"/>
      <c r="E2" s="5"/>
      <c r="F2" s="3"/>
      <c r="G2" s="3"/>
      <c r="H2" s="3"/>
      <c r="I2" s="3"/>
      <c r="J2" s="3"/>
      <c r="K2" s="3"/>
    </row>
    <row r="3" spans="1:11" ht="18" customHeight="1" x14ac:dyDescent="0.25">
      <c r="A3" s="190" t="s">
        <v>2</v>
      </c>
      <c r="B3" s="192"/>
      <c r="C3" s="114">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14</v>
      </c>
      <c r="D6" s="120">
        <f ca="1">SUM(E6:J6)</f>
        <v>65137.794999999991</v>
      </c>
      <c r="E6" s="121">
        <f ca="1">INDIRECT(ADDRESS(ROW(K6),$C$3 -2010 + 4,,,"1a_SpaceHeating"))</f>
        <v>1052.9966860358006</v>
      </c>
      <c r="F6" s="121">
        <f ca="1">INDIRECT(ADDRESS(ROW(K6),$C$3-2010+4,,,"1b_SpaceCooling"))</f>
        <v>2488.9921667076046</v>
      </c>
      <c r="G6" s="121">
        <f ca="1">INDIRECT(ADDRESS(ROW(K6),$C$3-2010+4,,,"1c_WaterHeating"))</f>
        <v>6190.6651104995581</v>
      </c>
      <c r="H6" s="121">
        <f ca="1">INDIRECT(ADDRESS(ROW(K6),$C$3-2010+4,,,"1d_Cooking"))</f>
        <v>3707.3775626906449</v>
      </c>
      <c r="I6" s="121">
        <f ca="1">INDIRECT(ADDRESS(ROW(K6),$C$3-2010+4,,,"1e_LightingAndAppliances"))</f>
        <v>46545.37968951666</v>
      </c>
      <c r="J6" s="121">
        <f ca="1">INDIRECT(ADDRESS(ROW(K6),$C$3-2010+4,,,"1f_OtherEndUses"))</f>
        <v>5152.3837845497228</v>
      </c>
      <c r="K6" s="122"/>
    </row>
    <row r="7" spans="1:11" ht="24" customHeight="1" x14ac:dyDescent="0.25">
      <c r="A7" s="185" t="s">
        <v>15</v>
      </c>
      <c r="B7" s="186"/>
      <c r="C7" s="109" t="s">
        <v>16</v>
      </c>
      <c r="D7" s="123">
        <f t="shared" ref="D7:D16" ca="1" si="0">SUM(E7:J7)</f>
        <v>51997.455999999991</v>
      </c>
      <c r="E7" s="124">
        <f t="shared" ref="E7:E16" ca="1" si="1">INDIRECT(ADDRESS(ROW(K7),$C$3 -2010 + 4,,,"1a_SpaceHeating"))</f>
        <v>45310.273899001033</v>
      </c>
      <c r="F7" s="125"/>
      <c r="G7" s="124">
        <f t="shared" ref="G7:G16" ca="1" si="2">INDIRECT(ADDRESS(ROW(K7),$C$3-2010+4,,,"1c_WaterHeating"))</f>
        <v>6687.1821009989599</v>
      </c>
      <c r="H7" s="124">
        <f t="shared" ref="H7:H16" ca="1" si="3">INDIRECT(ADDRESS(ROW(K7),$C$3-2010+4,,,"1d_Cooking"))</f>
        <v>0</v>
      </c>
      <c r="I7" s="125"/>
      <c r="J7" s="124">
        <f t="shared" ref="J7:J17" ca="1" si="4">INDIRECT(ADDRESS(ROW(K7),$C$3-2010+4,,,"1f_OtherEndUses"))</f>
        <v>0</v>
      </c>
      <c r="K7" s="125"/>
    </row>
    <row r="8" spans="1:11" ht="24" customHeight="1" x14ac:dyDescent="0.25">
      <c r="A8" s="185" t="s">
        <v>29</v>
      </c>
      <c r="B8" s="186"/>
      <c r="C8" s="109" t="s">
        <v>17</v>
      </c>
      <c r="D8" s="123">
        <f t="shared" ca="1" si="0"/>
        <v>767551.65</v>
      </c>
      <c r="E8" s="124">
        <f t="shared" ca="1" si="1"/>
        <v>579091.30010757176</v>
      </c>
      <c r="F8" s="125"/>
      <c r="G8" s="124">
        <f t="shared" ca="1" si="2"/>
        <v>119644.69083027223</v>
      </c>
      <c r="H8" s="124">
        <f t="shared" ca="1" si="3"/>
        <v>68815.659062156003</v>
      </c>
      <c r="I8" s="125"/>
      <c r="J8" s="124">
        <f t="shared" ca="1" si="4"/>
        <v>0</v>
      </c>
      <c r="K8" s="125"/>
    </row>
    <row r="9" spans="1:11" ht="24" customHeight="1" x14ac:dyDescent="0.25">
      <c r="A9" s="185" t="s">
        <v>156</v>
      </c>
      <c r="B9" s="186"/>
      <c r="C9" s="109" t="s">
        <v>19</v>
      </c>
      <c r="D9" s="123">
        <f t="shared" ca="1" si="0"/>
        <v>0</v>
      </c>
      <c r="E9" s="124">
        <f t="shared" ca="1" si="1"/>
        <v>0</v>
      </c>
      <c r="F9" s="125"/>
      <c r="G9" s="124">
        <f t="shared" ca="1" si="2"/>
        <v>0</v>
      </c>
      <c r="H9" s="124">
        <f t="shared" ca="1" si="3"/>
        <v>0</v>
      </c>
      <c r="I9" s="125"/>
      <c r="J9" s="124">
        <f t="shared" ca="1" si="4"/>
        <v>0</v>
      </c>
      <c r="K9" s="126">
        <f ca="1">INDIRECT(ADDRESS(ROW(K9),$C$3-2010+4,,,"Calorific_Values"))</f>
        <v>0</v>
      </c>
    </row>
    <row r="10" spans="1:11" ht="24" customHeight="1" x14ac:dyDescent="0.25">
      <c r="A10" s="185" t="s">
        <v>42</v>
      </c>
      <c r="B10" s="186"/>
      <c r="C10" s="109" t="s">
        <v>19</v>
      </c>
      <c r="D10" s="123">
        <f t="shared" ca="1" si="0"/>
        <v>2080.8359999999998</v>
      </c>
      <c r="E10" s="124">
        <f t="shared" ca="1" si="1"/>
        <v>1580.7391193689659</v>
      </c>
      <c r="F10" s="125"/>
      <c r="G10" s="124">
        <f t="shared" ca="1" si="2"/>
        <v>300.40645835285352</v>
      </c>
      <c r="H10" s="124">
        <f t="shared" ca="1" si="3"/>
        <v>199.69042227818062</v>
      </c>
      <c r="I10" s="125"/>
      <c r="J10" s="124">
        <f t="shared" ca="1" si="4"/>
        <v>0</v>
      </c>
      <c r="K10" s="126">
        <f ca="1">INDIRECT(ADDRESS(ROW(K10),$C$3-2010+4,,,"Calorific_Values"))</f>
        <v>44260.218489107261</v>
      </c>
    </row>
    <row r="11" spans="1:11" s="34" customFormat="1" ht="15" customHeight="1" x14ac:dyDescent="0.25">
      <c r="A11" s="184" t="s">
        <v>18</v>
      </c>
      <c r="B11" s="10" t="s">
        <v>21</v>
      </c>
      <c r="C11" s="11" t="s">
        <v>19</v>
      </c>
      <c r="D11" s="127">
        <f t="shared" ca="1" si="0"/>
        <v>1015.836</v>
      </c>
      <c r="E11" s="128">
        <f t="shared" ca="1" si="1"/>
        <v>634.90840622043186</v>
      </c>
      <c r="F11" s="129"/>
      <c r="G11" s="128">
        <f t="shared" ca="1" si="2"/>
        <v>181.23717150138745</v>
      </c>
      <c r="H11" s="128">
        <f t="shared" ca="1" si="3"/>
        <v>199.69042227818062</v>
      </c>
      <c r="I11" s="129"/>
      <c r="J11" s="128">
        <f t="shared" ca="1" si="4"/>
        <v>0</v>
      </c>
      <c r="K11" s="130">
        <f t="shared" ref="K11:K13" ca="1" si="5">INDIRECT(ADDRESS(ROW(K11),$C$3-2010+4,,,"Calorific_Values"))</f>
        <v>46000</v>
      </c>
    </row>
    <row r="12" spans="1:11" s="34" customFormat="1" ht="15" customHeight="1" x14ac:dyDescent="0.25">
      <c r="A12" s="184"/>
      <c r="B12" s="10" t="s">
        <v>22</v>
      </c>
      <c r="C12" s="11" t="s">
        <v>19</v>
      </c>
      <c r="D12" s="127">
        <f t="shared" ca="1" si="0"/>
        <v>2</v>
      </c>
      <c r="E12" s="128">
        <f t="shared" ca="1" si="1"/>
        <v>2</v>
      </c>
      <c r="F12" s="129"/>
      <c r="G12" s="128">
        <f t="shared" ca="1" si="2"/>
        <v>0</v>
      </c>
      <c r="H12" s="128">
        <f t="shared" ca="1" si="3"/>
        <v>0</v>
      </c>
      <c r="I12" s="129"/>
      <c r="J12" s="128">
        <f t="shared" ca="1" si="4"/>
        <v>0</v>
      </c>
      <c r="K12" s="130">
        <f t="shared" ca="1" si="5"/>
        <v>43000</v>
      </c>
    </row>
    <row r="13" spans="1:11" s="34" customFormat="1" ht="15" customHeight="1" x14ac:dyDescent="0.25">
      <c r="A13" s="184"/>
      <c r="B13" s="10" t="s">
        <v>23</v>
      </c>
      <c r="C13" s="11" t="s">
        <v>19</v>
      </c>
      <c r="D13" s="127">
        <f t="shared" ca="1" si="0"/>
        <v>1063</v>
      </c>
      <c r="E13" s="128">
        <f t="shared" ca="1" si="1"/>
        <v>943.83071314853396</v>
      </c>
      <c r="F13" s="129"/>
      <c r="G13" s="128">
        <f t="shared" ca="1" si="2"/>
        <v>119.1692868514661</v>
      </c>
      <c r="H13" s="128">
        <f t="shared" ca="1" si="3"/>
        <v>0</v>
      </c>
      <c r="I13" s="129"/>
      <c r="J13" s="128">
        <f t="shared" ca="1" si="4"/>
        <v>0</v>
      </c>
      <c r="K13" s="130">
        <f t="shared" ca="1" si="5"/>
        <v>42600</v>
      </c>
    </row>
    <row r="14" spans="1:11" ht="24" customHeight="1" x14ac:dyDescent="0.25">
      <c r="A14" s="185" t="s">
        <v>43</v>
      </c>
      <c r="B14" s="186"/>
      <c r="C14" s="109" t="s">
        <v>16</v>
      </c>
      <c r="D14" s="123">
        <f t="shared" ca="1" si="0"/>
        <v>272727.14559999999</v>
      </c>
      <c r="E14" s="124">
        <f t="shared" ca="1" si="1"/>
        <v>252949.26717975087</v>
      </c>
      <c r="F14" s="125"/>
      <c r="G14" s="124">
        <f t="shared" ca="1" si="2"/>
        <v>15816.970891731004</v>
      </c>
      <c r="H14" s="124">
        <f t="shared" ca="1" si="3"/>
        <v>3960.907528518137</v>
      </c>
      <c r="I14" s="125"/>
      <c r="J14" s="124">
        <f t="shared" ca="1" si="4"/>
        <v>0</v>
      </c>
      <c r="K14" s="125"/>
    </row>
    <row r="15" spans="1:11" s="34" customFormat="1" ht="15" customHeight="1" x14ac:dyDescent="0.25">
      <c r="A15" s="184" t="s">
        <v>18</v>
      </c>
      <c r="B15" s="10" t="s">
        <v>26</v>
      </c>
      <c r="C15" s="11" t="s">
        <v>16</v>
      </c>
      <c r="D15" s="127">
        <f t="shared" ca="1" si="0"/>
        <v>6767.2019999999993</v>
      </c>
      <c r="E15" s="128">
        <f t="shared" ca="1" si="1"/>
        <v>403.23507716617723</v>
      </c>
      <c r="F15" s="129"/>
      <c r="G15" s="128">
        <f t="shared" ca="1" si="2"/>
        <v>6363.9669228338225</v>
      </c>
      <c r="H15" s="128">
        <f t="shared" ca="1" si="3"/>
        <v>0</v>
      </c>
      <c r="I15" s="129"/>
      <c r="J15" s="128">
        <f t="shared" ca="1" si="4"/>
        <v>0</v>
      </c>
      <c r="K15" s="129"/>
    </row>
    <row r="16" spans="1:11" s="34" customFormat="1" ht="15" customHeight="1" x14ac:dyDescent="0.25">
      <c r="A16" s="184"/>
      <c r="B16" s="10" t="s">
        <v>27</v>
      </c>
      <c r="C16" s="11" t="s">
        <v>16</v>
      </c>
      <c r="D16" s="127">
        <f t="shared" ca="1" si="0"/>
        <v>259851.44899999999</v>
      </c>
      <c r="E16" s="128">
        <f t="shared" ca="1" si="1"/>
        <v>248332.10710258468</v>
      </c>
      <c r="F16" s="129"/>
      <c r="G16" s="128">
        <f t="shared" ca="1" si="2"/>
        <v>9453.003968897181</v>
      </c>
      <c r="H16" s="128">
        <f t="shared" ca="1" si="3"/>
        <v>2066.3379285181368</v>
      </c>
      <c r="I16" s="129"/>
      <c r="J16" s="128">
        <f t="shared" ca="1" si="4"/>
        <v>0</v>
      </c>
      <c r="K16" s="129"/>
    </row>
    <row r="17" spans="1:11" s="34" customFormat="1" ht="15" customHeight="1" x14ac:dyDescent="0.25">
      <c r="A17" s="18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4"/>
      <c r="B18" s="34" t="s">
        <v>184</v>
      </c>
      <c r="C18" s="11" t="s">
        <v>16</v>
      </c>
      <c r="D18" s="127">
        <f ca="1">SUM(E18:J18)</f>
        <v>4172.7269999999999</v>
      </c>
      <c r="E18" s="128">
        <f ca="1">INDIRECT(ADDRESS(ROW(K18),$C$3 -2010 + 4,,,"1a_SpaceHeating"))</f>
        <v>4172.7269999999999</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H10" sqref="H10"/>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Italy</v>
      </c>
      <c r="D2" s="1"/>
      <c r="E2" s="5"/>
      <c r="F2" s="3"/>
      <c r="G2" s="3"/>
      <c r="H2" s="3"/>
      <c r="I2" s="3"/>
      <c r="J2" s="3"/>
      <c r="K2" s="3"/>
    </row>
    <row r="3" spans="1:11" ht="18" customHeight="1" x14ac:dyDescent="0.25">
      <c r="A3" s="190" t="s">
        <v>2</v>
      </c>
      <c r="B3" s="191"/>
      <c r="C3" s="1">
        <f>Table1_Totals!C3</f>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16</v>
      </c>
      <c r="D6" s="120">
        <f ca="1">SUM(E6:J6)</f>
        <v>234496.06199999998</v>
      </c>
      <c r="E6" s="121">
        <f ca="1">Table1_Totals!E6*3.6</f>
        <v>3790.7880697288824</v>
      </c>
      <c r="F6" s="121">
        <f ca="1">Table1_Totals!F6*3.6</f>
        <v>8960.3718001473771</v>
      </c>
      <c r="G6" s="121">
        <f ca="1">Table1_Totals!G6*3.6</f>
        <v>22286.394397798409</v>
      </c>
      <c r="H6" s="121">
        <f ca="1">Table1_Totals!H6*3.6</f>
        <v>13346.559225686322</v>
      </c>
      <c r="I6" s="121">
        <f ca="1">Table1_Totals!I6*3.6</f>
        <v>167563.36688225999</v>
      </c>
      <c r="J6" s="121">
        <f ca="1">Table1_Totals!J6*3.6</f>
        <v>18548.581624379003</v>
      </c>
      <c r="K6" s="122"/>
    </row>
    <row r="7" spans="1:11" ht="24" customHeight="1" x14ac:dyDescent="0.25">
      <c r="A7" s="185" t="s">
        <v>15</v>
      </c>
      <c r="B7" s="186"/>
      <c r="C7" s="109" t="s">
        <v>16</v>
      </c>
      <c r="D7" s="123">
        <f t="shared" ref="D7:D18" ca="1" si="0">SUM(E7:J7)</f>
        <v>51997.455999999991</v>
      </c>
      <c r="E7" s="124">
        <f ca="1">Table1_Totals!E7</f>
        <v>45310.273899001033</v>
      </c>
      <c r="F7" s="125"/>
      <c r="G7" s="124">
        <f ca="1">Table1_Totals!G7</f>
        <v>6687.1821009989599</v>
      </c>
      <c r="H7" s="124">
        <f ca="1">Table1_Totals!H7</f>
        <v>0</v>
      </c>
      <c r="I7" s="125"/>
      <c r="J7" s="124">
        <f ca="1">Table1_Totals!J7</f>
        <v>0</v>
      </c>
      <c r="K7" s="125"/>
    </row>
    <row r="8" spans="1:11" ht="24" customHeight="1" x14ac:dyDescent="0.25">
      <c r="A8" s="185" t="s">
        <v>29</v>
      </c>
      <c r="B8" s="186"/>
      <c r="C8" s="109" t="s">
        <v>16</v>
      </c>
      <c r="D8" s="123">
        <f t="shared" ca="1" si="0"/>
        <v>690796.48499999999</v>
      </c>
      <c r="E8" s="124">
        <f ca="1">Table1_Totals!E8*0.9</f>
        <v>521182.17009681457</v>
      </c>
      <c r="F8" s="125"/>
      <c r="G8" s="124">
        <f ca="1">Table1_Totals!G8*0.9</f>
        <v>107680.22174724501</v>
      </c>
      <c r="H8" s="124">
        <f ca="1">Table1_Totals!H8*0.9</f>
        <v>61934.093155940405</v>
      </c>
      <c r="I8" s="125"/>
      <c r="J8" s="124">
        <f ca="1">Table1_Totals!J8*0.9</f>
        <v>0</v>
      </c>
      <c r="K8" s="125"/>
    </row>
    <row r="9" spans="1:11" ht="24" customHeight="1" x14ac:dyDescent="0.25">
      <c r="A9" s="185" t="s">
        <v>156</v>
      </c>
      <c r="B9" s="186"/>
      <c r="C9" s="109" t="s">
        <v>16</v>
      </c>
      <c r="D9" s="123">
        <f t="shared" ca="1" si="0"/>
        <v>0</v>
      </c>
      <c r="E9" s="124" t="str">
        <f ca="1">IF(Table1_Totals!E9&lt;&gt;0,IF(Table1_Totals!$K9&lt;&gt;0,Table1_Totals!E9*Table1_Totals!$K9/1000,"Please check CV"),"0,000")</f>
        <v>0,000</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0</v>
      </c>
    </row>
    <row r="10" spans="1:11" ht="24" customHeight="1" x14ac:dyDescent="0.25">
      <c r="A10" s="185" t="s">
        <v>42</v>
      </c>
      <c r="B10" s="186"/>
      <c r="C10" s="109" t="s">
        <v>16</v>
      </c>
      <c r="D10" s="123">
        <f t="shared" ca="1" si="0"/>
        <v>92098.256000000008</v>
      </c>
      <c r="E10" s="124">
        <f ca="1">IF(Table1_Totals!E10&lt;&gt;0,IF(Table1_Totals!$K10&lt;&gt;0,Table1_Totals!E10*Table1_Totals!$K10/1000,"Please check CV"),"0,000")</f>
        <v>69963.858797549445</v>
      </c>
      <c r="F10" s="125"/>
      <c r="G10" s="124">
        <f ca="1">IF(Table1_Totals!G10&lt;&gt;0,IF(Table1_Totals!$K10&lt;&gt;0,Table1_Totals!G10*Table1_Totals!$K10/1000,"Please check CV"),"0,000")</f>
        <v>13296.055482236197</v>
      </c>
      <c r="H10" s="124">
        <f ca="1">IF(Table1_Totals!H10&lt;&gt;0,IF(Table1_Totals!$K10&lt;&gt;0,Table1_Totals!H10*Table1_Totals!$K10/1000,"Please check CV"),"0,000")</f>
        <v>8838.3417202143664</v>
      </c>
      <c r="I10" s="125"/>
      <c r="J10" s="124" t="str">
        <f ca="1">IF(Table1_Totals!J10&lt;&gt;0,IF(Table1_Totals!$K10&lt;&gt;0,Table1_Totals!J10*Table1_Totals!$K10/1000,"Please check CV"),"0,000")</f>
        <v>0,000</v>
      </c>
      <c r="K10" s="126">
        <f ca="1">Table1_Totals!K10</f>
        <v>44260.218489107261</v>
      </c>
    </row>
    <row r="11" spans="1:11" s="34" customFormat="1" ht="15" customHeight="1" x14ac:dyDescent="0.25">
      <c r="A11" s="184" t="s">
        <v>18</v>
      </c>
      <c r="B11" s="10" t="s">
        <v>21</v>
      </c>
      <c r="C11" s="11" t="s">
        <v>16</v>
      </c>
      <c r="D11" s="127">
        <f t="shared" ca="1" si="0"/>
        <v>46728.456000000006</v>
      </c>
      <c r="E11" s="128">
        <f ca="1">IF(Table1_Totals!E11&lt;&gt;0,IF(Table1_Totals!$K11&lt;&gt;0,Table1_Totals!E11*Table1_Totals!$K11/1000,"Please check CV"),"0,000")</f>
        <v>29205.786686139865</v>
      </c>
      <c r="F11" s="129"/>
      <c r="G11" s="128">
        <f ca="1">IF(Table1_Totals!G11&lt;&gt;0,IF(Table1_Totals!$K11&lt;&gt;0,Table1_Totals!G11*Table1_Totals!$K11/1000,"Please check CV"),"0,000")</f>
        <v>8336.9098890638234</v>
      </c>
      <c r="H11" s="128">
        <f ca="1">IF(Table1_Totals!H11&lt;&gt;0,IF(Table1_Totals!$K11&lt;&gt;0,Table1_Totals!H11*Table1_Totals!$K11/1000,"Please check CV"),"0,000")</f>
        <v>9185.7594247963098</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84"/>
      <c r="B12" s="10" t="s">
        <v>22</v>
      </c>
      <c r="C12" s="11" t="s">
        <v>16</v>
      </c>
      <c r="D12" s="127">
        <f t="shared" ca="1" si="0"/>
        <v>86</v>
      </c>
      <c r="E12" s="128">
        <f ca="1">IF(Table1_Totals!E12&lt;&gt;0,IF(Table1_Totals!$K12&lt;&gt;0,Table1_Totals!E12*Table1_Totals!$K12/1000,"Please check CV"),"0,000")</f>
        <v>86</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43000</v>
      </c>
    </row>
    <row r="13" spans="1:11" s="34" customFormat="1" ht="15" customHeight="1" x14ac:dyDescent="0.25">
      <c r="A13" s="184"/>
      <c r="B13" s="10" t="s">
        <v>23</v>
      </c>
      <c r="C13" s="11" t="s">
        <v>16</v>
      </c>
      <c r="D13" s="127">
        <f t="shared" ca="1" si="0"/>
        <v>45283.8</v>
      </c>
      <c r="E13" s="128">
        <f ca="1">IF(Table1_Totals!E13&lt;&gt;0,IF(Table1_Totals!$K13&lt;&gt;0,Table1_Totals!E13*Table1_Totals!$K13/1000,"Please check CV"),"0,000")</f>
        <v>40207.188380127547</v>
      </c>
      <c r="F13" s="129"/>
      <c r="G13" s="128">
        <f ca="1">IF(Table1_Totals!G13&lt;&gt;0,IF(Table1_Totals!$K13&lt;&gt;0,Table1_Totals!G13*Table1_Totals!$K13/1000,"Please check CV"),"0,000")</f>
        <v>5076.6116198724558</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42600</v>
      </c>
    </row>
    <row r="14" spans="1:11" ht="24" customHeight="1" x14ac:dyDescent="0.25">
      <c r="A14" s="185" t="s">
        <v>43</v>
      </c>
      <c r="B14" s="186"/>
      <c r="C14" s="109" t="s">
        <v>16</v>
      </c>
      <c r="D14" s="123">
        <f t="shared" ca="1" si="0"/>
        <v>272727.14559999999</v>
      </c>
      <c r="E14" s="124">
        <f ca="1">Table1_Totals!E14</f>
        <v>252949.26717975087</v>
      </c>
      <c r="F14" s="125"/>
      <c r="G14" s="124">
        <f ca="1">Table1_Totals!G14</f>
        <v>15816.970891731004</v>
      </c>
      <c r="H14" s="124">
        <f ca="1">Table1_Totals!H14</f>
        <v>3960.907528518137</v>
      </c>
      <c r="I14" s="125"/>
      <c r="J14" s="124">
        <f ca="1">Table1_Totals!J14</f>
        <v>0</v>
      </c>
      <c r="K14" s="125"/>
    </row>
    <row r="15" spans="1:11" s="34" customFormat="1" ht="15" customHeight="1" x14ac:dyDescent="0.25">
      <c r="A15" s="184" t="s">
        <v>18</v>
      </c>
      <c r="B15" s="10" t="s">
        <v>26</v>
      </c>
      <c r="C15" s="11" t="s">
        <v>16</v>
      </c>
      <c r="D15" s="127">
        <f t="shared" ca="1" si="0"/>
        <v>6767.2019999999993</v>
      </c>
      <c r="E15" s="128">
        <f ca="1">Table1_Totals!E15</f>
        <v>403.23507716617723</v>
      </c>
      <c r="F15" s="129"/>
      <c r="G15" s="128">
        <f ca="1">Table1_Totals!G15</f>
        <v>6363.9669228338225</v>
      </c>
      <c r="H15" s="128">
        <f ca="1">Table1_Totals!H15</f>
        <v>0</v>
      </c>
      <c r="I15" s="129"/>
      <c r="J15" s="128">
        <f ca="1">Table1_Totals!J15</f>
        <v>0</v>
      </c>
      <c r="K15" s="129"/>
    </row>
    <row r="16" spans="1:11" s="34" customFormat="1" ht="15" customHeight="1" x14ac:dyDescent="0.25">
      <c r="A16" s="184"/>
      <c r="B16" s="10" t="s">
        <v>27</v>
      </c>
      <c r="C16" s="11" t="s">
        <v>16</v>
      </c>
      <c r="D16" s="127">
        <f t="shared" ca="1" si="0"/>
        <v>259851.44899999999</v>
      </c>
      <c r="E16" s="128">
        <f ca="1">Table1_Totals!E16</f>
        <v>248332.10710258468</v>
      </c>
      <c r="F16" s="129"/>
      <c r="G16" s="128">
        <f ca="1">Table1_Totals!G16</f>
        <v>9453.003968897181</v>
      </c>
      <c r="H16" s="128">
        <f ca="1">Table1_Totals!H16</f>
        <v>2066.3379285181368</v>
      </c>
      <c r="I16" s="129"/>
      <c r="J16" s="128">
        <f ca="1">Table1_Totals!J16</f>
        <v>0</v>
      </c>
      <c r="K16" s="129"/>
    </row>
    <row r="17" spans="1:11" s="34" customFormat="1" ht="15" customHeight="1" x14ac:dyDescent="0.25">
      <c r="A17" s="18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4"/>
      <c r="B18" s="34" t="s">
        <v>184</v>
      </c>
      <c r="C18" s="11" t="s">
        <v>16</v>
      </c>
      <c r="D18" s="127">
        <f t="shared" ca="1" si="0"/>
        <v>4172.7269999999999</v>
      </c>
      <c r="E18" s="128">
        <f ca="1">Table1_Totals!E18</f>
        <v>4172.7269999999999</v>
      </c>
      <c r="F18" s="129"/>
      <c r="G18" s="128">
        <f ca="1">Table1_Totals!G18</f>
        <v>0</v>
      </c>
      <c r="H18" s="128">
        <f ca="1">Table1_Totals!H18</f>
        <v>0</v>
      </c>
      <c r="I18" s="129"/>
      <c r="J18" s="128">
        <f ca="1">Table1_Totals!J18</f>
        <v>0</v>
      </c>
      <c r="K18" s="129"/>
    </row>
    <row r="19" spans="1:11" ht="24" customHeight="1" x14ac:dyDescent="0.25">
      <c r="A19" s="185" t="s">
        <v>171</v>
      </c>
      <c r="B19" s="186"/>
      <c r="C19" s="109" t="s">
        <v>16</v>
      </c>
      <c r="D19" s="123">
        <f t="shared" ref="D19" ca="1" si="2">SUM(E19:J19)</f>
        <v>1342115.4045999998</v>
      </c>
      <c r="E19" s="124">
        <f ca="1">SUM(E6:E10,E14)</f>
        <v>893196.3580428448</v>
      </c>
      <c r="F19" s="124">
        <f t="shared" ref="F19:J19" ca="1" si="3">SUM(F6:F10,F14)</f>
        <v>8960.3718001473771</v>
      </c>
      <c r="G19" s="124">
        <f t="shared" ca="1" si="3"/>
        <v>165766.8246200096</v>
      </c>
      <c r="H19" s="124">
        <f t="shared" ca="1" si="3"/>
        <v>88079.901630359222</v>
      </c>
      <c r="I19" s="124">
        <f t="shared" ca="1" si="3"/>
        <v>167563.36688225999</v>
      </c>
      <c r="J19" s="124">
        <f t="shared" ca="1" si="3"/>
        <v>18548.581624379003</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G1" activePane="topRight" state="frozen"/>
      <selection activeCell="DS1" sqref="DS1:ED1048576"/>
      <selection pane="topRight" activeCell="B18" sqref="B18"/>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c r="E6" s="60"/>
      <c r="F6" s="60"/>
      <c r="G6" s="60"/>
      <c r="H6" s="60"/>
      <c r="I6" s="60">
        <v>1103.9949960188737</v>
      </c>
      <c r="J6" s="60">
        <v>1125.9947468520766</v>
      </c>
      <c r="K6" s="60">
        <v>1080.0026215845405</v>
      </c>
      <c r="L6" s="60">
        <v>1052.9966860358006</v>
      </c>
      <c r="M6" s="60"/>
      <c r="N6" s="60"/>
      <c r="O6" s="60"/>
      <c r="DS6" s="4" t="str">
        <f>VLOOKUP(Cover!$D$15, Country_list!$B$3:$C$44, 2, 0)</f>
        <v>IT</v>
      </c>
      <c r="DT6" s="33" t="s">
        <v>289</v>
      </c>
      <c r="DV6" s="33" t="s">
        <v>302</v>
      </c>
      <c r="EB6" s="33" t="s">
        <v>291</v>
      </c>
      <c r="ED6" s="33" t="s">
        <v>294</v>
      </c>
    </row>
    <row r="7" spans="1:134" ht="24" customHeight="1" x14ac:dyDescent="0.25">
      <c r="A7" s="182" t="s">
        <v>15</v>
      </c>
      <c r="B7" s="199"/>
      <c r="C7" s="9" t="s">
        <v>25</v>
      </c>
      <c r="D7" s="61"/>
      <c r="E7" s="58"/>
      <c r="F7" s="58"/>
      <c r="G7" s="58"/>
      <c r="H7" s="58"/>
      <c r="I7" s="58">
        <v>33114.407765438111</v>
      </c>
      <c r="J7" s="58">
        <v>34509.230189128903</v>
      </c>
      <c r="K7" s="58">
        <v>33060.080536493355</v>
      </c>
      <c r="L7" s="58">
        <v>45310.273899001033</v>
      </c>
      <c r="M7" s="58"/>
      <c r="N7" s="58"/>
      <c r="O7" s="58"/>
      <c r="DT7" s="33" t="s">
        <v>290</v>
      </c>
      <c r="EB7" s="33" t="s">
        <v>291</v>
      </c>
      <c r="ED7" s="33" t="s">
        <v>295</v>
      </c>
    </row>
    <row r="8" spans="1:134" ht="24" customHeight="1" x14ac:dyDescent="0.25">
      <c r="A8" s="182" t="s">
        <v>29</v>
      </c>
      <c r="B8" s="199"/>
      <c r="C8" s="9" t="s">
        <v>17</v>
      </c>
      <c r="D8" s="61"/>
      <c r="E8" s="58"/>
      <c r="F8" s="58"/>
      <c r="G8" s="58"/>
      <c r="H8" s="58"/>
      <c r="I8" s="58">
        <v>610530.78820798034</v>
      </c>
      <c r="J8" s="58">
        <v>614553.25340957136</v>
      </c>
      <c r="K8" s="58">
        <v>616329.57208944077</v>
      </c>
      <c r="L8" s="58">
        <v>579091.30010757176</v>
      </c>
      <c r="M8" s="58"/>
      <c r="N8" s="58"/>
      <c r="O8" s="58"/>
      <c r="DT8" s="33" t="s">
        <v>231</v>
      </c>
      <c r="EB8" s="33" t="s">
        <v>291</v>
      </c>
      <c r="ED8" s="33" t="s">
        <v>296</v>
      </c>
    </row>
    <row r="9" spans="1:134" ht="24" customHeight="1" x14ac:dyDescent="0.25">
      <c r="A9" s="182" t="s">
        <v>156</v>
      </c>
      <c r="B9" s="199"/>
      <c r="C9" s="9" t="s">
        <v>19</v>
      </c>
      <c r="D9" s="61"/>
      <c r="E9" s="58"/>
      <c r="F9" s="58"/>
      <c r="G9" s="58"/>
      <c r="H9" s="58"/>
      <c r="I9" s="58">
        <v>0</v>
      </c>
      <c r="J9" s="58">
        <v>0</v>
      </c>
      <c r="K9" s="58">
        <v>0</v>
      </c>
      <c r="L9" s="58">
        <v>0</v>
      </c>
      <c r="M9" s="58"/>
      <c r="N9" s="58"/>
      <c r="O9" s="58"/>
      <c r="DT9" s="33" t="s">
        <v>279</v>
      </c>
      <c r="EB9" s="33" t="s">
        <v>292</v>
      </c>
      <c r="ED9" s="33" t="s">
        <v>293</v>
      </c>
    </row>
    <row r="10" spans="1:134" ht="24" customHeight="1" x14ac:dyDescent="0.25">
      <c r="A10" s="182" t="s">
        <v>20</v>
      </c>
      <c r="B10" s="199"/>
      <c r="C10" s="9" t="s">
        <v>19</v>
      </c>
      <c r="D10" s="61"/>
      <c r="E10" s="58"/>
      <c r="F10" s="58"/>
      <c r="G10" s="58"/>
      <c r="H10" s="58"/>
      <c r="I10" s="58">
        <v>1777.9379132358868</v>
      </c>
      <c r="J10" s="58">
        <v>1693.3751484979443</v>
      </c>
      <c r="K10" s="58">
        <v>1497.2087432468197</v>
      </c>
      <c r="L10" s="58">
        <v>1580.7391193689659</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v>640.54592365571432</v>
      </c>
      <c r="J11" s="113">
        <v>659.99569866550326</v>
      </c>
      <c r="K11" s="113">
        <v>670.42370545095753</v>
      </c>
      <c r="L11" s="113">
        <v>634.90840622043186</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v>1</v>
      </c>
      <c r="J12" s="113">
        <v>2</v>
      </c>
      <c r="K12" s="113">
        <v>2</v>
      </c>
      <c r="L12" s="113">
        <v>2</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v>1135.3919895801725</v>
      </c>
      <c r="J13" s="113">
        <v>1030.3794498324412</v>
      </c>
      <c r="K13" s="113">
        <v>823.78503779586219</v>
      </c>
      <c r="L13" s="113">
        <v>943.83071314853396</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v>254518.74533724773</v>
      </c>
      <c r="J14" s="58">
        <v>245701.40242173045</v>
      </c>
      <c r="K14" s="58">
        <v>273509.50665853266</v>
      </c>
      <c r="L14" s="58">
        <v>252949.26717975087</v>
      </c>
      <c r="M14" s="58"/>
      <c r="N14" s="58"/>
      <c r="O14" s="58"/>
      <c r="DT14" s="139" t="s">
        <v>284</v>
      </c>
      <c r="EB14" s="33" t="s">
        <v>291</v>
      </c>
      <c r="ED14" s="33" t="s">
        <v>295</v>
      </c>
    </row>
    <row r="15" spans="1:134" s="34" customFormat="1" ht="15" customHeight="1" x14ac:dyDescent="0.25">
      <c r="A15" s="181" t="s">
        <v>18</v>
      </c>
      <c r="B15" s="110" t="s">
        <v>26</v>
      </c>
      <c r="C15" s="111" t="s">
        <v>25</v>
      </c>
      <c r="D15" s="112"/>
      <c r="E15" s="113"/>
      <c r="F15" s="113"/>
      <c r="G15" s="113"/>
      <c r="H15" s="113"/>
      <c r="I15" s="113">
        <v>345.37505319002122</v>
      </c>
      <c r="J15" s="113">
        <v>423.35961213666781</v>
      </c>
      <c r="K15" s="113">
        <v>428.81747893760371</v>
      </c>
      <c r="L15" s="113">
        <v>403.23507716617723</v>
      </c>
      <c r="M15" s="113"/>
      <c r="N15" s="113"/>
      <c r="O15" s="113"/>
      <c r="DT15" s="34" t="s">
        <v>285</v>
      </c>
      <c r="EB15" s="34" t="s">
        <v>291</v>
      </c>
      <c r="ED15" s="34" t="s">
        <v>295</v>
      </c>
    </row>
    <row r="16" spans="1:134" s="34" customFormat="1" ht="15" customHeight="1" x14ac:dyDescent="0.25">
      <c r="A16" s="181"/>
      <c r="B16" s="110" t="s">
        <v>27</v>
      </c>
      <c r="C16" s="111" t="s">
        <v>25</v>
      </c>
      <c r="D16" s="112"/>
      <c r="E16" s="113"/>
      <c r="F16" s="113"/>
      <c r="G16" s="113"/>
      <c r="H16" s="113"/>
      <c r="I16" s="113">
        <v>254137.37028405772</v>
      </c>
      <c r="J16" s="113">
        <v>245241.04280959378</v>
      </c>
      <c r="K16" s="113">
        <v>268785.06117959507</v>
      </c>
      <c r="L16" s="113">
        <v>248332.10710258468</v>
      </c>
      <c r="M16" s="113"/>
      <c r="N16" s="113"/>
      <c r="O16" s="113"/>
      <c r="DT16" s="34" t="s">
        <v>286</v>
      </c>
      <c r="EB16" s="34" t="s">
        <v>291</v>
      </c>
      <c r="ED16" s="34" t="s">
        <v>295</v>
      </c>
    </row>
    <row r="17" spans="1:134" s="34" customFormat="1" ht="15" customHeight="1" x14ac:dyDescent="0.25">
      <c r="A17" s="181"/>
      <c r="B17" s="110" t="s">
        <v>28</v>
      </c>
      <c r="C17" s="111" t="s">
        <v>25</v>
      </c>
      <c r="D17" s="112"/>
      <c r="E17" s="112"/>
      <c r="F17" s="112"/>
      <c r="G17" s="112"/>
      <c r="H17" s="112"/>
      <c r="I17" s="112">
        <v>0</v>
      </c>
      <c r="J17" s="112">
        <v>0</v>
      </c>
      <c r="K17" s="112">
        <v>0</v>
      </c>
      <c r="L17" s="112">
        <v>0</v>
      </c>
      <c r="M17" s="112"/>
      <c r="N17" s="112"/>
      <c r="O17" s="112"/>
      <c r="DT17" s="34" t="s">
        <v>287</v>
      </c>
      <c r="EB17" s="34" t="s">
        <v>291</v>
      </c>
      <c r="ED17" s="34" t="s">
        <v>295</v>
      </c>
    </row>
    <row r="18" spans="1:134" s="34" customFormat="1" ht="15" customHeight="1" x14ac:dyDescent="0.25">
      <c r="A18" s="181"/>
      <c r="B18" s="110" t="s">
        <v>184</v>
      </c>
      <c r="C18" s="111" t="s">
        <v>25</v>
      </c>
      <c r="D18" s="112"/>
      <c r="E18" s="112"/>
      <c r="F18" s="112"/>
      <c r="G18" s="112"/>
      <c r="H18" s="112"/>
      <c r="I18" s="112"/>
      <c r="J18" s="112"/>
      <c r="K18" s="112">
        <v>4258.7690000000002</v>
      </c>
      <c r="L18" s="112">
        <v>4172.7269999999999</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I6" sqref="I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79"/>
      <c r="C6" s="8" t="s">
        <v>14</v>
      </c>
      <c r="D6" s="59"/>
      <c r="E6" s="60"/>
      <c r="F6" s="60"/>
      <c r="G6" s="60"/>
      <c r="H6" s="60"/>
      <c r="I6" s="60">
        <v>1710.0568193344113</v>
      </c>
      <c r="J6" s="60">
        <v>1665.1059488484959</v>
      </c>
      <c r="K6" s="60">
        <v>2557.0062068441389</v>
      </c>
      <c r="L6" s="60">
        <v>2488.9921667076046</v>
      </c>
      <c r="M6" s="60"/>
      <c r="N6" s="60"/>
      <c r="O6" s="60"/>
      <c r="DS6" s="4" t="str">
        <f>VLOOKUP(Cover!$D$15, Country_list!$B$3:$C$44, 2, 0)</f>
        <v>IT</v>
      </c>
      <c r="DT6" s="33" t="s">
        <v>289</v>
      </c>
      <c r="DV6" s="33" t="s">
        <v>303</v>
      </c>
      <c r="EB6" s="33" t="s">
        <v>291</v>
      </c>
      <c r="ED6" s="33" t="s">
        <v>294</v>
      </c>
    </row>
    <row r="7" spans="1:134" s="119" customFormat="1" ht="24" customHeight="1" x14ac:dyDescent="0.25">
      <c r="A7" s="200" t="s">
        <v>15</v>
      </c>
      <c r="B7" s="201"/>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0" t="s">
        <v>29</v>
      </c>
      <c r="B8" s="201"/>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0" t="s">
        <v>156</v>
      </c>
      <c r="B9" s="201"/>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0" t="s">
        <v>20</v>
      </c>
      <c r="B10" s="201"/>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2"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2"/>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2"/>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0" t="s">
        <v>24</v>
      </c>
      <c r="B14" s="201"/>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2"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2"/>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2"/>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2"/>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G1" activePane="topRight" state="frozen"/>
      <selection activeCell="DS1" sqref="DS1:ED1048576"/>
      <selection pane="topRight" activeCell="L8" sqref="L8"/>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8</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c r="E6" s="60"/>
      <c r="F6" s="60"/>
      <c r="G6" s="60"/>
      <c r="H6" s="60"/>
      <c r="I6" s="60">
        <v>6005.5931385970534</v>
      </c>
      <c r="J6" s="60">
        <v>5974.171668896226</v>
      </c>
      <c r="K6" s="60">
        <v>6345.136632202305</v>
      </c>
      <c r="L6" s="60">
        <v>6190.6651104995581</v>
      </c>
      <c r="M6" s="60"/>
      <c r="N6" s="60"/>
      <c r="O6" s="60"/>
      <c r="DS6" s="4" t="str">
        <f>VLOOKUP(Cover!$D$15, Country_list!$B$3:$C$44, 2, 0)</f>
        <v>IT</v>
      </c>
      <c r="DT6" s="33" t="s">
        <v>289</v>
      </c>
      <c r="DV6" s="33" t="s">
        <v>304</v>
      </c>
      <c r="EB6" s="33" t="s">
        <v>291</v>
      </c>
      <c r="ED6" s="33" t="s">
        <v>294</v>
      </c>
    </row>
    <row r="7" spans="1:134" ht="24" customHeight="1" x14ac:dyDescent="0.25">
      <c r="A7" s="182" t="s">
        <v>15</v>
      </c>
      <c r="B7" s="199"/>
      <c r="C7" s="9" t="s">
        <v>25</v>
      </c>
      <c r="D7" s="61"/>
      <c r="E7" s="58"/>
      <c r="F7" s="58"/>
      <c r="G7" s="58"/>
      <c r="H7" s="58"/>
      <c r="I7" s="58">
        <v>4918.5922345618828</v>
      </c>
      <c r="J7" s="58">
        <v>5125.7698108710911</v>
      </c>
      <c r="K7" s="58">
        <v>4828.0474635066457</v>
      </c>
      <c r="L7" s="58">
        <v>6687.1821009989599</v>
      </c>
      <c r="M7" s="58"/>
      <c r="N7" s="58"/>
      <c r="O7" s="58"/>
      <c r="DT7" s="33" t="s">
        <v>290</v>
      </c>
      <c r="EB7" s="33" t="s">
        <v>291</v>
      </c>
      <c r="ED7" s="33" t="s">
        <v>295</v>
      </c>
    </row>
    <row r="8" spans="1:134" ht="24" customHeight="1" x14ac:dyDescent="0.25">
      <c r="A8" s="182" t="s">
        <v>29</v>
      </c>
      <c r="B8" s="199"/>
      <c r="C8" s="9" t="s">
        <v>17</v>
      </c>
      <c r="D8" s="61"/>
      <c r="E8" s="58"/>
      <c r="F8" s="58"/>
      <c r="G8" s="58"/>
      <c r="H8" s="58"/>
      <c r="I8" s="58">
        <v>114043.29175201131</v>
      </c>
      <c r="J8" s="58">
        <v>114794.66282355681</v>
      </c>
      <c r="K8" s="58">
        <v>118485.49808163509</v>
      </c>
      <c r="L8" s="58">
        <v>119644.69083027223</v>
      </c>
      <c r="M8" s="58"/>
      <c r="N8" s="58"/>
      <c r="O8" s="58"/>
      <c r="DT8" s="33" t="s">
        <v>231</v>
      </c>
      <c r="EB8" s="33" t="s">
        <v>291</v>
      </c>
      <c r="ED8" s="33" t="s">
        <v>296</v>
      </c>
    </row>
    <row r="9" spans="1:134" ht="24" customHeight="1" x14ac:dyDescent="0.25">
      <c r="A9" s="182" t="s">
        <v>156</v>
      </c>
      <c r="B9" s="199"/>
      <c r="C9" s="9" t="s">
        <v>19</v>
      </c>
      <c r="D9" s="61"/>
      <c r="E9" s="58"/>
      <c r="F9" s="58"/>
      <c r="G9" s="58"/>
      <c r="H9" s="58"/>
      <c r="I9" s="58">
        <v>0</v>
      </c>
      <c r="J9" s="58">
        <v>0</v>
      </c>
      <c r="K9" s="58">
        <v>0</v>
      </c>
      <c r="L9" s="58">
        <v>0</v>
      </c>
      <c r="M9" s="58"/>
      <c r="N9" s="58"/>
      <c r="O9" s="58"/>
      <c r="DT9" s="33" t="s">
        <v>279</v>
      </c>
      <c r="EB9" s="33" t="s">
        <v>292</v>
      </c>
      <c r="ED9" s="33" t="s">
        <v>293</v>
      </c>
    </row>
    <row r="10" spans="1:134" ht="24" customHeight="1" x14ac:dyDescent="0.25">
      <c r="A10" s="182" t="s">
        <v>20</v>
      </c>
      <c r="B10" s="199"/>
      <c r="C10" s="9" t="s">
        <v>19</v>
      </c>
      <c r="D10" s="61"/>
      <c r="E10" s="58"/>
      <c r="F10" s="58"/>
      <c r="G10" s="58"/>
      <c r="H10" s="58"/>
      <c r="I10" s="58">
        <v>294.9192009231474</v>
      </c>
      <c r="J10" s="58">
        <v>287.95131123272051</v>
      </c>
      <c r="K10" s="58">
        <v>274.85120942672</v>
      </c>
      <c r="L10" s="58">
        <v>300.40645835285352</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v>165.31119050331995</v>
      </c>
      <c r="J11" s="113">
        <v>170.33076106516168</v>
      </c>
      <c r="K11" s="113">
        <v>178.07024722258234</v>
      </c>
      <c r="L11" s="113">
        <v>181.23717150138745</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v>129.60801041982742</v>
      </c>
      <c r="J13" s="113">
        <v>117.62055016755882</v>
      </c>
      <c r="K13" s="113">
        <v>96.780962204137651</v>
      </c>
      <c r="L13" s="113">
        <v>119.1692868514661</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v>15212.611923241855</v>
      </c>
      <c r="J14" s="58">
        <v>15110.979978317137</v>
      </c>
      <c r="K14" s="58">
        <v>16270.981144034306</v>
      </c>
      <c r="L14" s="58">
        <v>15816.970891731004</v>
      </c>
      <c r="M14" s="58"/>
      <c r="N14" s="58"/>
      <c r="O14" s="58"/>
      <c r="DT14" s="139" t="s">
        <v>284</v>
      </c>
      <c r="EB14" s="33" t="s">
        <v>291</v>
      </c>
      <c r="ED14" s="33" t="s">
        <v>295</v>
      </c>
    </row>
    <row r="15" spans="1:134" s="34" customFormat="1" ht="15" customHeight="1" x14ac:dyDescent="0.25">
      <c r="A15" s="181" t="s">
        <v>18</v>
      </c>
      <c r="B15" s="110" t="s">
        <v>26</v>
      </c>
      <c r="C15" s="111" t="s">
        <v>25</v>
      </c>
      <c r="D15" s="112"/>
      <c r="E15" s="113"/>
      <c r="F15" s="113"/>
      <c r="G15" s="113"/>
      <c r="H15" s="113"/>
      <c r="I15" s="113">
        <v>5538.6249468099795</v>
      </c>
      <c r="J15" s="113">
        <v>5775.6403878633328</v>
      </c>
      <c r="K15" s="113">
        <v>6039.4155210623958</v>
      </c>
      <c r="L15" s="113">
        <v>6363.9669228338225</v>
      </c>
      <c r="M15" s="113"/>
      <c r="N15" s="113"/>
      <c r="O15" s="113"/>
      <c r="DT15" s="34" t="s">
        <v>285</v>
      </c>
      <c r="EB15" s="34" t="s">
        <v>291</v>
      </c>
      <c r="ED15" s="34" t="s">
        <v>295</v>
      </c>
    </row>
    <row r="16" spans="1:134" s="34" customFormat="1" ht="15" customHeight="1" x14ac:dyDescent="0.25">
      <c r="A16" s="181"/>
      <c r="B16" s="110" t="s">
        <v>27</v>
      </c>
      <c r="C16" s="111" t="s">
        <v>25</v>
      </c>
      <c r="D16" s="112"/>
      <c r="E16" s="113"/>
      <c r="F16" s="113"/>
      <c r="G16" s="113"/>
      <c r="H16" s="113"/>
      <c r="I16" s="113">
        <v>9673.9869764318755</v>
      </c>
      <c r="J16" s="113">
        <v>9335.3395904538047</v>
      </c>
      <c r="K16" s="113">
        <v>10231.56562297191</v>
      </c>
      <c r="L16" s="113">
        <v>9453.003968897181</v>
      </c>
      <c r="M16" s="113"/>
      <c r="N16" s="113"/>
      <c r="O16" s="113"/>
      <c r="DT16" s="34" t="s">
        <v>286</v>
      </c>
      <c r="EB16" s="34" t="s">
        <v>291</v>
      </c>
      <c r="ED16" s="34" t="s">
        <v>295</v>
      </c>
    </row>
    <row r="17" spans="1:134" s="34" customFormat="1" ht="15" customHeight="1" x14ac:dyDescent="0.25">
      <c r="A17" s="181"/>
      <c r="B17" s="110" t="s">
        <v>28</v>
      </c>
      <c r="C17" s="111" t="s">
        <v>25</v>
      </c>
      <c r="D17" s="112"/>
      <c r="E17" s="112"/>
      <c r="F17" s="112"/>
      <c r="G17" s="112"/>
      <c r="H17" s="112"/>
      <c r="I17" s="112">
        <v>0</v>
      </c>
      <c r="J17" s="112">
        <v>0</v>
      </c>
      <c r="K17" s="112">
        <v>0</v>
      </c>
      <c r="L17" s="112">
        <v>0</v>
      </c>
      <c r="M17" s="112"/>
      <c r="N17" s="112"/>
      <c r="O17" s="112"/>
      <c r="DT17" s="34" t="s">
        <v>287</v>
      </c>
      <c r="EB17" s="34" t="s">
        <v>291</v>
      </c>
      <c r="ED17" s="34" t="s">
        <v>295</v>
      </c>
    </row>
    <row r="18" spans="1:134" s="34" customFormat="1" ht="15" customHeight="1" x14ac:dyDescent="0.25">
      <c r="A18" s="181"/>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G1" activePane="topRight" state="frozen"/>
      <selection activeCell="DS1" sqref="DS1:ED1048576"/>
      <selection pane="topRight" activeCell="L8" sqref="L8"/>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9</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c r="E6" s="60"/>
      <c r="F6" s="60"/>
      <c r="G6" s="60"/>
      <c r="H6" s="60"/>
      <c r="I6" s="60">
        <v>3654.3652736293998</v>
      </c>
      <c r="J6" s="60">
        <v>3655.1113327449648</v>
      </c>
      <c r="K6" s="60">
        <v>3349.8171293414971</v>
      </c>
      <c r="L6" s="60">
        <v>3707.3775626906449</v>
      </c>
      <c r="M6" s="60"/>
      <c r="N6" s="60"/>
      <c r="O6" s="60"/>
      <c r="DS6" s="4" t="str">
        <f>VLOOKUP(Cover!$D$15, Country_list!$B$3:$C$44, 2, 0)</f>
        <v>IT</v>
      </c>
      <c r="DT6" s="33" t="s">
        <v>289</v>
      </c>
      <c r="DV6" s="33" t="s">
        <v>305</v>
      </c>
      <c r="EB6" s="33" t="s">
        <v>291</v>
      </c>
      <c r="ED6" s="33" t="s">
        <v>294</v>
      </c>
    </row>
    <row r="7" spans="1:134" ht="24" customHeight="1" x14ac:dyDescent="0.25">
      <c r="A7" s="182" t="s">
        <v>15</v>
      </c>
      <c r="B7" s="199"/>
      <c r="C7" s="9" t="s">
        <v>25</v>
      </c>
      <c r="D7" s="61"/>
      <c r="E7" s="58"/>
      <c r="F7" s="58"/>
      <c r="G7" s="58"/>
      <c r="H7" s="58"/>
      <c r="I7" s="58">
        <v>0</v>
      </c>
      <c r="J7" s="58">
        <v>0</v>
      </c>
      <c r="K7" s="58">
        <v>0</v>
      </c>
      <c r="L7" s="58">
        <v>0</v>
      </c>
      <c r="M7" s="58"/>
      <c r="N7" s="58"/>
      <c r="O7" s="58"/>
      <c r="DT7" s="33" t="s">
        <v>290</v>
      </c>
      <c r="EB7" s="33" t="s">
        <v>291</v>
      </c>
      <c r="ED7" s="33" t="s">
        <v>295</v>
      </c>
    </row>
    <row r="8" spans="1:134" ht="24" customHeight="1" x14ac:dyDescent="0.25">
      <c r="A8" s="182" t="s">
        <v>29</v>
      </c>
      <c r="B8" s="199"/>
      <c r="C8" s="9" t="s">
        <v>17</v>
      </c>
      <c r="D8" s="61"/>
      <c r="E8" s="58"/>
      <c r="F8" s="58"/>
      <c r="G8" s="58"/>
      <c r="H8" s="58"/>
      <c r="I8" s="58">
        <v>65593.92004000835</v>
      </c>
      <c r="J8" s="58">
        <v>66026.08376687186</v>
      </c>
      <c r="K8" s="58">
        <v>68148.929828924069</v>
      </c>
      <c r="L8" s="58">
        <v>68815.659062156003</v>
      </c>
      <c r="M8" s="58"/>
      <c r="N8" s="58"/>
      <c r="O8" s="58"/>
      <c r="DT8" s="33" t="s">
        <v>231</v>
      </c>
      <c r="EB8" s="33" t="s">
        <v>291</v>
      </c>
      <c r="ED8" s="33" t="s">
        <v>296</v>
      </c>
    </row>
    <row r="9" spans="1:134" ht="24" customHeight="1" x14ac:dyDescent="0.25">
      <c r="A9" s="182" t="s">
        <v>156</v>
      </c>
      <c r="B9" s="199"/>
      <c r="C9" s="9" t="s">
        <v>19</v>
      </c>
      <c r="D9" s="61"/>
      <c r="E9" s="58"/>
      <c r="F9" s="58"/>
      <c r="G9" s="58"/>
      <c r="H9" s="58"/>
      <c r="I9" s="58">
        <v>0</v>
      </c>
      <c r="J9" s="58">
        <v>0</v>
      </c>
      <c r="K9" s="58">
        <v>0</v>
      </c>
      <c r="L9" s="58">
        <v>0</v>
      </c>
      <c r="M9" s="58"/>
      <c r="N9" s="58"/>
      <c r="O9" s="58"/>
      <c r="DT9" s="33" t="s">
        <v>279</v>
      </c>
      <c r="EB9" s="33" t="s">
        <v>292</v>
      </c>
      <c r="ED9" s="33" t="s">
        <v>293</v>
      </c>
    </row>
    <row r="10" spans="1:134" ht="24" customHeight="1" x14ac:dyDescent="0.25">
      <c r="A10" s="182" t="s">
        <v>20</v>
      </c>
      <c r="B10" s="199"/>
      <c r="C10" s="9" t="s">
        <v>19</v>
      </c>
      <c r="D10" s="61"/>
      <c r="E10" s="58"/>
      <c r="F10" s="58"/>
      <c r="G10" s="58"/>
      <c r="H10" s="58"/>
      <c r="I10" s="58">
        <v>182.14288584096565</v>
      </c>
      <c r="J10" s="58">
        <v>187.67354026933506</v>
      </c>
      <c r="K10" s="58">
        <v>196.20104732646007</v>
      </c>
      <c r="L10" s="58">
        <v>199.69042227818062</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v>182.14288584096565</v>
      </c>
      <c r="J11" s="113">
        <v>187.67354026933506</v>
      </c>
      <c r="K11" s="113">
        <v>196.20104732646007</v>
      </c>
      <c r="L11" s="113">
        <v>199.69042227818062</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v>0</v>
      </c>
      <c r="J13" s="113">
        <v>0</v>
      </c>
      <c r="K13" s="113">
        <v>0</v>
      </c>
      <c r="L13" s="113">
        <v>0</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v>3870.2427395104278</v>
      </c>
      <c r="J14" s="58">
        <v>3888.6175999524203</v>
      </c>
      <c r="K14" s="58">
        <v>3899.7241974330454</v>
      </c>
      <c r="L14" s="58">
        <v>3960.907528518137</v>
      </c>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v>0</v>
      </c>
      <c r="J15" s="113">
        <v>0</v>
      </c>
      <c r="K15" s="113">
        <v>0</v>
      </c>
      <c r="L15" s="113">
        <v>0</v>
      </c>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v>2114.6427395104274</v>
      </c>
      <c r="J16" s="113">
        <v>2040.6175999524205</v>
      </c>
      <c r="K16" s="113">
        <v>2236.5241974330452</v>
      </c>
      <c r="L16" s="113">
        <v>2066.3379285181368</v>
      </c>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v>0</v>
      </c>
      <c r="J17" s="113">
        <v>0</v>
      </c>
      <c r="K17" s="113">
        <v>0</v>
      </c>
      <c r="L17" s="113">
        <v>0</v>
      </c>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I6" sqref="I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6" t="s">
        <v>13</v>
      </c>
      <c r="B6" s="207"/>
      <c r="C6" s="32" t="s">
        <v>14</v>
      </c>
      <c r="D6" s="62"/>
      <c r="E6" s="63"/>
      <c r="F6" s="63"/>
      <c r="G6" s="63"/>
      <c r="H6" s="63"/>
      <c r="I6" s="63">
        <v>48275.014420653373</v>
      </c>
      <c r="J6" s="63">
        <v>47045.628257858742</v>
      </c>
      <c r="K6" s="63">
        <v>46887.822615481258</v>
      </c>
      <c r="L6" s="63">
        <v>46545.37968951666</v>
      </c>
      <c r="M6" s="63"/>
      <c r="N6" s="63"/>
      <c r="O6" s="63"/>
      <c r="DS6" s="4" t="str">
        <f>VLOOKUP(Cover!$D$15, Country_list!$B$3:$C$44, 2, 0)</f>
        <v>IT</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I6" sqref="I6: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208"/>
      <c r="C6" s="8" t="s">
        <v>14</v>
      </c>
      <c r="D6" s="59"/>
      <c r="E6" s="60"/>
      <c r="F6" s="60"/>
      <c r="G6" s="60"/>
      <c r="H6" s="60"/>
      <c r="I6" s="60">
        <v>5437.9753517668796</v>
      </c>
      <c r="J6" s="60">
        <v>4837.9880447994983</v>
      </c>
      <c r="K6" s="60">
        <v>5270.9127945462533</v>
      </c>
      <c r="L6" s="60">
        <v>5152.3837845497228</v>
      </c>
      <c r="M6" s="60"/>
      <c r="N6" s="60"/>
      <c r="O6" s="60"/>
      <c r="DS6" s="4" t="str">
        <f>VLOOKUP(Cover!$D$15, Country_list!$B$3:$C$44, 2, 0)</f>
        <v>IT</v>
      </c>
      <c r="DT6" s="33" t="s">
        <v>289</v>
      </c>
      <c r="DV6" s="33" t="s">
        <v>307</v>
      </c>
      <c r="EB6" s="33" t="s">
        <v>291</v>
      </c>
      <c r="ED6" s="33" t="s">
        <v>294</v>
      </c>
    </row>
    <row r="7" spans="1:134" ht="24" customHeight="1" x14ac:dyDescent="0.25">
      <c r="A7" s="182" t="s">
        <v>15</v>
      </c>
      <c r="B7" s="209"/>
      <c r="C7" s="9" t="s">
        <v>25</v>
      </c>
      <c r="D7" s="61"/>
      <c r="E7" s="58"/>
      <c r="F7" s="58"/>
      <c r="G7" s="58"/>
      <c r="H7" s="58"/>
      <c r="I7" s="58"/>
      <c r="J7" s="58"/>
      <c r="K7" s="58"/>
      <c r="L7" s="58"/>
      <c r="M7" s="58"/>
      <c r="N7" s="58"/>
      <c r="O7" s="58"/>
      <c r="DT7" s="33" t="s">
        <v>290</v>
      </c>
      <c r="EB7" s="33" t="s">
        <v>291</v>
      </c>
      <c r="ED7" s="33" t="s">
        <v>295</v>
      </c>
    </row>
    <row r="8" spans="1:134" ht="24" customHeight="1" x14ac:dyDescent="0.25">
      <c r="A8" s="182" t="s">
        <v>29</v>
      </c>
      <c r="B8" s="209"/>
      <c r="C8" s="9" t="s">
        <v>17</v>
      </c>
      <c r="D8" s="61"/>
      <c r="E8" s="58"/>
      <c r="F8" s="58"/>
      <c r="G8" s="58"/>
      <c r="H8" s="58"/>
      <c r="I8" s="58"/>
      <c r="J8" s="58"/>
      <c r="K8" s="58"/>
      <c r="L8" s="58"/>
      <c r="M8" s="58"/>
      <c r="N8" s="58"/>
      <c r="O8" s="58"/>
      <c r="DT8" s="33" t="s">
        <v>231</v>
      </c>
      <c r="EB8" s="33" t="s">
        <v>291</v>
      </c>
      <c r="ED8" s="33" t="s">
        <v>296</v>
      </c>
    </row>
    <row r="9" spans="1:134" ht="24" customHeight="1" x14ac:dyDescent="0.25">
      <c r="A9" s="182" t="s">
        <v>156</v>
      </c>
      <c r="B9" s="199"/>
      <c r="C9" s="9" t="s">
        <v>19</v>
      </c>
      <c r="D9" s="61"/>
      <c r="E9" s="58"/>
      <c r="F9" s="58"/>
      <c r="G9" s="58"/>
      <c r="H9" s="58"/>
      <c r="I9" s="58"/>
      <c r="J9" s="58"/>
      <c r="K9" s="58"/>
      <c r="L9" s="58"/>
      <c r="M9" s="58"/>
      <c r="N9" s="58"/>
      <c r="O9" s="58"/>
      <c r="DT9" s="33" t="s">
        <v>279</v>
      </c>
      <c r="EB9" s="33" t="s">
        <v>292</v>
      </c>
      <c r="ED9" s="33" t="s">
        <v>293</v>
      </c>
    </row>
    <row r="10" spans="1:134" ht="24" customHeight="1" x14ac:dyDescent="0.25">
      <c r="A10" s="182" t="s">
        <v>20</v>
      </c>
      <c r="B10" s="199"/>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Normal="10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0" t="s">
        <v>44</v>
      </c>
      <c r="C3" s="211"/>
      <c r="D3" s="212"/>
    </row>
    <row r="4" spans="2:4" ht="15.75" thickBot="1" x14ac:dyDescent="0.3"/>
    <row r="5" spans="2:4" ht="15" customHeight="1" x14ac:dyDescent="0.25">
      <c r="B5" s="39"/>
      <c r="C5" s="213"/>
      <c r="D5" s="95"/>
    </row>
    <row r="6" spans="2:4" x14ac:dyDescent="0.25">
      <c r="B6" s="40"/>
      <c r="C6" s="214"/>
      <c r="D6" s="41"/>
    </row>
    <row r="7" spans="2:4" x14ac:dyDescent="0.25">
      <c r="B7" s="40"/>
      <c r="C7" s="214"/>
      <c r="D7" s="41"/>
    </row>
    <row r="8" spans="2:4" x14ac:dyDescent="0.25">
      <c r="B8" s="40"/>
      <c r="C8" s="214"/>
      <c r="D8" s="41"/>
    </row>
    <row r="9" spans="2:4" x14ac:dyDescent="0.25">
      <c r="B9" s="40"/>
      <c r="C9" s="214"/>
      <c r="D9" s="41"/>
    </row>
    <row r="10" spans="2:4" x14ac:dyDescent="0.25">
      <c r="B10" s="40"/>
      <c r="C10" s="214"/>
      <c r="D10" s="41"/>
    </row>
    <row r="11" spans="2:4" x14ac:dyDescent="0.25">
      <c r="B11" s="40"/>
      <c r="C11" s="214"/>
      <c r="D11" s="41"/>
    </row>
    <row r="12" spans="2:4" x14ac:dyDescent="0.25">
      <c r="B12" s="40"/>
      <c r="C12" s="214"/>
      <c r="D12" s="41"/>
    </row>
    <row r="13" spans="2:4" x14ac:dyDescent="0.25">
      <c r="B13" s="40"/>
      <c r="C13" s="214"/>
      <c r="D13" s="41"/>
    </row>
    <row r="14" spans="2:4" x14ac:dyDescent="0.25">
      <c r="B14" s="40"/>
      <c r="C14" s="214"/>
      <c r="D14" s="41"/>
    </row>
    <row r="15" spans="2:4" x14ac:dyDescent="0.25">
      <c r="B15" s="40"/>
      <c r="C15" s="214"/>
      <c r="D15" s="41"/>
    </row>
    <row r="16" spans="2:4" x14ac:dyDescent="0.25">
      <c r="B16" s="40"/>
      <c r="C16" s="214"/>
      <c r="D16" s="41"/>
    </row>
    <row r="17" spans="2:4" x14ac:dyDescent="0.25">
      <c r="B17" s="40"/>
      <c r="C17" s="214"/>
      <c r="D17" s="41"/>
    </row>
    <row r="18" spans="2:4" x14ac:dyDescent="0.25">
      <c r="B18" s="40"/>
      <c r="C18" s="214"/>
      <c r="D18" s="41"/>
    </row>
    <row r="19" spans="2:4" x14ac:dyDescent="0.25">
      <c r="B19" s="40"/>
      <c r="C19" s="214"/>
      <c r="D19" s="41"/>
    </row>
    <row r="20" spans="2:4" x14ac:dyDescent="0.25">
      <c r="B20" s="40"/>
      <c r="C20" s="214"/>
      <c r="D20" s="41"/>
    </row>
    <row r="21" spans="2:4" x14ac:dyDescent="0.25">
      <c r="B21" s="40"/>
      <c r="C21" s="214"/>
      <c r="D21" s="41"/>
    </row>
    <row r="22" spans="2:4" x14ac:dyDescent="0.25">
      <c r="B22" s="40"/>
      <c r="C22" s="214"/>
      <c r="D22" s="41"/>
    </row>
    <row r="23" spans="2:4" x14ac:dyDescent="0.25">
      <c r="B23" s="40"/>
      <c r="C23" s="214"/>
      <c r="D23" s="41"/>
    </row>
    <row r="24" spans="2:4" x14ac:dyDescent="0.25">
      <c r="B24" s="40"/>
      <c r="C24" s="214"/>
      <c r="D24" s="41"/>
    </row>
    <row r="25" spans="2:4" x14ac:dyDescent="0.25">
      <c r="B25" s="40"/>
      <c r="C25" s="214"/>
      <c r="D25" s="41"/>
    </row>
    <row r="26" spans="2:4" x14ac:dyDescent="0.25">
      <c r="B26" s="40"/>
      <c r="C26" s="214"/>
      <c r="D26" s="41"/>
    </row>
    <row r="27" spans="2:4" x14ac:dyDescent="0.25">
      <c r="B27" s="40"/>
      <c r="C27" s="214"/>
      <c r="D27" s="41"/>
    </row>
    <row r="28" spans="2:4" x14ac:dyDescent="0.25">
      <c r="B28" s="40"/>
      <c r="C28" s="214"/>
      <c r="D28" s="41"/>
    </row>
    <row r="29" spans="2:4" x14ac:dyDescent="0.25">
      <c r="B29" s="40"/>
      <c r="C29" s="214"/>
      <c r="D29" s="41"/>
    </row>
    <row r="30" spans="2:4" x14ac:dyDescent="0.25">
      <c r="B30" s="40"/>
      <c r="C30" s="214"/>
      <c r="D30" s="41"/>
    </row>
    <row r="31" spans="2:4" x14ac:dyDescent="0.25">
      <c r="B31" s="40"/>
      <c r="C31" s="214"/>
      <c r="D31" s="41"/>
    </row>
    <row r="32" spans="2:4" x14ac:dyDescent="0.25">
      <c r="B32" s="40"/>
      <c r="C32" s="214"/>
      <c r="D32" s="41"/>
    </row>
    <row r="33" spans="2:4" x14ac:dyDescent="0.25">
      <c r="B33" s="40"/>
      <c r="C33" s="214"/>
      <c r="D33" s="41"/>
    </row>
    <row r="34" spans="2:4" x14ac:dyDescent="0.25">
      <c r="B34" s="40"/>
      <c r="C34" s="214"/>
      <c r="D34" s="41"/>
    </row>
    <row r="35" spans="2:4" x14ac:dyDescent="0.25">
      <c r="B35" s="40"/>
      <c r="C35" s="214"/>
      <c r="D35" s="41"/>
    </row>
    <row r="36" spans="2:4" x14ac:dyDescent="0.25">
      <c r="B36" s="40"/>
      <c r="C36" s="214"/>
      <c r="D36" s="41"/>
    </row>
    <row r="37" spans="2:4" x14ac:dyDescent="0.25">
      <c r="B37" s="40"/>
      <c r="C37" s="214"/>
      <c r="D37" s="41"/>
    </row>
    <row r="38" spans="2:4" x14ac:dyDescent="0.25">
      <c r="B38" s="40"/>
      <c r="C38" s="214"/>
      <c r="D38" s="41"/>
    </row>
    <row r="39" spans="2:4" x14ac:dyDescent="0.25">
      <c r="B39" s="40"/>
      <c r="C39" s="214"/>
      <c r="D39" s="41"/>
    </row>
    <row r="40" spans="2:4" x14ac:dyDescent="0.25">
      <c r="B40" s="40"/>
      <c r="C40" s="214"/>
      <c r="D40" s="41"/>
    </row>
    <row r="41" spans="2:4" x14ac:dyDescent="0.25">
      <c r="B41" s="40"/>
      <c r="C41" s="214"/>
      <c r="D41" s="41"/>
    </row>
    <row r="42" spans="2:4" x14ac:dyDescent="0.25">
      <c r="B42" s="40"/>
      <c r="C42" s="214"/>
      <c r="D42" s="41"/>
    </row>
    <row r="43" spans="2:4" ht="15.75" thickBot="1" x14ac:dyDescent="0.3">
      <c r="B43" s="42"/>
      <c r="C43" s="215"/>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B1" zoomScale="90" zoomScaleNormal="90" workbookViewId="0">
      <selection activeCell="I49" sqref="I49"/>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
      </c>
      <c r="J42" s="99" t="str">
        <f>IF(Calorific_Values!K9&lt;&gt;0,IF(AND(5000&lt;=Calorific_Values!K9,Calorific_Values!K9&lt;=30000),"TRUE","FALSE"),"")</f>
        <v/>
      </c>
      <c r="K42" s="99" t="str">
        <f>IF(Calorific_Values!L9&lt;&gt;0,IF(AND(5000&lt;=Calorific_Values!L9,Calorific_Values!L9&lt;=30000),"TRUE","FALSE"),"")</f>
        <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2020-01-30T14:09:36Z</dcterms:modified>
  <cp:category>Annual questionnaires</cp:category>
</cp:coreProperties>
</file>