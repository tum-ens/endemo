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105" yWindow="-105" windowWidth="23250" windowHeight="1272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E17" i="5"/>
  <c r="G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1"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G18" i="5"/>
  <c r="H14" i="5"/>
  <c r="G13" i="5"/>
  <c r="E14" i="5"/>
  <c r="G8" i="5"/>
  <c r="H7" i="5"/>
  <c r="H15" i="5"/>
  <c r="G10" i="5"/>
  <c r="J12" i="5"/>
  <c r="G16" i="5"/>
  <c r="E6" i="5"/>
  <c r="E13" i="5"/>
  <c r="G12" i="5"/>
  <c r="K9" i="5"/>
  <c r="J10" i="5"/>
  <c r="J13" i="5"/>
  <c r="J11" i="5"/>
  <c r="H9" i="5"/>
  <c r="F6" i="5"/>
  <c r="H13" i="5"/>
  <c r="J9" i="5"/>
  <c r="J16" i="5"/>
  <c r="E11" i="5"/>
  <c r="G11" i="5"/>
  <c r="G14" i="5"/>
  <c r="E16" i="5"/>
  <c r="G6" i="5"/>
  <c r="J15" i="5"/>
  <c r="J6" i="5"/>
  <c r="H12" i="5"/>
  <c r="H11" i="5"/>
  <c r="G15" i="5"/>
  <c r="J14" i="5"/>
  <c r="E9" i="5"/>
  <c r="J7" i="5"/>
  <c r="E15" i="5"/>
  <c r="E18" i="5"/>
  <c r="H6" i="5"/>
  <c r="H8" i="5"/>
  <c r="G7" i="5"/>
  <c r="H10" i="5"/>
  <c r="J8" i="5"/>
  <c r="I6" i="5"/>
  <c r="H16" i="5"/>
  <c r="E8" i="5"/>
  <c r="G9" i="5"/>
  <c r="E7" i="5"/>
  <c r="E12" i="5"/>
  <c r="J18" i="5"/>
  <c r="H18"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<sst xmlns="http://schemas.openxmlformats.org/spreadsheetml/2006/main" count="952" uniqueCount="315">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</sst>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8">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165" fontId="8" fillId="5" borderId="3" xfId="7" applyNumberFormat="1" applyFont="1" applyFill="1" applyBorder="1" applyAlignment="1" applyProtection="1">
      <alignment horizontal="right" vertical="center"/>
      <protection hidden="1"/>
    </xf>
    <xf numFmtId="165" fontId="2" fillId="4" borderId="2" xfId="7" applyNumberFormat="1" applyFont="1" applyFill="1" applyBorder="1" applyAlignment="1" applyProtection="1">
      <alignment horizontal="righ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v>0</v>
          </cell>
          <cell r="AB19">
            <v>0</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v>0</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v>0</v>
          </cell>
          <cell r="AB24">
            <v>0</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6" zoomScale="90" zoomScaleNormal="90" workbookViewId="0">
      <selection activeCell="F21" sqref="F21"/>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60" t="s">
        <v>144</v>
      </c>
      <c r="B13" s="160"/>
      <c r="C13" s="160"/>
      <c r="D13" s="160"/>
      <c r="E13" s="160"/>
    </row>
    <row r="14" spans="1:5" ht="15" customHeight="1" thickBot="1" x14ac:dyDescent="0.3">
      <c r="A14" s="23"/>
      <c r="B14" s="24"/>
      <c r="C14" s="24"/>
      <c r="D14" s="24"/>
      <c r="E14" s="24"/>
    </row>
    <row r="15" spans="1:5" ht="21" customHeight="1" thickBot="1" x14ac:dyDescent="0.3">
      <c r="A15" s="23"/>
      <c r="B15" s="23"/>
      <c r="C15" s="51" t="s">
        <v>32</v>
      </c>
      <c r="D15" s="56" t="s">
        <v>53</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61"/>
      <c r="D19" s="162"/>
      <c r="E19" s="23"/>
    </row>
    <row r="20" spans="1:5" ht="15" customHeight="1" thickBot="1" x14ac:dyDescent="0.3">
      <c r="A20" s="23"/>
      <c r="B20" s="27"/>
      <c r="C20" s="24"/>
      <c r="D20" s="24"/>
      <c r="E20" s="23"/>
    </row>
    <row r="21" spans="1:5" ht="21" customHeight="1" thickBot="1" x14ac:dyDescent="0.3">
      <c r="A21" s="23"/>
      <c r="B21" s="27" t="s">
        <v>35</v>
      </c>
      <c r="C21" s="161"/>
      <c r="D21" s="162"/>
      <c r="E21" s="23"/>
    </row>
    <row r="22" spans="1:5" ht="15" customHeight="1" thickBot="1" x14ac:dyDescent="0.3">
      <c r="A22" s="23"/>
      <c r="B22" s="27"/>
      <c r="C22" s="24"/>
      <c r="D22" s="24"/>
      <c r="E22" s="23"/>
    </row>
    <row r="23" spans="1:5" ht="21" customHeight="1" thickBot="1" x14ac:dyDescent="0.3">
      <c r="A23" s="23"/>
      <c r="B23" s="27" t="s">
        <v>36</v>
      </c>
      <c r="C23" s="161"/>
      <c r="D23" s="162"/>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9" t="s">
        <v>142</v>
      </c>
      <c r="B37" s="159"/>
      <c r="C37" s="159"/>
      <c r="D37" s="159"/>
      <c r="E37" s="159"/>
    </row>
    <row r="38" spans="1:5" ht="15" customHeight="1" x14ac:dyDescent="0.25">
      <c r="A38" s="53"/>
      <c r="B38" s="53"/>
      <c r="C38" s="53"/>
      <c r="D38" s="53"/>
      <c r="E38" s="53"/>
    </row>
    <row r="39" spans="1:5" ht="21" customHeight="1" x14ac:dyDescent="0.25">
      <c r="A39" s="159" t="s">
        <v>39</v>
      </c>
      <c r="B39" s="159"/>
      <c r="C39" s="159"/>
      <c r="D39" s="159"/>
      <c r="E39" s="159"/>
    </row>
    <row r="40" spans="1:5" ht="45" customHeight="1" x14ac:dyDescent="0.25">
      <c r="A40" s="159" t="s">
        <v>148</v>
      </c>
      <c r="B40" s="159"/>
      <c r="C40" s="159"/>
      <c r="D40" s="159"/>
      <c r="E40" s="159"/>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24" zoomScale="90" zoomScaleNormal="90" workbookViewId="0">
      <selection activeCell="C34" sqref="C34"/>
    </sheetView>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3" t="s">
        <v>145</v>
      </c>
      <c r="C2" s="164"/>
    </row>
    <row r="3" spans="2:3" ht="9.75" customHeight="1" x14ac:dyDescent="0.25">
      <c r="B3" s="64"/>
      <c r="C3" s="65"/>
    </row>
    <row r="4" spans="2:3" ht="36" customHeight="1" x14ac:dyDescent="0.25">
      <c r="B4" s="165" t="s">
        <v>82</v>
      </c>
      <c r="C4" s="66" t="s">
        <v>83</v>
      </c>
    </row>
    <row r="5" spans="2:3" ht="36" customHeight="1" x14ac:dyDescent="0.25">
      <c r="B5" s="166"/>
      <c r="C5" s="67" t="s">
        <v>134</v>
      </c>
    </row>
    <row r="6" spans="2:3" ht="36" customHeight="1" x14ac:dyDescent="0.25">
      <c r="B6" s="166"/>
      <c r="C6" s="67" t="s">
        <v>146</v>
      </c>
    </row>
    <row r="7" spans="2:3" ht="45" customHeight="1" x14ac:dyDescent="0.25">
      <c r="B7" s="167"/>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8" t="s">
        <v>29</v>
      </c>
      <c r="C15" s="67" t="s">
        <v>312</v>
      </c>
    </row>
    <row r="16" spans="2:3" ht="63" customHeight="1" x14ac:dyDescent="0.25">
      <c r="B16" s="169"/>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70" t="s">
        <v>115</v>
      </c>
      <c r="C31" s="67" t="s">
        <v>311</v>
      </c>
    </row>
    <row r="32" spans="2:3" ht="105" customHeight="1" x14ac:dyDescent="0.25">
      <c r="B32" s="171"/>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70" t="s">
        <v>117</v>
      </c>
      <c r="C41" s="67" t="s">
        <v>127</v>
      </c>
    </row>
    <row r="42" spans="1:3" ht="59.25" customHeight="1" x14ac:dyDescent="0.25">
      <c r="B42" s="171"/>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9" sqref="L9"/>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7" t="s">
        <v>0</v>
      </c>
      <c r="B1" s="178"/>
      <c r="C1" s="20"/>
      <c r="D1" s="1"/>
      <c r="E1" s="2"/>
      <c r="F1" s="2"/>
      <c r="G1" s="2"/>
      <c r="H1" s="2"/>
      <c r="I1" s="2"/>
      <c r="J1" s="2"/>
      <c r="K1" s="2"/>
      <c r="L1" s="2"/>
      <c r="M1" s="2"/>
      <c r="N1" s="2"/>
      <c r="O1" s="2"/>
    </row>
    <row r="2" spans="1:134" ht="18" customHeight="1" x14ac:dyDescent="0.25">
      <c r="A2" s="179"/>
      <c r="B2" s="180"/>
      <c r="C2" s="1"/>
      <c r="D2" s="1"/>
      <c r="E2" s="5"/>
      <c r="F2" s="3"/>
      <c r="G2" s="3"/>
      <c r="H2" s="3"/>
      <c r="I2" s="3"/>
      <c r="J2" s="3"/>
      <c r="K2" s="3"/>
      <c r="L2" s="3"/>
      <c r="M2" s="3"/>
      <c r="N2" s="3"/>
      <c r="O2" s="3"/>
    </row>
    <row r="3" spans="1:134" ht="18" customHeight="1" x14ac:dyDescent="0.3">
      <c r="A3" s="181" t="s">
        <v>12</v>
      </c>
      <c r="B3" s="182"/>
      <c r="C3" s="1"/>
      <c r="D3" s="1"/>
      <c r="E3" s="5"/>
      <c r="F3" s="3"/>
      <c r="G3" s="3"/>
      <c r="H3" s="3"/>
      <c r="I3" s="3"/>
      <c r="J3" s="3"/>
      <c r="K3" s="3"/>
      <c r="L3" s="3"/>
      <c r="M3" s="3"/>
      <c r="N3" s="3"/>
      <c r="O3" s="3"/>
      <c r="DS3" s="4" t="s">
        <v>229</v>
      </c>
    </row>
    <row r="4" spans="1:134" ht="18" customHeight="1" x14ac:dyDescent="0.25">
      <c r="A4" s="183"/>
      <c r="B4" s="180"/>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4" t="s">
        <v>3</v>
      </c>
      <c r="B5" s="18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2" t="s">
        <v>13</v>
      </c>
      <c r="B6" s="173"/>
      <c r="C6" s="47"/>
      <c r="D6" s="48"/>
      <c r="E6" s="49"/>
      <c r="F6" s="49"/>
      <c r="G6" s="49"/>
      <c r="H6" s="49"/>
      <c r="I6" s="49"/>
      <c r="J6" s="49"/>
      <c r="K6" s="49"/>
      <c r="L6" s="49"/>
      <c r="M6" s="49"/>
      <c r="N6" s="49"/>
      <c r="O6" s="49"/>
      <c r="DS6" s="4" t="str">
        <f>VLOOKUP(Cover!$D$15, Country_list!$B$3:$C$44, 2, 0)</f>
        <v>GR</v>
      </c>
      <c r="DV6" s="4" t="s">
        <v>298</v>
      </c>
    </row>
    <row r="7" spans="1:134" ht="24" customHeight="1" x14ac:dyDescent="0.2">
      <c r="A7" s="175" t="s">
        <v>15</v>
      </c>
      <c r="B7" s="176"/>
      <c r="C7" s="45"/>
      <c r="D7" s="15"/>
      <c r="E7" s="46"/>
      <c r="F7" s="46"/>
      <c r="G7" s="46"/>
      <c r="H7" s="46"/>
      <c r="I7" s="46"/>
      <c r="J7" s="46"/>
      <c r="K7" s="46"/>
      <c r="L7" s="46"/>
      <c r="M7" s="46"/>
      <c r="N7" s="46"/>
      <c r="O7" s="46"/>
    </row>
    <row r="8" spans="1:134" ht="24" customHeight="1" x14ac:dyDescent="0.2">
      <c r="A8" s="175" t="s">
        <v>29</v>
      </c>
      <c r="B8" s="176"/>
      <c r="C8" s="45"/>
      <c r="D8" s="15"/>
      <c r="E8" s="46"/>
      <c r="F8" s="46"/>
      <c r="G8" s="46">
        <v>38943</v>
      </c>
      <c r="H8" s="46"/>
      <c r="I8" s="46">
        <v>39335</v>
      </c>
      <c r="J8" s="46">
        <v>39605</v>
      </c>
      <c r="K8" s="46">
        <v>39507</v>
      </c>
      <c r="L8" s="46">
        <v>39331.4</v>
      </c>
      <c r="M8" s="46"/>
      <c r="N8" s="46"/>
      <c r="O8" s="46"/>
    </row>
    <row r="9" spans="1:134" ht="24" customHeight="1" x14ac:dyDescent="0.2">
      <c r="A9" s="175" t="s">
        <v>156</v>
      </c>
      <c r="B9" s="176"/>
      <c r="C9" s="9" t="s">
        <v>132</v>
      </c>
      <c r="D9" s="93"/>
      <c r="E9" s="94"/>
      <c r="F9" s="94"/>
      <c r="G9" s="94">
        <v>5224</v>
      </c>
      <c r="H9" s="94"/>
      <c r="I9" s="94">
        <v>5138</v>
      </c>
      <c r="J9" s="94">
        <v>5096</v>
      </c>
      <c r="K9" s="94">
        <v>5068</v>
      </c>
      <c r="L9" s="94">
        <v>5035</v>
      </c>
      <c r="M9" s="94"/>
      <c r="N9" s="94"/>
      <c r="O9" s="94"/>
      <c r="DT9" s="4" t="s">
        <v>279</v>
      </c>
      <c r="EB9" s="4" t="s">
        <v>300</v>
      </c>
      <c r="ED9" s="4" t="s">
        <v>301</v>
      </c>
    </row>
    <row r="10" spans="1:134" ht="24" customHeight="1" x14ac:dyDescent="0.2">
      <c r="A10" s="175" t="s">
        <v>20</v>
      </c>
      <c r="B10" s="176"/>
      <c r="C10" s="9" t="s">
        <v>132</v>
      </c>
      <c r="D10" s="93"/>
      <c r="E10" s="94"/>
      <c r="F10" s="94"/>
      <c r="G10" s="94">
        <v>42000</v>
      </c>
      <c r="H10" s="94"/>
      <c r="I10" s="94">
        <v>42000</v>
      </c>
      <c r="J10" s="94">
        <v>42000</v>
      </c>
      <c r="K10" s="94">
        <v>42000</v>
      </c>
      <c r="L10" s="94">
        <v>42000</v>
      </c>
      <c r="M10" s="94"/>
      <c r="N10" s="94"/>
      <c r="O10" s="94"/>
      <c r="DT10" s="4" t="s">
        <v>280</v>
      </c>
      <c r="EB10" s="4" t="s">
        <v>300</v>
      </c>
      <c r="ED10" s="4" t="s">
        <v>301</v>
      </c>
    </row>
    <row r="11" spans="1:134" s="13" customFormat="1" ht="15" customHeight="1" x14ac:dyDescent="0.2">
      <c r="A11" s="174" t="s">
        <v>18</v>
      </c>
      <c r="B11" s="110" t="s">
        <v>21</v>
      </c>
      <c r="C11" s="111" t="s">
        <v>132</v>
      </c>
      <c r="D11" s="115"/>
      <c r="E11" s="115"/>
      <c r="F11" s="116"/>
      <c r="G11" s="116">
        <v>46000</v>
      </c>
      <c r="H11" s="116"/>
      <c r="I11" s="116">
        <v>46000</v>
      </c>
      <c r="J11" s="116">
        <v>46000</v>
      </c>
      <c r="K11" s="116">
        <v>46000</v>
      </c>
      <c r="L11" s="116">
        <v>46000</v>
      </c>
      <c r="M11" s="116"/>
      <c r="N11" s="116"/>
      <c r="O11" s="116"/>
      <c r="DT11" s="13" t="s">
        <v>281</v>
      </c>
      <c r="EB11" s="13" t="s">
        <v>300</v>
      </c>
      <c r="ED11" s="13" t="s">
        <v>301</v>
      </c>
    </row>
    <row r="12" spans="1:134" s="13" customFormat="1" ht="15" customHeight="1" x14ac:dyDescent="0.2">
      <c r="A12" s="174"/>
      <c r="B12" s="110" t="s">
        <v>22</v>
      </c>
      <c r="C12" s="111" t="s">
        <v>132</v>
      </c>
      <c r="D12" s="115"/>
      <c r="E12" s="115"/>
      <c r="F12" s="115"/>
      <c r="G12" s="115">
        <v>43000</v>
      </c>
      <c r="H12" s="115"/>
      <c r="I12" s="115">
        <v>43000</v>
      </c>
      <c r="J12" s="115">
        <v>43000</v>
      </c>
      <c r="K12" s="115">
        <v>43000</v>
      </c>
      <c r="L12" s="115">
        <v>43000</v>
      </c>
      <c r="M12" s="115"/>
      <c r="N12" s="115"/>
      <c r="O12" s="115"/>
      <c r="DT12" s="13" t="s">
        <v>282</v>
      </c>
      <c r="EB12" s="13" t="s">
        <v>300</v>
      </c>
      <c r="ED12" s="13" t="s">
        <v>301</v>
      </c>
    </row>
    <row r="13" spans="1:134" s="13" customFormat="1" ht="15" customHeight="1" x14ac:dyDescent="0.2">
      <c r="A13" s="174"/>
      <c r="B13" s="110" t="s">
        <v>23</v>
      </c>
      <c r="C13" s="111" t="s">
        <v>132</v>
      </c>
      <c r="D13" s="115"/>
      <c r="E13" s="115"/>
      <c r="F13" s="115"/>
      <c r="G13" s="115">
        <v>42600</v>
      </c>
      <c r="H13" s="115"/>
      <c r="I13" s="115">
        <v>42600</v>
      </c>
      <c r="J13" s="115">
        <v>42600</v>
      </c>
      <c r="K13" s="115">
        <v>42600</v>
      </c>
      <c r="L13" s="115">
        <v>42600</v>
      </c>
      <c r="M13" s="115"/>
      <c r="N13" s="115"/>
      <c r="O13" s="115"/>
      <c r="DT13" s="13" t="s">
        <v>283</v>
      </c>
      <c r="EB13" s="13" t="s">
        <v>300</v>
      </c>
      <c r="ED13" s="13" t="s">
        <v>301</v>
      </c>
    </row>
    <row r="14" spans="1:134" ht="24" customHeight="1" x14ac:dyDescent="0.2">
      <c r="A14" s="175" t="s">
        <v>24</v>
      </c>
      <c r="B14" s="176"/>
      <c r="C14" s="45"/>
      <c r="D14" s="15"/>
      <c r="E14" s="46"/>
      <c r="F14" s="46"/>
      <c r="G14" s="46"/>
      <c r="H14" s="46"/>
      <c r="I14" s="46"/>
      <c r="J14" s="46"/>
      <c r="K14" s="46"/>
      <c r="L14" s="46"/>
      <c r="M14" s="46"/>
      <c r="N14" s="46"/>
      <c r="O14" s="46"/>
    </row>
    <row r="15" spans="1:134" s="13" customFormat="1" ht="15" customHeight="1" x14ac:dyDescent="0.2">
      <c r="A15" s="174" t="s">
        <v>18</v>
      </c>
      <c r="B15" s="110" t="s">
        <v>26</v>
      </c>
      <c r="C15" s="14"/>
      <c r="D15" s="15"/>
      <c r="E15" s="12"/>
      <c r="F15" s="12"/>
      <c r="G15" s="12"/>
      <c r="H15" s="12"/>
      <c r="I15" s="12"/>
      <c r="J15" s="12"/>
      <c r="K15" s="12"/>
      <c r="L15" s="12"/>
      <c r="M15" s="12"/>
      <c r="N15" s="12"/>
      <c r="O15" s="12"/>
    </row>
    <row r="16" spans="1:134" s="13" customFormat="1" ht="15" customHeight="1" x14ac:dyDescent="0.2">
      <c r="A16" s="174"/>
      <c r="B16" s="110" t="s">
        <v>27</v>
      </c>
      <c r="C16" s="14"/>
      <c r="D16" s="15"/>
      <c r="E16" s="12"/>
      <c r="F16" s="12"/>
      <c r="G16" s="12"/>
      <c r="H16" s="12"/>
      <c r="I16" s="12"/>
      <c r="J16" s="12"/>
      <c r="K16" s="12"/>
      <c r="L16" s="12"/>
      <c r="M16" s="12"/>
      <c r="N16" s="12"/>
      <c r="O16" s="12"/>
    </row>
    <row r="17" spans="1:15" s="13" customFormat="1" ht="15" customHeight="1" x14ac:dyDescent="0.2">
      <c r="A17" s="174"/>
      <c r="B17" s="110" t="s">
        <v>28</v>
      </c>
      <c r="C17" s="14"/>
      <c r="D17" s="15"/>
      <c r="E17" s="12"/>
      <c r="F17" s="12"/>
      <c r="G17" s="12"/>
      <c r="H17" s="12"/>
      <c r="I17" s="12"/>
      <c r="J17" s="12"/>
      <c r="K17" s="12"/>
      <c r="L17" s="12"/>
      <c r="M17" s="12"/>
      <c r="N17" s="12"/>
      <c r="O17" s="12"/>
    </row>
    <row r="18" spans="1:15" s="13" customFormat="1" ht="15" customHeight="1" x14ac:dyDescent="0.2">
      <c r="A18" s="174"/>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B16" sqref="B16"/>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7" t="s">
        <v>0</v>
      </c>
      <c r="B1" s="188"/>
      <c r="C1" s="31"/>
      <c r="D1" s="1"/>
      <c r="E1" s="2"/>
      <c r="F1" s="2"/>
      <c r="G1" s="2"/>
      <c r="H1" s="2"/>
      <c r="I1" s="2"/>
      <c r="J1" s="2"/>
      <c r="K1" s="3"/>
    </row>
    <row r="2" spans="1:11" ht="18" customHeight="1" x14ac:dyDescent="0.25">
      <c r="A2" s="189" t="s">
        <v>1</v>
      </c>
      <c r="B2" s="190"/>
      <c r="C2" s="1" t="str">
        <f>Cover!D15</f>
        <v>Greece</v>
      </c>
      <c r="D2" s="1"/>
      <c r="E2" s="5"/>
      <c r="F2" s="3"/>
      <c r="G2" s="3"/>
      <c r="H2" s="3"/>
      <c r="I2" s="3"/>
      <c r="J2" s="3"/>
      <c r="K2" s="3"/>
    </row>
    <row r="3" spans="1:11" ht="18" customHeight="1" x14ac:dyDescent="0.25">
      <c r="A3" s="189" t="s">
        <v>2</v>
      </c>
      <c r="B3" s="191"/>
      <c r="C3" s="114">
        <v>2018</v>
      </c>
      <c r="D3" s="1"/>
      <c r="E3" s="5"/>
      <c r="F3" s="3"/>
      <c r="G3" s="3"/>
      <c r="H3" s="3"/>
      <c r="I3" s="3"/>
      <c r="J3" s="3"/>
      <c r="K3" s="3"/>
    </row>
    <row r="4" spans="1:11" ht="18" customHeight="1" x14ac:dyDescent="0.25">
      <c r="A4" s="192"/>
      <c r="B4" s="193"/>
      <c r="C4" s="31"/>
      <c r="D4" s="1"/>
      <c r="E4" s="5"/>
      <c r="F4" s="3"/>
      <c r="G4" s="3"/>
      <c r="H4" s="3"/>
      <c r="I4" s="3"/>
      <c r="J4" s="3"/>
      <c r="K4" s="3"/>
    </row>
    <row r="5" spans="1:11" ht="37.5" customHeight="1" x14ac:dyDescent="0.25">
      <c r="A5" s="184" t="s">
        <v>3</v>
      </c>
      <c r="B5" s="194"/>
      <c r="C5" s="6" t="s">
        <v>4</v>
      </c>
      <c r="D5" s="7" t="s">
        <v>5</v>
      </c>
      <c r="E5" s="6" t="s">
        <v>6</v>
      </c>
      <c r="F5" s="6" t="s">
        <v>7</v>
      </c>
      <c r="G5" s="6" t="s">
        <v>8</v>
      </c>
      <c r="H5" s="6" t="s">
        <v>9</v>
      </c>
      <c r="I5" s="6" t="s">
        <v>10</v>
      </c>
      <c r="J5" s="6" t="s">
        <v>11</v>
      </c>
      <c r="K5" s="7" t="s">
        <v>12</v>
      </c>
    </row>
    <row r="6" spans="1:11" ht="24" customHeight="1" x14ac:dyDescent="0.25">
      <c r="A6" s="186" t="s">
        <v>13</v>
      </c>
      <c r="B6" s="187"/>
      <c r="C6" s="108" t="s">
        <v>14</v>
      </c>
      <c r="D6" s="120">
        <f ca="1">SUM(E6:J6)</f>
        <v>16762.61</v>
      </c>
      <c r="E6" s="121">
        <f ca="1">INDIRECT(ADDRESS(ROW(K6),$C$3 -2010 + 4,,,"1a_SpaceHeating"))</f>
        <v>1182.2070000000001</v>
      </c>
      <c r="F6" s="121">
        <f ca="1">INDIRECT(ADDRESS(ROW(K6),$C$3-2010+4,,,"1b_SpaceCooling"))</f>
        <v>1626.732</v>
      </c>
      <c r="G6" s="121">
        <f ca="1">INDIRECT(ADDRESS(ROW(K6),$C$3-2010+4,,,"1c_WaterHeating"))</f>
        <v>2711.1030000000001</v>
      </c>
      <c r="H6" s="121">
        <f ca="1">INDIRECT(ADDRESS(ROW(K6),$C$3-2010+4,,,"1d_Cooking"))</f>
        <v>1977.72</v>
      </c>
      <c r="I6" s="121">
        <f ca="1">INDIRECT(ADDRESS(ROW(K6),$C$3-2010+4,,,"1e_LightingAndAppliances"))</f>
        <v>9264.848</v>
      </c>
      <c r="J6" s="121">
        <f ca="1">INDIRECT(ADDRESS(ROW(K6),$C$3-2010+4,,,"1f_OtherEndUses"))</f>
        <v>0</v>
      </c>
      <c r="K6" s="122"/>
    </row>
    <row r="7" spans="1:11" ht="24" customHeight="1" x14ac:dyDescent="0.25">
      <c r="A7" s="196" t="s">
        <v>15</v>
      </c>
      <c r="B7" s="197"/>
      <c r="C7" s="109" t="s">
        <v>16</v>
      </c>
      <c r="D7" s="123">
        <f t="shared" ref="D7:D16" ca="1" si="0">SUM(E7:J7)</f>
        <v>2167.1999999999998</v>
      </c>
      <c r="E7" s="124">
        <f t="shared" ref="E7:E16" ca="1" si="1">INDIRECT(ADDRESS(ROW(K7),$C$3 -2010 + 4,,,"1a_SpaceHeating"))</f>
        <v>1977.5409999999999</v>
      </c>
      <c r="F7" s="125"/>
      <c r="G7" s="124">
        <f t="shared" ref="G7:G16" ca="1" si="2">INDIRECT(ADDRESS(ROW(K7),$C$3-2010+4,,,"1c_WaterHeating"))</f>
        <v>189.65899999999999</v>
      </c>
      <c r="H7" s="124">
        <f t="shared" ref="H7:H16" ca="1" si="3">INDIRECT(ADDRESS(ROW(K7),$C$3-2010+4,,,"1d_Cooking"))</f>
        <v>0</v>
      </c>
      <c r="I7" s="125"/>
      <c r="J7" s="124">
        <f t="shared" ref="J7:J17" ca="1" si="4">INDIRECT(ADDRESS(ROW(K7),$C$3-2010+4,,,"1f_OtherEndUses"))</f>
        <v>0</v>
      </c>
      <c r="K7" s="125"/>
    </row>
    <row r="8" spans="1:11" ht="24" customHeight="1" x14ac:dyDescent="0.25">
      <c r="A8" s="196" t="s">
        <v>29</v>
      </c>
      <c r="B8" s="197"/>
      <c r="C8" s="109" t="s">
        <v>17</v>
      </c>
      <c r="D8" s="123">
        <f t="shared" ca="1" si="0"/>
        <v>15413.4</v>
      </c>
      <c r="E8" s="124">
        <f t="shared" ca="1" si="1"/>
        <v>13437.817999999999</v>
      </c>
      <c r="F8" s="125"/>
      <c r="G8" s="124">
        <f t="shared" ca="1" si="2"/>
        <v>1877.33</v>
      </c>
      <c r="H8" s="124">
        <f t="shared" ca="1" si="3"/>
        <v>98.251999999999995</v>
      </c>
      <c r="I8" s="125"/>
      <c r="J8" s="124">
        <f t="shared" ca="1" si="4"/>
        <v>0</v>
      </c>
      <c r="K8" s="125"/>
    </row>
    <row r="9" spans="1:11" ht="24" customHeight="1" x14ac:dyDescent="0.25">
      <c r="A9" s="196" t="s">
        <v>156</v>
      </c>
      <c r="B9" s="197"/>
      <c r="C9" s="109" t="s">
        <v>19</v>
      </c>
      <c r="D9" s="123">
        <f t="shared" ca="1" si="0"/>
        <v>30.69</v>
      </c>
      <c r="E9" s="124">
        <f t="shared" ca="1" si="1"/>
        <v>30.69</v>
      </c>
      <c r="F9" s="125"/>
      <c r="G9" s="124">
        <f t="shared" ca="1" si="2"/>
        <v>0</v>
      </c>
      <c r="H9" s="124">
        <f t="shared" ca="1" si="3"/>
        <v>0</v>
      </c>
      <c r="I9" s="125"/>
      <c r="J9" s="124">
        <f t="shared" ca="1" si="4"/>
        <v>0</v>
      </c>
      <c r="K9" s="126">
        <f ca="1">INDIRECT(ADDRESS(ROW(K9),$C$3-2010+4,,,"Calorific_Values"))</f>
        <v>5035</v>
      </c>
    </row>
    <row r="10" spans="1:11" ht="24" customHeight="1" x14ac:dyDescent="0.25">
      <c r="A10" s="196" t="s">
        <v>42</v>
      </c>
      <c r="B10" s="197"/>
      <c r="C10" s="109" t="s">
        <v>19</v>
      </c>
      <c r="D10" s="123">
        <f t="shared" ca="1" si="0"/>
        <v>1012.775</v>
      </c>
      <c r="E10" s="124">
        <f t="shared" ca="1" si="1"/>
        <v>910.25900000000001</v>
      </c>
      <c r="F10" s="125"/>
      <c r="G10" s="124">
        <f t="shared" ca="1" si="2"/>
        <v>42.174999999999997</v>
      </c>
      <c r="H10" s="124">
        <f t="shared" ca="1" si="3"/>
        <v>60.341000000000001</v>
      </c>
      <c r="I10" s="125"/>
      <c r="J10" s="124">
        <f t="shared" ca="1" si="4"/>
        <v>0</v>
      </c>
      <c r="K10" s="126">
        <f ca="1">INDIRECT(ADDRESS(ROW(K10),$C$3-2010+4,,,"Calorific_Values"))</f>
        <v>42000</v>
      </c>
    </row>
    <row r="11" spans="1:11" s="34" customFormat="1" ht="15" customHeight="1" x14ac:dyDescent="0.25">
      <c r="A11" s="195" t="s">
        <v>18</v>
      </c>
      <c r="B11" s="10" t="s">
        <v>21</v>
      </c>
      <c r="C11" s="11" t="s">
        <v>19</v>
      </c>
      <c r="D11" s="127">
        <f t="shared" ca="1" si="0"/>
        <v>74.35499999999999</v>
      </c>
      <c r="E11" s="128">
        <f t="shared" ca="1" si="1"/>
        <v>13.602</v>
      </c>
      <c r="F11" s="129"/>
      <c r="G11" s="128">
        <f t="shared" ca="1" si="2"/>
        <v>0.64200000000000002</v>
      </c>
      <c r="H11" s="128">
        <f t="shared" ca="1" si="3"/>
        <v>60.110999999999997</v>
      </c>
      <c r="I11" s="129"/>
      <c r="J11" s="128">
        <f t="shared" ca="1" si="4"/>
        <v>0</v>
      </c>
      <c r="K11" s="130">
        <f t="shared" ref="K11:K13" ca="1" si="5">INDIRECT(ADDRESS(ROW(K11),$C$3-2010+4,,,"Calorific_Values"))</f>
        <v>46000</v>
      </c>
    </row>
    <row r="12" spans="1:11" s="34" customFormat="1" ht="15" customHeight="1" x14ac:dyDescent="0.25">
      <c r="A12" s="195"/>
      <c r="B12" s="10" t="s">
        <v>22</v>
      </c>
      <c r="C12" s="11" t="s">
        <v>19</v>
      </c>
      <c r="D12" s="127">
        <f t="shared" ca="1" si="0"/>
        <v>2.552</v>
      </c>
      <c r="E12" s="128">
        <f t="shared" ca="1" si="1"/>
        <v>2.552</v>
      </c>
      <c r="F12" s="129"/>
      <c r="G12" s="128">
        <f t="shared" ca="1" si="2"/>
        <v>0</v>
      </c>
      <c r="H12" s="128">
        <f t="shared" ca="1" si="3"/>
        <v>0</v>
      </c>
      <c r="I12" s="129"/>
      <c r="J12" s="128">
        <f t="shared" ca="1" si="4"/>
        <v>0</v>
      </c>
      <c r="K12" s="130">
        <f t="shared" ca="1" si="5"/>
        <v>43000</v>
      </c>
    </row>
    <row r="13" spans="1:11" s="34" customFormat="1" ht="15" customHeight="1" x14ac:dyDescent="0.25">
      <c r="A13" s="195"/>
      <c r="B13" s="10" t="s">
        <v>23</v>
      </c>
      <c r="C13" s="11" t="s">
        <v>19</v>
      </c>
      <c r="D13" s="127">
        <f t="shared" ca="1" si="0"/>
        <v>935.86800000000005</v>
      </c>
      <c r="E13" s="128">
        <f t="shared" ca="1" si="1"/>
        <v>894.10500000000002</v>
      </c>
      <c r="F13" s="129"/>
      <c r="G13" s="128">
        <f t="shared" ca="1" si="2"/>
        <v>41.533000000000001</v>
      </c>
      <c r="H13" s="128">
        <f t="shared" ca="1" si="3"/>
        <v>0.23</v>
      </c>
      <c r="I13" s="129"/>
      <c r="J13" s="128">
        <f t="shared" ca="1" si="4"/>
        <v>0</v>
      </c>
      <c r="K13" s="130">
        <f t="shared" ca="1" si="5"/>
        <v>42600</v>
      </c>
    </row>
    <row r="14" spans="1:11" ht="24" customHeight="1" x14ac:dyDescent="0.25">
      <c r="A14" s="196" t="s">
        <v>43</v>
      </c>
      <c r="B14" s="197"/>
      <c r="C14" s="109" t="s">
        <v>16</v>
      </c>
      <c r="D14" s="123">
        <f t="shared" ca="1" si="0"/>
        <v>43952.800000000003</v>
      </c>
      <c r="E14" s="124">
        <f t="shared" ca="1" si="1"/>
        <v>32147.402999999998</v>
      </c>
      <c r="F14" s="125"/>
      <c r="G14" s="124">
        <f t="shared" ca="1" si="2"/>
        <v>11372.23</v>
      </c>
      <c r="H14" s="124">
        <f t="shared" ca="1" si="3"/>
        <v>433.16699999999997</v>
      </c>
      <c r="I14" s="125"/>
      <c r="J14" s="124">
        <f t="shared" ca="1" si="4"/>
        <v>0</v>
      </c>
      <c r="K14" s="125"/>
    </row>
    <row r="15" spans="1:11" s="34" customFormat="1" ht="15" customHeight="1" x14ac:dyDescent="0.25">
      <c r="A15" s="195" t="s">
        <v>18</v>
      </c>
      <c r="B15" s="10" t="s">
        <v>26</v>
      </c>
      <c r="C15" s="11" t="s">
        <v>16</v>
      </c>
      <c r="D15" s="127">
        <f t="shared" ca="1" si="0"/>
        <v>11114</v>
      </c>
      <c r="E15" s="128">
        <f t="shared" ca="1" si="1"/>
        <v>0</v>
      </c>
      <c r="F15" s="129"/>
      <c r="G15" s="128">
        <f t="shared" ca="1" si="2"/>
        <v>11114</v>
      </c>
      <c r="H15" s="128">
        <f t="shared" ca="1" si="3"/>
        <v>0</v>
      </c>
      <c r="I15" s="129"/>
      <c r="J15" s="128">
        <f t="shared" ca="1" si="4"/>
        <v>0</v>
      </c>
      <c r="K15" s="129"/>
    </row>
    <row r="16" spans="1:11" s="34" customFormat="1" ht="15" customHeight="1" x14ac:dyDescent="0.25">
      <c r="A16" s="195"/>
      <c r="B16" s="10" t="s">
        <v>27</v>
      </c>
      <c r="C16" s="11" t="s">
        <v>16</v>
      </c>
      <c r="D16" s="127">
        <f t="shared" ca="1" si="0"/>
        <v>27551</v>
      </c>
      <c r="E16" s="128">
        <f t="shared" ca="1" si="1"/>
        <v>26859.602999999999</v>
      </c>
      <c r="F16" s="129"/>
      <c r="G16" s="128">
        <f t="shared" ca="1" si="2"/>
        <v>258.23</v>
      </c>
      <c r="H16" s="128">
        <f t="shared" ca="1" si="3"/>
        <v>433.16699999999997</v>
      </c>
      <c r="I16" s="129"/>
      <c r="J16" s="128">
        <f t="shared" ca="1" si="4"/>
        <v>0</v>
      </c>
      <c r="K16" s="129"/>
    </row>
    <row r="17" spans="1:11" s="34" customFormat="1" ht="15" customHeight="1" x14ac:dyDescent="0.25">
      <c r="A17" s="19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5"/>
      <c r="B18" s="34" t="s">
        <v>184</v>
      </c>
      <c r="C18" s="11" t="s">
        <v>16</v>
      </c>
      <c r="D18" s="127">
        <f ca="1">SUM(E18:J18)</f>
        <v>2903</v>
      </c>
      <c r="E18" s="128">
        <f ca="1">INDIRECT(ADDRESS(ROW(K18),$C$3 -2010 + 4,,,"1a_SpaceHeating"))</f>
        <v>2903</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15" sqref="E15"/>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7" t="s">
        <v>0</v>
      </c>
      <c r="B1" s="188"/>
      <c r="C1" s="31"/>
      <c r="D1" s="1"/>
      <c r="E1" s="2"/>
      <c r="F1" s="2"/>
      <c r="G1" s="2"/>
      <c r="H1" s="2"/>
      <c r="I1" s="2"/>
      <c r="J1" s="2"/>
      <c r="K1" s="3"/>
    </row>
    <row r="2" spans="1:11" ht="18" customHeight="1" x14ac:dyDescent="0.25">
      <c r="A2" s="189" t="s">
        <v>1</v>
      </c>
      <c r="B2" s="190"/>
      <c r="C2" s="1" t="str">
        <f>Cover!D15</f>
        <v>Greece</v>
      </c>
      <c r="D2" s="1"/>
      <c r="E2" s="5"/>
      <c r="F2" s="3"/>
      <c r="G2" s="3"/>
      <c r="H2" s="3"/>
      <c r="I2" s="3"/>
      <c r="J2" s="3"/>
      <c r="K2" s="3"/>
    </row>
    <row r="3" spans="1:11" ht="18" customHeight="1" x14ac:dyDescent="0.25">
      <c r="A3" s="189" t="s">
        <v>2</v>
      </c>
      <c r="B3" s="190"/>
      <c r="C3" s="1">
        <f>Table1_Totals!C3</f>
        <v>2018</v>
      </c>
      <c r="D3" s="1"/>
      <c r="E3" s="5"/>
      <c r="F3" s="3"/>
      <c r="G3" s="3"/>
      <c r="H3" s="3"/>
      <c r="I3" s="3"/>
      <c r="J3" s="3"/>
      <c r="K3" s="3"/>
    </row>
    <row r="4" spans="1:11" ht="18" customHeight="1" x14ac:dyDescent="0.25">
      <c r="A4" s="192"/>
      <c r="B4" s="193"/>
      <c r="C4" s="31"/>
      <c r="D4" s="1"/>
      <c r="E4" s="5"/>
      <c r="F4" s="3"/>
      <c r="G4" s="3"/>
      <c r="H4" s="3"/>
      <c r="I4" s="3"/>
      <c r="J4" s="3"/>
      <c r="K4" s="3"/>
    </row>
    <row r="5" spans="1:11" ht="37.5" customHeight="1" x14ac:dyDescent="0.25">
      <c r="A5" s="184" t="s">
        <v>3</v>
      </c>
      <c r="B5" s="194"/>
      <c r="C5" s="6" t="s">
        <v>4</v>
      </c>
      <c r="D5" s="7" t="s">
        <v>5</v>
      </c>
      <c r="E5" s="6" t="s">
        <v>6</v>
      </c>
      <c r="F5" s="6" t="s">
        <v>7</v>
      </c>
      <c r="G5" s="6" t="s">
        <v>8</v>
      </c>
      <c r="H5" s="6" t="s">
        <v>9</v>
      </c>
      <c r="I5" s="6" t="s">
        <v>10</v>
      </c>
      <c r="J5" s="6" t="s">
        <v>11</v>
      </c>
      <c r="K5" s="7" t="s">
        <v>12</v>
      </c>
    </row>
    <row r="6" spans="1:11" ht="24" customHeight="1" x14ac:dyDescent="0.25">
      <c r="A6" s="186" t="s">
        <v>13</v>
      </c>
      <c r="B6" s="187"/>
      <c r="C6" s="108" t="s">
        <v>16</v>
      </c>
      <c r="D6" s="120">
        <f ca="1">SUM(E6:J6)</f>
        <v>60345.396000000001</v>
      </c>
      <c r="E6" s="121">
        <f ca="1">Table1_Totals!E6*3.6</f>
        <v>4255.9452000000001</v>
      </c>
      <c r="F6" s="121">
        <f ca="1">Table1_Totals!F6*3.6</f>
        <v>5856.2352000000001</v>
      </c>
      <c r="G6" s="121">
        <f ca="1">Table1_Totals!G6*3.6</f>
        <v>9759.970800000001</v>
      </c>
      <c r="H6" s="121">
        <f ca="1">Table1_Totals!H6*3.6</f>
        <v>7119.7920000000004</v>
      </c>
      <c r="I6" s="121">
        <f ca="1">Table1_Totals!I6*3.6</f>
        <v>33353.452799999999</v>
      </c>
      <c r="J6" s="121">
        <f ca="1">Table1_Totals!J6*3.6</f>
        <v>0</v>
      </c>
      <c r="K6" s="122"/>
    </row>
    <row r="7" spans="1:11" ht="24" customHeight="1" x14ac:dyDescent="0.25">
      <c r="A7" s="196" t="s">
        <v>15</v>
      </c>
      <c r="B7" s="197"/>
      <c r="C7" s="109" t="s">
        <v>16</v>
      </c>
      <c r="D7" s="123">
        <f t="shared" ref="D7:D18" ca="1" si="0">SUM(E7:J7)</f>
        <v>2167.1999999999998</v>
      </c>
      <c r="E7" s="124">
        <f ca="1">Table1_Totals!E7</f>
        <v>1977.5409999999999</v>
      </c>
      <c r="F7" s="125"/>
      <c r="G7" s="124">
        <f ca="1">Table1_Totals!G7</f>
        <v>189.65899999999999</v>
      </c>
      <c r="H7" s="124">
        <f ca="1">Table1_Totals!H7</f>
        <v>0</v>
      </c>
      <c r="I7" s="125"/>
      <c r="J7" s="124">
        <f ca="1">Table1_Totals!J7</f>
        <v>0</v>
      </c>
      <c r="K7" s="125"/>
    </row>
    <row r="8" spans="1:11" ht="24" customHeight="1" x14ac:dyDescent="0.25">
      <c r="A8" s="196" t="s">
        <v>29</v>
      </c>
      <c r="B8" s="197"/>
      <c r="C8" s="109" t="s">
        <v>16</v>
      </c>
      <c r="D8" s="123">
        <f t="shared" ca="1" si="0"/>
        <v>13872.06</v>
      </c>
      <c r="E8" s="124">
        <f ca="1">Table1_Totals!E8*0.9</f>
        <v>12094.0362</v>
      </c>
      <c r="F8" s="125"/>
      <c r="G8" s="124">
        <f ca="1">Table1_Totals!G8*0.9</f>
        <v>1689.597</v>
      </c>
      <c r="H8" s="124">
        <f ca="1">Table1_Totals!H8*0.9</f>
        <v>88.4268</v>
      </c>
      <c r="I8" s="125"/>
      <c r="J8" s="124">
        <f ca="1">Table1_Totals!J8*0.9</f>
        <v>0</v>
      </c>
      <c r="K8" s="125"/>
    </row>
    <row r="9" spans="1:11" ht="24" customHeight="1" x14ac:dyDescent="0.25">
      <c r="A9" s="196" t="s">
        <v>156</v>
      </c>
      <c r="B9" s="197"/>
      <c r="C9" s="109" t="s">
        <v>16</v>
      </c>
      <c r="D9" s="123">
        <f t="shared" ca="1" si="0"/>
        <v>154.52414999999999</v>
      </c>
      <c r="E9" s="124">
        <f ca="1">IF(Table1_Totals!E9&lt;&gt;0,IF(Table1_Totals!$K9&lt;&gt;0,Table1_Totals!E9*Table1_Totals!$K9/1000,"Please check CV"),"0,000")</f>
        <v>154.52414999999999</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5035</v>
      </c>
    </row>
    <row r="10" spans="1:11" ht="24" customHeight="1" x14ac:dyDescent="0.25">
      <c r="A10" s="196" t="s">
        <v>42</v>
      </c>
      <c r="B10" s="197"/>
      <c r="C10" s="109" t="s">
        <v>16</v>
      </c>
      <c r="D10" s="123">
        <f t="shared" ca="1" si="0"/>
        <v>42536.549999999996</v>
      </c>
      <c r="E10" s="124">
        <f ca="1">IF(Table1_Totals!E10&lt;&gt;0,IF(Table1_Totals!$K10&lt;&gt;0,Table1_Totals!E10*Table1_Totals!$K10/1000,"Please check CV"),"0,000")</f>
        <v>38230.877999999997</v>
      </c>
      <c r="F10" s="125"/>
      <c r="G10" s="124">
        <f ca="1">IF(Table1_Totals!G10&lt;&gt;0,IF(Table1_Totals!$K10&lt;&gt;0,Table1_Totals!G10*Table1_Totals!$K10/1000,"Please check CV"),"0,000")</f>
        <v>1771.3499999999997</v>
      </c>
      <c r="H10" s="124">
        <f ca="1">IF(Table1_Totals!H10&lt;&gt;0,IF(Table1_Totals!$K10&lt;&gt;0,Table1_Totals!H10*Table1_Totals!$K10/1000,"Please check CV"),"0,000")</f>
        <v>2534.3220000000001</v>
      </c>
      <c r="I10" s="125"/>
      <c r="J10" s="124" t="str">
        <f ca="1">IF(Table1_Totals!J10&lt;&gt;0,IF(Table1_Totals!$K10&lt;&gt;0,Table1_Totals!J10*Table1_Totals!$K10/1000,"Please check CV"),"0,000")</f>
        <v>0,000</v>
      </c>
      <c r="K10" s="126">
        <f ca="1">Table1_Totals!K10</f>
        <v>42000</v>
      </c>
    </row>
    <row r="11" spans="1:11" s="34" customFormat="1" ht="15" customHeight="1" x14ac:dyDescent="0.25">
      <c r="A11" s="195" t="s">
        <v>18</v>
      </c>
      <c r="B11" s="10" t="s">
        <v>21</v>
      </c>
      <c r="C11" s="11" t="s">
        <v>16</v>
      </c>
      <c r="D11" s="127">
        <f t="shared" ca="1" si="0"/>
        <v>3420.3300000000004</v>
      </c>
      <c r="E11" s="128">
        <f ca="1">IF(Table1_Totals!E11&lt;&gt;0,IF(Table1_Totals!$K11&lt;&gt;0,Table1_Totals!E11*Table1_Totals!$K11/1000,"Please check CV"),"0,000")</f>
        <v>625.69200000000001</v>
      </c>
      <c r="F11" s="129"/>
      <c r="G11" s="128">
        <f ca="1">IF(Table1_Totals!G11&lt;&gt;0,IF(Table1_Totals!$K11&lt;&gt;0,Table1_Totals!G11*Table1_Totals!$K11/1000,"Please check CV"),"0,000")</f>
        <v>29.532</v>
      </c>
      <c r="H11" s="128">
        <f ca="1">IF(Table1_Totals!H11&lt;&gt;0,IF(Table1_Totals!$K11&lt;&gt;0,Table1_Totals!H11*Table1_Totals!$K11/1000,"Please check CV"),"0,000")</f>
        <v>2765.1060000000002</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95"/>
      <c r="B12" s="10" t="s">
        <v>22</v>
      </c>
      <c r="C12" s="11" t="s">
        <v>16</v>
      </c>
      <c r="D12" s="127">
        <f t="shared" ca="1" si="0"/>
        <v>109.736</v>
      </c>
      <c r="E12" s="128">
        <f ca="1">IF(Table1_Totals!E12&lt;&gt;0,IF(Table1_Totals!$K12&lt;&gt;0,Table1_Totals!E12*Table1_Totals!$K12/1000,"Please check CV"),"0,000")</f>
        <v>109.736</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43000</v>
      </c>
    </row>
    <row r="13" spans="1:11" s="34" customFormat="1" ht="15" customHeight="1" x14ac:dyDescent="0.25">
      <c r="A13" s="195"/>
      <c r="B13" s="10" t="s">
        <v>23</v>
      </c>
      <c r="C13" s="11" t="s">
        <v>16</v>
      </c>
      <c r="D13" s="127">
        <f t="shared" ca="1" si="0"/>
        <v>39867.976800000004</v>
      </c>
      <c r="E13" s="128">
        <f ca="1">IF(Table1_Totals!E13&lt;&gt;0,IF(Table1_Totals!$K13&lt;&gt;0,Table1_Totals!E13*Table1_Totals!$K13/1000,"Please check CV"),"0,000")</f>
        <v>38088.873</v>
      </c>
      <c r="F13" s="129"/>
      <c r="G13" s="128">
        <f ca="1">IF(Table1_Totals!G13&lt;&gt;0,IF(Table1_Totals!$K13&lt;&gt;0,Table1_Totals!G13*Table1_Totals!$K13/1000,"Please check CV"),"0,000")</f>
        <v>1769.3058000000001</v>
      </c>
      <c r="H13" s="128">
        <f ca="1">IF(Table1_Totals!H13&lt;&gt;0,IF(Table1_Totals!$K13&lt;&gt;0,Table1_Totals!H13*Table1_Totals!$K13/1000,"Please check CV"),"0,000")</f>
        <v>9.798</v>
      </c>
      <c r="I13" s="129"/>
      <c r="J13" s="128" t="str">
        <f ca="1">IF(Table1_Totals!J13&lt;&gt;0,IF(Table1_Totals!$K13&lt;&gt;0,Table1_Totals!J13*Table1_Totals!$K13/1000,"Please check CV"),"0,000")</f>
        <v>0,000</v>
      </c>
      <c r="K13" s="130">
        <f ca="1">Table1_Totals!K13</f>
        <v>42600</v>
      </c>
    </row>
    <row r="14" spans="1:11" ht="24" customHeight="1" x14ac:dyDescent="0.25">
      <c r="A14" s="196" t="s">
        <v>43</v>
      </c>
      <c r="B14" s="197"/>
      <c r="C14" s="109" t="s">
        <v>16</v>
      </c>
      <c r="D14" s="123">
        <f t="shared" ca="1" si="0"/>
        <v>43952.800000000003</v>
      </c>
      <c r="E14" s="124">
        <f ca="1">Table1_Totals!E14</f>
        <v>32147.402999999998</v>
      </c>
      <c r="F14" s="125"/>
      <c r="G14" s="124">
        <f ca="1">Table1_Totals!G14</f>
        <v>11372.23</v>
      </c>
      <c r="H14" s="124">
        <f ca="1">Table1_Totals!H14</f>
        <v>433.16699999999997</v>
      </c>
      <c r="I14" s="125"/>
      <c r="J14" s="124">
        <f ca="1">Table1_Totals!J14</f>
        <v>0</v>
      </c>
      <c r="K14" s="125"/>
    </row>
    <row r="15" spans="1:11" s="34" customFormat="1" ht="15" customHeight="1" x14ac:dyDescent="0.25">
      <c r="A15" s="195" t="s">
        <v>18</v>
      </c>
      <c r="B15" s="10" t="s">
        <v>26</v>
      </c>
      <c r="C15" s="11" t="s">
        <v>16</v>
      </c>
      <c r="D15" s="127">
        <f t="shared" ca="1" si="0"/>
        <v>11114</v>
      </c>
      <c r="E15" s="128">
        <f ca="1">Table1_Totals!E15</f>
        <v>0</v>
      </c>
      <c r="F15" s="129"/>
      <c r="G15" s="128">
        <f ca="1">Table1_Totals!G15</f>
        <v>11114</v>
      </c>
      <c r="H15" s="128">
        <f ca="1">Table1_Totals!H15</f>
        <v>0</v>
      </c>
      <c r="I15" s="129"/>
      <c r="J15" s="128">
        <f ca="1">Table1_Totals!J15</f>
        <v>0</v>
      </c>
      <c r="K15" s="129"/>
    </row>
    <row r="16" spans="1:11" s="34" customFormat="1" ht="15" customHeight="1" x14ac:dyDescent="0.25">
      <c r="A16" s="195"/>
      <c r="B16" s="10" t="s">
        <v>27</v>
      </c>
      <c r="C16" s="11" t="s">
        <v>16</v>
      </c>
      <c r="D16" s="127">
        <f t="shared" ca="1" si="0"/>
        <v>27551</v>
      </c>
      <c r="E16" s="128">
        <f ca="1">Table1_Totals!E16</f>
        <v>26859.602999999999</v>
      </c>
      <c r="F16" s="129"/>
      <c r="G16" s="128">
        <f ca="1">Table1_Totals!G16</f>
        <v>258.23</v>
      </c>
      <c r="H16" s="128">
        <f ca="1">Table1_Totals!H16</f>
        <v>433.16699999999997</v>
      </c>
      <c r="I16" s="129"/>
      <c r="J16" s="128">
        <f ca="1">Table1_Totals!J16</f>
        <v>0</v>
      </c>
      <c r="K16" s="129"/>
    </row>
    <row r="17" spans="1:11" s="34" customFormat="1" ht="15" customHeight="1" x14ac:dyDescent="0.25">
      <c r="A17" s="19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5"/>
      <c r="B18" s="34" t="s">
        <v>184</v>
      </c>
      <c r="C18" s="11" t="s">
        <v>16</v>
      </c>
      <c r="D18" s="127">
        <f t="shared" ca="1" si="0"/>
        <v>2903</v>
      </c>
      <c r="E18" s="128">
        <f ca="1">Table1_Totals!E18</f>
        <v>2903</v>
      </c>
      <c r="F18" s="129"/>
      <c r="G18" s="128">
        <f ca="1">Table1_Totals!G18</f>
        <v>0</v>
      </c>
      <c r="H18" s="128">
        <f ca="1">Table1_Totals!H18</f>
        <v>0</v>
      </c>
      <c r="I18" s="129"/>
      <c r="J18" s="128">
        <f ca="1">Table1_Totals!J18</f>
        <v>0</v>
      </c>
      <c r="K18" s="129"/>
    </row>
    <row r="19" spans="1:11" ht="24" customHeight="1" x14ac:dyDescent="0.25">
      <c r="A19" s="196" t="s">
        <v>171</v>
      </c>
      <c r="B19" s="197"/>
      <c r="C19" s="109" t="s">
        <v>16</v>
      </c>
      <c r="D19" s="123">
        <f t="shared" ref="D19" ca="1" si="2">SUM(E19:J19)</f>
        <v>163028.53014999998</v>
      </c>
      <c r="E19" s="124">
        <f ca="1">SUM(E6:E10,E14)</f>
        <v>88860.327549999987</v>
      </c>
      <c r="F19" s="124">
        <f t="shared" ref="F19:J19" ca="1" si="3">SUM(F6:F10,F14)</f>
        <v>5856.2352000000001</v>
      </c>
      <c r="G19" s="124">
        <f t="shared" ca="1" si="3"/>
        <v>24782.806799999998</v>
      </c>
      <c r="H19" s="124">
        <f t="shared" ca="1" si="3"/>
        <v>10175.7078</v>
      </c>
      <c r="I19" s="124">
        <f t="shared" ca="1" si="3"/>
        <v>33353.452799999999</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M14" sqref="M14"/>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7" t="s">
        <v>0</v>
      </c>
      <c r="B1" s="200"/>
      <c r="C1" s="31"/>
      <c r="D1" s="1"/>
      <c r="E1" s="2"/>
      <c r="F1" s="2"/>
      <c r="G1" s="2"/>
      <c r="H1" s="2"/>
      <c r="I1" s="2"/>
      <c r="J1" s="2"/>
      <c r="K1" s="2"/>
      <c r="L1" s="2"/>
      <c r="M1" s="2"/>
      <c r="N1" s="2"/>
      <c r="O1" s="2"/>
    </row>
    <row r="2" spans="1:134" ht="18" customHeight="1" x14ac:dyDescent="0.25">
      <c r="A2" s="179"/>
      <c r="B2" s="193"/>
      <c r="C2" s="1"/>
      <c r="D2" s="1"/>
      <c r="E2" s="5"/>
      <c r="F2" s="3"/>
      <c r="G2" s="3"/>
      <c r="H2" s="3"/>
      <c r="I2" s="3"/>
      <c r="J2" s="3"/>
      <c r="K2" s="3"/>
      <c r="L2" s="3"/>
      <c r="M2" s="3"/>
      <c r="N2" s="3"/>
      <c r="O2" s="3"/>
    </row>
    <row r="3" spans="1:134" ht="18" customHeight="1" x14ac:dyDescent="0.25">
      <c r="A3" s="181" t="s">
        <v>30</v>
      </c>
      <c r="B3" s="201"/>
      <c r="C3" s="1"/>
      <c r="D3" s="1"/>
      <c r="E3" s="5"/>
      <c r="F3" s="3"/>
      <c r="G3" s="3"/>
      <c r="H3" s="3"/>
      <c r="I3" s="3"/>
      <c r="J3" s="3"/>
      <c r="K3" s="3"/>
      <c r="L3" s="3"/>
      <c r="M3" s="3"/>
      <c r="N3" s="3"/>
      <c r="O3" s="3"/>
      <c r="DS3" s="33" t="s">
        <v>229</v>
      </c>
    </row>
    <row r="4" spans="1:134" ht="18" customHeight="1" x14ac:dyDescent="0.25">
      <c r="A4" s="192"/>
      <c r="B4" s="193"/>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4" t="s">
        <v>3</v>
      </c>
      <c r="B5" s="19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2" t="s">
        <v>13</v>
      </c>
      <c r="B6" s="198"/>
      <c r="C6" s="8" t="s">
        <v>14</v>
      </c>
      <c r="D6" s="59"/>
      <c r="E6" s="60"/>
      <c r="F6" s="60"/>
      <c r="G6" s="60">
        <v>521.39189999999996</v>
      </c>
      <c r="H6" s="60"/>
      <c r="I6" s="60">
        <v>1946.7</v>
      </c>
      <c r="J6" s="60">
        <v>2093.6999999999998</v>
      </c>
      <c r="K6" s="60">
        <v>1518.827</v>
      </c>
      <c r="L6" s="60">
        <v>1182.2070000000001</v>
      </c>
      <c r="M6" s="60"/>
      <c r="N6" s="60"/>
      <c r="O6" s="60"/>
      <c r="DS6" s="4" t="str">
        <f>VLOOKUP(Cover!$D$15, Country_list!$B$3:$C$44, 2, 0)</f>
        <v>GR</v>
      </c>
      <c r="DT6" s="33" t="s">
        <v>289</v>
      </c>
      <c r="DV6" s="33" t="s">
        <v>302</v>
      </c>
      <c r="EB6" s="33" t="s">
        <v>291</v>
      </c>
      <c r="ED6" s="33" t="s">
        <v>294</v>
      </c>
    </row>
    <row r="7" spans="1:134" ht="24" customHeight="1" x14ac:dyDescent="0.25">
      <c r="A7" s="175" t="s">
        <v>15</v>
      </c>
      <c r="B7" s="199"/>
      <c r="C7" s="9" t="s">
        <v>25</v>
      </c>
      <c r="D7" s="61"/>
      <c r="E7" s="58"/>
      <c r="F7" s="58"/>
      <c r="G7" s="58">
        <v>1738</v>
      </c>
      <c r="H7" s="58"/>
      <c r="I7" s="58">
        <v>2093</v>
      </c>
      <c r="J7" s="58">
        <v>1970</v>
      </c>
      <c r="K7" s="58">
        <v>2043.913</v>
      </c>
      <c r="L7" s="58">
        <v>1977.5409999999999</v>
      </c>
      <c r="M7" s="58"/>
      <c r="N7" s="58"/>
      <c r="O7" s="58"/>
      <c r="DT7" s="33" t="s">
        <v>290</v>
      </c>
      <c r="EB7" s="33" t="s">
        <v>291</v>
      </c>
      <c r="ED7" s="33" t="s">
        <v>295</v>
      </c>
    </row>
    <row r="8" spans="1:134" ht="24" customHeight="1" x14ac:dyDescent="0.25">
      <c r="A8" s="175" t="s">
        <v>29</v>
      </c>
      <c r="B8" s="199"/>
      <c r="C8" s="9" t="s">
        <v>17</v>
      </c>
      <c r="D8" s="61"/>
      <c r="E8" s="58"/>
      <c r="F8" s="58"/>
      <c r="G8" s="58">
        <v>10635.598</v>
      </c>
      <c r="H8" s="58"/>
      <c r="I8" s="58">
        <v>15965.9</v>
      </c>
      <c r="J8" s="58">
        <v>14273.3</v>
      </c>
      <c r="K8" s="58">
        <v>16100.661</v>
      </c>
      <c r="L8" s="58">
        <v>13437.817999999999</v>
      </c>
      <c r="M8" s="58"/>
      <c r="N8" s="58"/>
      <c r="O8" s="58"/>
      <c r="DT8" s="33" t="s">
        <v>231</v>
      </c>
      <c r="EB8" s="33" t="s">
        <v>291</v>
      </c>
      <c r="ED8" s="33" t="s">
        <v>296</v>
      </c>
    </row>
    <row r="9" spans="1:134" ht="24" customHeight="1" x14ac:dyDescent="0.25">
      <c r="A9" s="175" t="s">
        <v>156</v>
      </c>
      <c r="B9" s="199"/>
      <c r="C9" s="9" t="s">
        <v>19</v>
      </c>
      <c r="D9" s="61"/>
      <c r="E9" s="58"/>
      <c r="F9" s="58"/>
      <c r="G9" s="58"/>
      <c r="H9" s="58"/>
      <c r="I9" s="58"/>
      <c r="J9" s="58">
        <v>16</v>
      </c>
      <c r="K9" s="58">
        <v>36.551000000000002</v>
      </c>
      <c r="L9" s="58">
        <v>30.69</v>
      </c>
      <c r="M9" s="58"/>
      <c r="N9" s="58"/>
      <c r="O9" s="58"/>
      <c r="DT9" s="33" t="s">
        <v>279</v>
      </c>
      <c r="EB9" s="33" t="s">
        <v>292</v>
      </c>
      <c r="ED9" s="33" t="s">
        <v>293</v>
      </c>
    </row>
    <row r="10" spans="1:134" ht="24" customHeight="1" x14ac:dyDescent="0.25">
      <c r="A10" s="175" t="s">
        <v>20</v>
      </c>
      <c r="B10" s="199"/>
      <c r="C10" s="9" t="s">
        <v>19</v>
      </c>
      <c r="D10" s="61"/>
      <c r="E10" s="58"/>
      <c r="F10" s="58"/>
      <c r="G10" s="58">
        <v>946.99699999999996</v>
      </c>
      <c r="H10" s="58"/>
      <c r="I10" s="58">
        <v>1350.7</v>
      </c>
      <c r="J10" s="58">
        <v>1186.5</v>
      </c>
      <c r="K10" s="58">
        <v>1162.28</v>
      </c>
      <c r="L10" s="58">
        <v>910.25900000000001</v>
      </c>
      <c r="M10" s="58"/>
      <c r="N10" s="58"/>
      <c r="O10" s="58"/>
      <c r="DT10" s="139" t="s">
        <v>280</v>
      </c>
      <c r="EB10" s="33" t="s">
        <v>292</v>
      </c>
      <c r="ED10" s="33" t="s">
        <v>293</v>
      </c>
    </row>
    <row r="11" spans="1:134" s="34" customFormat="1" ht="15" customHeight="1" x14ac:dyDescent="0.25">
      <c r="A11" s="174" t="s">
        <v>18</v>
      </c>
      <c r="B11" s="110" t="s">
        <v>21</v>
      </c>
      <c r="C11" s="111" t="s">
        <v>19</v>
      </c>
      <c r="D11" s="112"/>
      <c r="E11" s="113"/>
      <c r="F11" s="113"/>
      <c r="G11" s="157">
        <v>39.563000000000002</v>
      </c>
      <c r="H11" s="113"/>
      <c r="I11" s="113">
        <v>48.2</v>
      </c>
      <c r="J11" s="113">
        <v>46.7</v>
      </c>
      <c r="K11" s="113">
        <v>60.087000000000003</v>
      </c>
      <c r="L11" s="113">
        <v>13.602</v>
      </c>
      <c r="M11" s="113"/>
      <c r="N11" s="113"/>
      <c r="O11" s="113"/>
      <c r="DT11" s="34" t="s">
        <v>281</v>
      </c>
      <c r="EB11" s="34" t="s">
        <v>292</v>
      </c>
      <c r="ED11" s="34" t="s">
        <v>293</v>
      </c>
    </row>
    <row r="12" spans="1:134" s="34" customFormat="1" ht="15" customHeight="1" x14ac:dyDescent="0.25">
      <c r="A12" s="174"/>
      <c r="B12" s="110" t="s">
        <v>22</v>
      </c>
      <c r="C12" s="111" t="s">
        <v>19</v>
      </c>
      <c r="D12" s="112"/>
      <c r="E12" s="113"/>
      <c r="F12" s="113"/>
      <c r="G12" s="157">
        <v>4</v>
      </c>
      <c r="H12" s="113"/>
      <c r="I12" s="113">
        <v>4</v>
      </c>
      <c r="J12" s="113">
        <v>3</v>
      </c>
      <c r="K12" s="113">
        <v>3.6659999999999999</v>
      </c>
      <c r="L12" s="113">
        <v>2.552</v>
      </c>
      <c r="M12" s="113"/>
      <c r="N12" s="113"/>
      <c r="O12" s="113"/>
      <c r="DT12" s="34" t="s">
        <v>282</v>
      </c>
      <c r="EB12" s="34" t="s">
        <v>292</v>
      </c>
      <c r="ED12" s="34" t="s">
        <v>293</v>
      </c>
    </row>
    <row r="13" spans="1:134" s="34" customFormat="1" ht="15" customHeight="1" x14ac:dyDescent="0.25">
      <c r="A13" s="174"/>
      <c r="B13" s="110" t="s">
        <v>23</v>
      </c>
      <c r="C13" s="111" t="s">
        <v>19</v>
      </c>
      <c r="D13" s="112"/>
      <c r="E13" s="113"/>
      <c r="F13" s="113"/>
      <c r="G13" s="157">
        <v>903.43399999999997</v>
      </c>
      <c r="H13" s="113"/>
      <c r="I13" s="113">
        <v>1298.5</v>
      </c>
      <c r="J13" s="113">
        <v>1136.8</v>
      </c>
      <c r="K13" s="113">
        <v>1098.527</v>
      </c>
      <c r="L13" s="113">
        <v>894.10500000000002</v>
      </c>
      <c r="M13" s="113"/>
      <c r="N13" s="113"/>
      <c r="O13" s="113"/>
      <c r="DT13" s="34" t="s">
        <v>283</v>
      </c>
      <c r="EB13" s="34" t="s">
        <v>292</v>
      </c>
      <c r="ED13" s="34" t="s">
        <v>293</v>
      </c>
    </row>
    <row r="14" spans="1:134" ht="24" customHeight="1" x14ac:dyDescent="0.25">
      <c r="A14" s="175" t="s">
        <v>24</v>
      </c>
      <c r="B14" s="199"/>
      <c r="C14" s="9" t="s">
        <v>25</v>
      </c>
      <c r="D14" s="61"/>
      <c r="E14" s="58"/>
      <c r="F14" s="58"/>
      <c r="G14" s="58">
        <v>22580.471000000001</v>
      </c>
      <c r="H14" s="58"/>
      <c r="I14" s="58">
        <v>34736.300000000003</v>
      </c>
      <c r="J14" s="58">
        <v>29798.5</v>
      </c>
      <c r="K14" s="58">
        <v>33395.335999999996</v>
      </c>
      <c r="L14" s="58">
        <v>32147.402999999998</v>
      </c>
      <c r="M14" s="58"/>
      <c r="N14" s="58"/>
      <c r="O14" s="58"/>
      <c r="DT14" s="139" t="s">
        <v>284</v>
      </c>
      <c r="EB14" s="33" t="s">
        <v>291</v>
      </c>
      <c r="ED14" s="33" t="s">
        <v>295</v>
      </c>
    </row>
    <row r="15" spans="1:134" s="34" customFormat="1" ht="15" customHeight="1" x14ac:dyDescent="0.25">
      <c r="A15" s="174" t="s">
        <v>18</v>
      </c>
      <c r="B15" s="110" t="s">
        <v>26</v>
      </c>
      <c r="C15" s="111" t="s">
        <v>25</v>
      </c>
      <c r="D15" s="112"/>
      <c r="E15" s="113"/>
      <c r="F15" s="113"/>
      <c r="G15" s="113">
        <v>0</v>
      </c>
      <c r="H15" s="113"/>
      <c r="I15" s="113">
        <v>822.8</v>
      </c>
      <c r="J15" s="113"/>
      <c r="K15" s="113">
        <v>4.3</v>
      </c>
      <c r="L15" s="113"/>
      <c r="M15" s="113"/>
      <c r="N15" s="113"/>
      <c r="O15" s="113"/>
      <c r="DT15" s="34" t="s">
        <v>285</v>
      </c>
      <c r="EB15" s="34" t="s">
        <v>291</v>
      </c>
      <c r="ED15" s="34" t="s">
        <v>295</v>
      </c>
    </row>
    <row r="16" spans="1:134" s="34" customFormat="1" ht="15" customHeight="1" x14ac:dyDescent="0.25">
      <c r="A16" s="174"/>
      <c r="B16" s="110" t="s">
        <v>27</v>
      </c>
      <c r="C16" s="111" t="s">
        <v>25</v>
      </c>
      <c r="D16" s="112"/>
      <c r="E16" s="113"/>
      <c r="F16" s="113"/>
      <c r="G16" s="113">
        <v>20627.471000000001</v>
      </c>
      <c r="H16" s="113"/>
      <c r="I16" s="113">
        <v>31991.5</v>
      </c>
      <c r="J16" s="113">
        <v>27845.5</v>
      </c>
      <c r="K16" s="113">
        <v>28860.5</v>
      </c>
      <c r="L16" s="113">
        <v>26859.602999999999</v>
      </c>
      <c r="M16" s="113"/>
      <c r="N16" s="113"/>
      <c r="O16" s="113"/>
      <c r="DT16" s="34" t="s">
        <v>286</v>
      </c>
      <c r="EB16" s="34" t="s">
        <v>291</v>
      </c>
      <c r="ED16" s="34" t="s">
        <v>295</v>
      </c>
    </row>
    <row r="17" spans="1:134" s="34" customFormat="1" ht="15" customHeight="1" x14ac:dyDescent="0.25">
      <c r="A17" s="174"/>
      <c r="B17" s="110" t="s">
        <v>28</v>
      </c>
      <c r="C17" s="111" t="s">
        <v>25</v>
      </c>
      <c r="D17" s="112"/>
      <c r="E17" s="112"/>
      <c r="F17" s="112"/>
      <c r="G17" s="112">
        <v>0</v>
      </c>
      <c r="H17" s="112"/>
      <c r="I17" s="112"/>
      <c r="J17" s="112"/>
      <c r="K17" s="112"/>
      <c r="L17" s="112"/>
      <c r="M17" s="112"/>
      <c r="N17" s="112"/>
      <c r="O17" s="112"/>
      <c r="DT17" s="34" t="s">
        <v>287</v>
      </c>
      <c r="EB17" s="34" t="s">
        <v>291</v>
      </c>
      <c r="ED17" s="34" t="s">
        <v>295</v>
      </c>
    </row>
    <row r="18" spans="1:134" s="34" customFormat="1" ht="15" customHeight="1" x14ac:dyDescent="0.25">
      <c r="A18" s="174"/>
      <c r="B18" s="110" t="s">
        <v>184</v>
      </c>
      <c r="C18" s="111" t="s">
        <v>25</v>
      </c>
      <c r="D18" s="112"/>
      <c r="E18" s="112"/>
      <c r="F18" s="112"/>
      <c r="G18" s="112"/>
      <c r="H18" s="112"/>
      <c r="I18" s="112"/>
      <c r="J18" s="112"/>
      <c r="K18" s="112">
        <v>2577.5360000000001</v>
      </c>
      <c r="L18" s="112">
        <v>2903</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F1" activePane="topRight" state="frozen"/>
      <selection activeCell="DS1" sqref="DS1:ED1048576"/>
      <selection pane="topRight" activeCell="J29" sqref="J29"/>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7" t="s">
        <v>0</v>
      </c>
      <c r="B1" s="200"/>
      <c r="C1" s="31"/>
      <c r="D1" s="1"/>
      <c r="E1" s="2"/>
      <c r="F1" s="2"/>
      <c r="G1" s="2"/>
      <c r="H1" s="2"/>
      <c r="I1" s="2"/>
      <c r="J1" s="2"/>
      <c r="K1" s="2"/>
      <c r="L1" s="2"/>
      <c r="M1" s="2"/>
      <c r="N1" s="2"/>
      <c r="O1" s="2"/>
    </row>
    <row r="2" spans="1:134" ht="18" customHeight="1" x14ac:dyDescent="0.25">
      <c r="A2" s="179"/>
      <c r="B2" s="193"/>
      <c r="C2" s="1"/>
      <c r="D2" s="1"/>
      <c r="E2" s="5"/>
      <c r="F2" s="3"/>
      <c r="G2" s="3"/>
      <c r="H2" s="3"/>
      <c r="I2" s="3"/>
      <c r="J2" s="3"/>
      <c r="K2" s="3"/>
      <c r="L2" s="3"/>
      <c r="M2" s="3"/>
      <c r="N2" s="3"/>
      <c r="O2" s="3"/>
    </row>
    <row r="3" spans="1:134" ht="18" customHeight="1" x14ac:dyDescent="0.25">
      <c r="A3" s="181" t="s">
        <v>31</v>
      </c>
      <c r="B3" s="201"/>
      <c r="C3" s="1"/>
      <c r="D3" s="1"/>
      <c r="E3" s="5"/>
      <c r="F3" s="3"/>
      <c r="G3" s="3"/>
      <c r="H3" s="3"/>
      <c r="I3" s="3"/>
      <c r="J3" s="3"/>
      <c r="K3" s="3"/>
      <c r="L3" s="3"/>
      <c r="M3" s="3"/>
      <c r="N3" s="3"/>
      <c r="O3" s="3"/>
      <c r="DS3" s="33" t="s">
        <v>229</v>
      </c>
    </row>
    <row r="4" spans="1:134" ht="18" customHeight="1" x14ac:dyDescent="0.25">
      <c r="A4" s="192"/>
      <c r="B4" s="193"/>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4" t="s">
        <v>3</v>
      </c>
      <c r="B5" s="19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2" t="s">
        <v>13</v>
      </c>
      <c r="B6" s="172"/>
      <c r="C6" s="8" t="s">
        <v>14</v>
      </c>
      <c r="D6" s="59"/>
      <c r="E6" s="60"/>
      <c r="F6" s="60"/>
      <c r="G6" s="60">
        <v>850.10810000000004</v>
      </c>
      <c r="H6" s="60"/>
      <c r="I6" s="60">
        <v>1613.5</v>
      </c>
      <c r="J6" s="60">
        <v>2013.3</v>
      </c>
      <c r="K6" s="60">
        <v>2198.7820000000002</v>
      </c>
      <c r="L6" s="60">
        <v>1626.732</v>
      </c>
      <c r="M6" s="60"/>
      <c r="N6" s="60"/>
      <c r="O6" s="60"/>
      <c r="DS6" s="4" t="str">
        <f>VLOOKUP(Cover!$D$15, Country_list!$B$3:$C$44, 2, 0)</f>
        <v>GR</v>
      </c>
      <c r="DT6" s="33" t="s">
        <v>289</v>
      </c>
      <c r="DV6" s="33" t="s">
        <v>303</v>
      </c>
      <c r="EB6" s="33" t="s">
        <v>291</v>
      </c>
      <c r="ED6" s="33" t="s">
        <v>294</v>
      </c>
    </row>
    <row r="7" spans="1:134" s="119" customFormat="1" ht="24" customHeight="1" x14ac:dyDescent="0.25">
      <c r="A7" s="202" t="s">
        <v>15</v>
      </c>
      <c r="B7" s="203"/>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2" t="s">
        <v>29</v>
      </c>
      <c r="B8" s="203"/>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2" t="s">
        <v>156</v>
      </c>
      <c r="B9" s="203"/>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2" t="s">
        <v>20</v>
      </c>
      <c r="B10" s="203"/>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4"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4"/>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4"/>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2" t="s">
        <v>24</v>
      </c>
      <c r="B14" s="203"/>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4"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4"/>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4"/>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4"/>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F1" activePane="topRight" state="frozen"/>
      <selection activeCell="DS1" sqref="DS1:ED1048576"/>
      <selection pane="topRight" activeCell="K32" sqref="K32"/>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7" t="s">
        <v>0</v>
      </c>
      <c r="B1" s="200"/>
      <c r="C1" s="31"/>
      <c r="D1" s="1"/>
      <c r="E1" s="2"/>
      <c r="F1" s="2"/>
      <c r="G1" s="2"/>
      <c r="H1" s="2"/>
      <c r="I1" s="2"/>
      <c r="J1" s="2"/>
      <c r="K1" s="2"/>
      <c r="L1" s="2"/>
      <c r="M1" s="2"/>
      <c r="N1" s="2"/>
      <c r="O1" s="2"/>
    </row>
    <row r="2" spans="1:134" ht="18" customHeight="1" x14ac:dyDescent="0.25">
      <c r="A2" s="179"/>
      <c r="B2" s="193"/>
      <c r="C2" s="1"/>
      <c r="D2" s="1"/>
      <c r="E2" s="5"/>
      <c r="F2" s="3"/>
      <c r="G2" s="3"/>
      <c r="H2" s="3"/>
      <c r="I2" s="3"/>
      <c r="J2" s="3"/>
      <c r="K2" s="3"/>
      <c r="L2" s="3"/>
      <c r="M2" s="3"/>
      <c r="N2" s="3"/>
      <c r="O2" s="3"/>
    </row>
    <row r="3" spans="1:134" ht="18" customHeight="1" x14ac:dyDescent="0.25">
      <c r="A3" s="181" t="s">
        <v>8</v>
      </c>
      <c r="B3" s="201"/>
      <c r="C3" s="1"/>
      <c r="D3" s="1"/>
      <c r="E3" s="5"/>
      <c r="F3" s="3"/>
      <c r="G3" s="3"/>
      <c r="H3" s="3"/>
      <c r="I3" s="3"/>
      <c r="J3" s="3"/>
      <c r="K3" s="3"/>
      <c r="L3" s="3"/>
      <c r="M3" s="3"/>
      <c r="N3" s="3"/>
      <c r="O3" s="3"/>
      <c r="DS3" s="33" t="s">
        <v>229</v>
      </c>
    </row>
    <row r="4" spans="1:134" ht="18" customHeight="1" x14ac:dyDescent="0.25">
      <c r="A4" s="192"/>
      <c r="B4" s="193"/>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4" t="s">
        <v>3</v>
      </c>
      <c r="B5" s="19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2" t="s">
        <v>13</v>
      </c>
      <c r="B6" s="198"/>
      <c r="C6" s="8" t="s">
        <v>14</v>
      </c>
      <c r="D6" s="59"/>
      <c r="E6" s="60"/>
      <c r="F6" s="60"/>
      <c r="G6" s="60">
        <v>1634.4160999999999</v>
      </c>
      <c r="H6" s="60"/>
      <c r="I6" s="60">
        <v>2963.9</v>
      </c>
      <c r="J6" s="60">
        <v>3179.6</v>
      </c>
      <c r="K6" s="60">
        <v>3076.663</v>
      </c>
      <c r="L6" s="60">
        <v>2711.1030000000001</v>
      </c>
      <c r="M6" s="60"/>
      <c r="N6" s="60"/>
      <c r="O6" s="60"/>
      <c r="DS6" s="4" t="str">
        <f>VLOOKUP(Cover!$D$15, Country_list!$B$3:$C$44, 2, 0)</f>
        <v>GR</v>
      </c>
      <c r="DT6" s="33" t="s">
        <v>289</v>
      </c>
      <c r="DV6" s="33" t="s">
        <v>304</v>
      </c>
      <c r="EB6" s="33" t="s">
        <v>291</v>
      </c>
      <c r="ED6" s="33" t="s">
        <v>294</v>
      </c>
    </row>
    <row r="7" spans="1:134" ht="24" customHeight="1" x14ac:dyDescent="0.25">
      <c r="A7" s="175" t="s">
        <v>15</v>
      </c>
      <c r="B7" s="199"/>
      <c r="C7" s="9" t="s">
        <v>25</v>
      </c>
      <c r="D7" s="61"/>
      <c r="E7" s="58"/>
      <c r="F7" s="58"/>
      <c r="G7" s="58">
        <v>0</v>
      </c>
      <c r="H7" s="58"/>
      <c r="I7" s="58"/>
      <c r="J7" s="58">
        <v>164.1</v>
      </c>
      <c r="K7" s="58">
        <v>93.566999999999993</v>
      </c>
      <c r="L7" s="58">
        <v>189.65899999999999</v>
      </c>
      <c r="M7" s="58"/>
      <c r="N7" s="58"/>
      <c r="O7" s="58"/>
      <c r="DT7" s="33" t="s">
        <v>290</v>
      </c>
      <c r="EB7" s="33" t="s">
        <v>291</v>
      </c>
      <c r="ED7" s="33" t="s">
        <v>295</v>
      </c>
    </row>
    <row r="8" spans="1:134" ht="24" customHeight="1" x14ac:dyDescent="0.25">
      <c r="A8" s="175" t="s">
        <v>29</v>
      </c>
      <c r="B8" s="199"/>
      <c r="C8" s="9" t="s">
        <v>17</v>
      </c>
      <c r="D8" s="61"/>
      <c r="E8" s="58"/>
      <c r="F8" s="58"/>
      <c r="G8" s="58">
        <v>177.40199999999999</v>
      </c>
      <c r="H8" s="58"/>
      <c r="I8" s="58">
        <v>529</v>
      </c>
      <c r="J8" s="58">
        <v>953.6</v>
      </c>
      <c r="K8" s="58">
        <v>663.51900000000001</v>
      </c>
      <c r="L8" s="58">
        <v>1877.33</v>
      </c>
      <c r="M8" s="58"/>
      <c r="N8" s="58"/>
      <c r="O8" s="58"/>
      <c r="DT8" s="33" t="s">
        <v>231</v>
      </c>
      <c r="EB8" s="33" t="s">
        <v>291</v>
      </c>
      <c r="ED8" s="33" t="s">
        <v>296</v>
      </c>
    </row>
    <row r="9" spans="1:134" ht="24" customHeight="1" x14ac:dyDescent="0.25">
      <c r="A9" s="175" t="s">
        <v>156</v>
      </c>
      <c r="B9" s="199"/>
      <c r="C9" s="9" t="s">
        <v>19</v>
      </c>
      <c r="D9" s="61"/>
      <c r="E9" s="58"/>
      <c r="F9" s="58"/>
      <c r="G9" s="58">
        <v>0</v>
      </c>
      <c r="H9" s="58"/>
      <c r="I9" s="58"/>
      <c r="J9" s="58"/>
      <c r="K9" s="58"/>
      <c r="L9" s="58"/>
      <c r="M9" s="58"/>
      <c r="N9" s="58"/>
      <c r="O9" s="58"/>
      <c r="DT9" s="33" t="s">
        <v>279</v>
      </c>
      <c r="EB9" s="33" t="s">
        <v>292</v>
      </c>
      <c r="ED9" s="33" t="s">
        <v>293</v>
      </c>
    </row>
    <row r="10" spans="1:134" ht="24" customHeight="1" x14ac:dyDescent="0.25">
      <c r="A10" s="175" t="s">
        <v>20</v>
      </c>
      <c r="B10" s="199"/>
      <c r="C10" s="9" t="s">
        <v>19</v>
      </c>
      <c r="D10" s="61"/>
      <c r="E10" s="58"/>
      <c r="F10" s="58"/>
      <c r="G10" s="58">
        <v>4.9249999999999998</v>
      </c>
      <c r="H10" s="58"/>
      <c r="I10" s="58">
        <v>59.8</v>
      </c>
      <c r="J10" s="58">
        <v>29.3</v>
      </c>
      <c r="K10" s="58">
        <v>42.658000000000001</v>
      </c>
      <c r="L10" s="58">
        <v>42.174999999999997</v>
      </c>
      <c r="M10" s="58"/>
      <c r="N10" s="58"/>
      <c r="O10" s="58"/>
      <c r="DT10" s="139" t="s">
        <v>280</v>
      </c>
      <c r="EB10" s="33" t="s">
        <v>292</v>
      </c>
      <c r="ED10" s="33" t="s">
        <v>293</v>
      </c>
    </row>
    <row r="11" spans="1:134" s="34" customFormat="1" ht="15" customHeight="1" x14ac:dyDescent="0.25">
      <c r="A11" s="174" t="s">
        <v>18</v>
      </c>
      <c r="B11" s="110" t="s">
        <v>21</v>
      </c>
      <c r="C11" s="111" t="s">
        <v>19</v>
      </c>
      <c r="D11" s="112"/>
      <c r="E11" s="113"/>
      <c r="F11" s="113"/>
      <c r="G11" s="113">
        <v>0.35399999999999998</v>
      </c>
      <c r="H11" s="113"/>
      <c r="I11" s="113">
        <v>1.3</v>
      </c>
      <c r="J11" s="113">
        <v>0.1</v>
      </c>
      <c r="K11" s="113"/>
      <c r="L11" s="113">
        <v>0.64200000000000002</v>
      </c>
      <c r="M11" s="113"/>
      <c r="N11" s="113"/>
      <c r="O11" s="113"/>
      <c r="DT11" s="34" t="s">
        <v>281</v>
      </c>
      <c r="EB11" s="34" t="s">
        <v>292</v>
      </c>
      <c r="ED11" s="34" t="s">
        <v>293</v>
      </c>
    </row>
    <row r="12" spans="1:134" s="34" customFormat="1" ht="15" customHeight="1" x14ac:dyDescent="0.25">
      <c r="A12" s="174"/>
      <c r="B12" s="110" t="s">
        <v>22</v>
      </c>
      <c r="C12" s="111" t="s">
        <v>19</v>
      </c>
      <c r="D12" s="112"/>
      <c r="E12" s="113"/>
      <c r="F12" s="113"/>
      <c r="G12" s="113">
        <v>0</v>
      </c>
      <c r="H12" s="113"/>
      <c r="I12" s="113"/>
      <c r="J12" s="113"/>
      <c r="K12" s="113"/>
      <c r="L12" s="113"/>
      <c r="M12" s="113"/>
      <c r="N12" s="113"/>
      <c r="O12" s="113"/>
      <c r="DT12" s="34" t="s">
        <v>282</v>
      </c>
      <c r="EB12" s="34" t="s">
        <v>292</v>
      </c>
      <c r="ED12" s="34" t="s">
        <v>293</v>
      </c>
    </row>
    <row r="13" spans="1:134" s="34" customFormat="1" ht="15" customHeight="1" x14ac:dyDescent="0.25">
      <c r="A13" s="174"/>
      <c r="B13" s="110" t="s">
        <v>23</v>
      </c>
      <c r="C13" s="111" t="s">
        <v>19</v>
      </c>
      <c r="D13" s="112"/>
      <c r="E13" s="113"/>
      <c r="F13" s="113"/>
      <c r="G13" s="113">
        <v>4.5709999999999997</v>
      </c>
      <c r="H13" s="113"/>
      <c r="I13" s="113">
        <v>58.5</v>
      </c>
      <c r="J13" s="113">
        <v>29.2</v>
      </c>
      <c r="K13" s="113">
        <v>42.658000000000001</v>
      </c>
      <c r="L13" s="113">
        <v>41.533000000000001</v>
      </c>
      <c r="M13" s="113"/>
      <c r="N13" s="113"/>
      <c r="O13" s="113"/>
      <c r="DT13" s="34" t="s">
        <v>283</v>
      </c>
      <c r="EB13" s="34" t="s">
        <v>292</v>
      </c>
      <c r="ED13" s="34" t="s">
        <v>293</v>
      </c>
    </row>
    <row r="14" spans="1:134" ht="24" customHeight="1" x14ac:dyDescent="0.25">
      <c r="A14" s="175" t="s">
        <v>24</v>
      </c>
      <c r="B14" s="199"/>
      <c r="C14" s="9" t="s">
        <v>25</v>
      </c>
      <c r="D14" s="61"/>
      <c r="E14" s="58"/>
      <c r="F14" s="58"/>
      <c r="G14" s="58">
        <v>7599.8869999999997</v>
      </c>
      <c r="H14" s="58"/>
      <c r="I14" s="58">
        <v>7103.2</v>
      </c>
      <c r="J14" s="58">
        <v>8277.2000000000007</v>
      </c>
      <c r="K14" s="58">
        <v>10893.3</v>
      </c>
      <c r="L14" s="58">
        <v>11372.23</v>
      </c>
      <c r="M14" s="58"/>
      <c r="N14" s="58"/>
      <c r="O14" s="58"/>
      <c r="DT14" s="139" t="s">
        <v>284</v>
      </c>
      <c r="EB14" s="33" t="s">
        <v>291</v>
      </c>
      <c r="ED14" s="33" t="s">
        <v>295</v>
      </c>
    </row>
    <row r="15" spans="1:134" s="34" customFormat="1" ht="15" customHeight="1" x14ac:dyDescent="0.25">
      <c r="A15" s="174" t="s">
        <v>18</v>
      </c>
      <c r="B15" s="110" t="s">
        <v>26</v>
      </c>
      <c r="C15" s="111" t="s">
        <v>25</v>
      </c>
      <c r="D15" s="112"/>
      <c r="E15" s="113"/>
      <c r="F15" s="113"/>
      <c r="G15" s="113">
        <v>7498</v>
      </c>
      <c r="H15" s="113"/>
      <c r="I15" s="113">
        <v>7049.2</v>
      </c>
      <c r="J15" s="113">
        <v>8028</v>
      </c>
      <c r="K15" s="113">
        <v>10878.7</v>
      </c>
      <c r="L15" s="113">
        <v>11114</v>
      </c>
      <c r="M15" s="113"/>
      <c r="N15" s="113"/>
      <c r="O15" s="113"/>
      <c r="DT15" s="34" t="s">
        <v>285</v>
      </c>
      <c r="EB15" s="34" t="s">
        <v>291</v>
      </c>
      <c r="ED15" s="34" t="s">
        <v>295</v>
      </c>
    </row>
    <row r="16" spans="1:134" s="34" customFormat="1" ht="15" customHeight="1" x14ac:dyDescent="0.25">
      <c r="A16" s="174"/>
      <c r="B16" s="110" t="s">
        <v>27</v>
      </c>
      <c r="C16" s="111" t="s">
        <v>25</v>
      </c>
      <c r="D16" s="112"/>
      <c r="E16" s="113"/>
      <c r="F16" s="113"/>
      <c r="G16" s="113">
        <v>101.887</v>
      </c>
      <c r="H16" s="113"/>
      <c r="I16" s="113">
        <v>54</v>
      </c>
      <c r="J16" s="113">
        <v>249.2</v>
      </c>
      <c r="K16" s="113">
        <v>14.6</v>
      </c>
      <c r="L16" s="113">
        <v>258.23</v>
      </c>
      <c r="M16" s="113"/>
      <c r="N16" s="113"/>
      <c r="O16" s="113"/>
      <c r="DT16" s="34" t="s">
        <v>286</v>
      </c>
      <c r="EB16" s="34" t="s">
        <v>291</v>
      </c>
      <c r="ED16" s="34" t="s">
        <v>295</v>
      </c>
    </row>
    <row r="17" spans="1:134" s="34" customFormat="1" ht="15" customHeight="1" x14ac:dyDescent="0.25">
      <c r="A17" s="174"/>
      <c r="B17" s="110" t="s">
        <v>28</v>
      </c>
      <c r="C17" s="111" t="s">
        <v>25</v>
      </c>
      <c r="D17" s="112"/>
      <c r="E17" s="112"/>
      <c r="F17" s="112"/>
      <c r="G17" s="112">
        <v>0</v>
      </c>
      <c r="H17" s="112"/>
      <c r="I17" s="112"/>
      <c r="J17" s="112"/>
      <c r="K17" s="112"/>
      <c r="L17" s="112"/>
      <c r="M17" s="112"/>
      <c r="N17" s="112"/>
      <c r="O17" s="112"/>
      <c r="DT17" s="34" t="s">
        <v>287</v>
      </c>
      <c r="EB17" s="34" t="s">
        <v>291</v>
      </c>
      <c r="ED17" s="34" t="s">
        <v>295</v>
      </c>
    </row>
    <row r="18" spans="1:134" s="34" customFormat="1" ht="15" customHeight="1" x14ac:dyDescent="0.25">
      <c r="A18" s="174"/>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F1" activePane="topRight" state="frozen"/>
      <selection activeCell="DS1" sqref="DS1:ED1048576"/>
      <selection pane="topRight" activeCell="L28" sqref="L2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7" t="s">
        <v>0</v>
      </c>
      <c r="B1" s="200"/>
      <c r="C1" s="31"/>
      <c r="D1" s="1"/>
      <c r="E1" s="2"/>
      <c r="F1" s="2"/>
      <c r="G1" s="2"/>
      <c r="H1" s="2"/>
      <c r="I1" s="2"/>
      <c r="J1" s="2"/>
      <c r="K1" s="2"/>
      <c r="L1" s="2"/>
      <c r="M1" s="2"/>
      <c r="N1" s="2"/>
      <c r="O1" s="2"/>
    </row>
    <row r="2" spans="1:134" ht="18" customHeight="1" x14ac:dyDescent="0.25">
      <c r="A2" s="179"/>
      <c r="B2" s="193"/>
      <c r="C2" s="1"/>
      <c r="D2" s="1"/>
      <c r="E2" s="5"/>
      <c r="F2" s="3"/>
      <c r="G2" s="3"/>
      <c r="H2" s="3"/>
      <c r="I2" s="3"/>
      <c r="J2" s="3"/>
      <c r="K2" s="3"/>
      <c r="L2" s="3"/>
      <c r="M2" s="3"/>
      <c r="N2" s="3"/>
      <c r="O2" s="3"/>
    </row>
    <row r="3" spans="1:134" ht="18" customHeight="1" x14ac:dyDescent="0.25">
      <c r="A3" s="181" t="s">
        <v>9</v>
      </c>
      <c r="B3" s="201"/>
      <c r="C3" s="1"/>
      <c r="D3" s="1"/>
      <c r="E3" s="5"/>
      <c r="F3" s="3"/>
      <c r="G3" s="3"/>
      <c r="H3" s="3"/>
      <c r="I3" s="3"/>
      <c r="J3" s="3"/>
      <c r="K3" s="3"/>
      <c r="L3" s="3"/>
      <c r="M3" s="3"/>
      <c r="N3" s="3"/>
      <c r="O3" s="3"/>
      <c r="DS3" s="33" t="s">
        <v>229</v>
      </c>
    </row>
    <row r="4" spans="1:134" ht="18" customHeight="1" x14ac:dyDescent="0.25">
      <c r="A4" s="192"/>
      <c r="B4" s="193"/>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4" t="s">
        <v>3</v>
      </c>
      <c r="B5" s="19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2" t="s">
        <v>13</v>
      </c>
      <c r="B6" s="198"/>
      <c r="C6" s="8" t="s">
        <v>14</v>
      </c>
      <c r="D6" s="59"/>
      <c r="E6" s="60"/>
      <c r="F6" s="60"/>
      <c r="G6" s="158">
        <v>4684.0698000000002</v>
      </c>
      <c r="H6" s="60"/>
      <c r="I6" s="60">
        <v>2420.1999999999998</v>
      </c>
      <c r="J6" s="60">
        <v>2792.1</v>
      </c>
      <c r="K6" s="60">
        <v>2244.3919999999998</v>
      </c>
      <c r="L6" s="60">
        <v>1977.72</v>
      </c>
      <c r="M6" s="60"/>
      <c r="N6" s="60"/>
      <c r="O6" s="60"/>
      <c r="DS6" s="4" t="str">
        <f>VLOOKUP(Cover!$D$15, Country_list!$B$3:$C$44, 2, 0)</f>
        <v>GR</v>
      </c>
      <c r="DT6" s="33" t="s">
        <v>289</v>
      </c>
      <c r="DV6" s="33" t="s">
        <v>305</v>
      </c>
      <c r="EB6" s="33" t="s">
        <v>291</v>
      </c>
      <c r="ED6" s="33" t="s">
        <v>294</v>
      </c>
    </row>
    <row r="7" spans="1:134" ht="24" customHeight="1" x14ac:dyDescent="0.25">
      <c r="A7" s="175" t="s">
        <v>15</v>
      </c>
      <c r="B7" s="199"/>
      <c r="C7" s="9" t="s">
        <v>25</v>
      </c>
      <c r="D7" s="61"/>
      <c r="E7" s="58"/>
      <c r="F7" s="58"/>
      <c r="G7" s="58"/>
      <c r="H7" s="58"/>
      <c r="I7" s="58"/>
      <c r="J7" s="58"/>
      <c r="K7" s="58"/>
      <c r="L7" s="58"/>
      <c r="M7" s="58"/>
      <c r="N7" s="58"/>
      <c r="O7" s="58"/>
      <c r="DT7" s="33" t="s">
        <v>290</v>
      </c>
      <c r="EB7" s="33" t="s">
        <v>291</v>
      </c>
      <c r="ED7" s="33" t="s">
        <v>295</v>
      </c>
    </row>
    <row r="8" spans="1:134" ht="24" customHeight="1" x14ac:dyDescent="0.25">
      <c r="A8" s="175" t="s">
        <v>29</v>
      </c>
      <c r="B8" s="199"/>
      <c r="C8" s="9" t="s">
        <v>17</v>
      </c>
      <c r="D8" s="61"/>
      <c r="E8" s="58"/>
      <c r="F8" s="58"/>
      <c r="G8" s="58"/>
      <c r="H8" s="58"/>
      <c r="I8" s="58">
        <v>52.1</v>
      </c>
      <c r="J8" s="58">
        <v>82.2</v>
      </c>
      <c r="K8" s="58">
        <v>13.941000000000001</v>
      </c>
      <c r="L8" s="58">
        <v>98.251999999999995</v>
      </c>
      <c r="M8" s="58"/>
      <c r="N8" s="58"/>
      <c r="O8" s="58"/>
      <c r="DT8" s="33" t="s">
        <v>231</v>
      </c>
      <c r="EB8" s="33" t="s">
        <v>291</v>
      </c>
      <c r="ED8" s="33" t="s">
        <v>296</v>
      </c>
    </row>
    <row r="9" spans="1:134" ht="24" customHeight="1" x14ac:dyDescent="0.25">
      <c r="A9" s="175" t="s">
        <v>156</v>
      </c>
      <c r="B9" s="199"/>
      <c r="C9" s="9" t="s">
        <v>19</v>
      </c>
      <c r="D9" s="61"/>
      <c r="E9" s="58"/>
      <c r="F9" s="58"/>
      <c r="G9" s="58"/>
      <c r="H9" s="58"/>
      <c r="I9" s="58"/>
      <c r="J9" s="58"/>
      <c r="K9" s="58"/>
      <c r="L9" s="58"/>
      <c r="M9" s="58"/>
      <c r="N9" s="58"/>
      <c r="O9" s="58"/>
      <c r="DT9" s="33" t="s">
        <v>279</v>
      </c>
      <c r="EB9" s="33" t="s">
        <v>292</v>
      </c>
      <c r="ED9" s="33" t="s">
        <v>293</v>
      </c>
    </row>
    <row r="10" spans="1:134" ht="24" customHeight="1" x14ac:dyDescent="0.25">
      <c r="A10" s="175" t="s">
        <v>20</v>
      </c>
      <c r="B10" s="199"/>
      <c r="C10" s="9" t="s">
        <v>19</v>
      </c>
      <c r="D10" s="61"/>
      <c r="E10" s="58"/>
      <c r="F10" s="58"/>
      <c r="G10" s="58">
        <v>15.084</v>
      </c>
      <c r="H10" s="58"/>
      <c r="I10" s="58">
        <v>22.5</v>
      </c>
      <c r="J10" s="58">
        <v>23.2</v>
      </c>
      <c r="K10" s="58">
        <v>13.811</v>
      </c>
      <c r="L10" s="58">
        <v>60.341000000000001</v>
      </c>
      <c r="M10" s="58"/>
      <c r="N10" s="58"/>
      <c r="O10" s="58"/>
      <c r="DT10" s="139" t="s">
        <v>280</v>
      </c>
      <c r="EB10" s="33" t="s">
        <v>292</v>
      </c>
      <c r="ED10" s="33" t="s">
        <v>293</v>
      </c>
    </row>
    <row r="11" spans="1:134" s="34" customFormat="1" ht="15" customHeight="1" x14ac:dyDescent="0.25">
      <c r="A11" s="174" t="s">
        <v>18</v>
      </c>
      <c r="B11" s="110" t="s">
        <v>21</v>
      </c>
      <c r="C11" s="111" t="s">
        <v>19</v>
      </c>
      <c r="D11" s="112"/>
      <c r="E11" s="113"/>
      <c r="F11" s="113"/>
      <c r="G11" s="113">
        <v>15.084</v>
      </c>
      <c r="H11" s="113"/>
      <c r="I11" s="113">
        <v>22.5</v>
      </c>
      <c r="J11" s="113">
        <v>23.2</v>
      </c>
      <c r="K11" s="113">
        <v>13.811</v>
      </c>
      <c r="L11" s="113">
        <v>60.110999999999997</v>
      </c>
      <c r="M11" s="113"/>
      <c r="N11" s="113"/>
      <c r="O11" s="113"/>
      <c r="DT11" s="34" t="s">
        <v>281</v>
      </c>
      <c r="EB11" s="34" t="s">
        <v>292</v>
      </c>
      <c r="ED11" s="34" t="s">
        <v>293</v>
      </c>
    </row>
    <row r="12" spans="1:134" s="34" customFormat="1" ht="15" customHeight="1" x14ac:dyDescent="0.25">
      <c r="A12" s="174"/>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4"/>
      <c r="B13" s="110" t="s">
        <v>23</v>
      </c>
      <c r="C13" s="111" t="s">
        <v>19</v>
      </c>
      <c r="D13" s="112"/>
      <c r="E13" s="113"/>
      <c r="F13" s="113"/>
      <c r="G13" s="113"/>
      <c r="H13" s="113"/>
      <c r="I13" s="113"/>
      <c r="J13" s="113"/>
      <c r="K13" s="113"/>
      <c r="L13" s="113">
        <v>0.23</v>
      </c>
      <c r="M13" s="113"/>
      <c r="N13" s="113"/>
      <c r="O13" s="113"/>
      <c r="DT13" s="34" t="s">
        <v>283</v>
      </c>
      <c r="EB13" s="34" t="s">
        <v>292</v>
      </c>
      <c r="ED13" s="34" t="s">
        <v>293</v>
      </c>
    </row>
    <row r="14" spans="1:134" ht="24" customHeight="1" x14ac:dyDescent="0.25">
      <c r="A14" s="175" t="s">
        <v>24</v>
      </c>
      <c r="B14" s="199"/>
      <c r="C14" s="9" t="s">
        <v>25</v>
      </c>
      <c r="D14" s="61"/>
      <c r="E14" s="58"/>
      <c r="F14" s="58"/>
      <c r="G14" s="58">
        <v>11709.642</v>
      </c>
      <c r="H14" s="58"/>
      <c r="I14" s="58">
        <v>785.5</v>
      </c>
      <c r="J14" s="58">
        <v>418.3</v>
      </c>
      <c r="K14" s="58">
        <v>232.9</v>
      </c>
      <c r="L14" s="58">
        <v>433.16699999999997</v>
      </c>
      <c r="M14" s="58"/>
      <c r="N14" s="58"/>
      <c r="O14" s="58"/>
      <c r="DT14" s="139" t="s">
        <v>284</v>
      </c>
      <c r="EB14" s="33" t="s">
        <v>291</v>
      </c>
      <c r="ED14" s="33" t="s">
        <v>295</v>
      </c>
    </row>
    <row r="15" spans="1:134" s="34" customFormat="1" ht="15" customHeight="1" x14ac:dyDescent="0.25">
      <c r="A15" s="205"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6"/>
      <c r="B16" s="110" t="s">
        <v>27</v>
      </c>
      <c r="C16" s="111" t="s">
        <v>25</v>
      </c>
      <c r="D16" s="112"/>
      <c r="E16" s="113"/>
      <c r="F16" s="113"/>
      <c r="G16" s="113">
        <v>11709.642</v>
      </c>
      <c r="H16" s="113"/>
      <c r="I16" s="113">
        <v>785.5</v>
      </c>
      <c r="J16" s="113">
        <v>418.3</v>
      </c>
      <c r="K16" s="113">
        <v>232.9</v>
      </c>
      <c r="L16" s="113">
        <v>433.16699999999997</v>
      </c>
      <c r="M16" s="113"/>
      <c r="N16" s="113"/>
      <c r="O16" s="113"/>
      <c r="DT16" s="34" t="s">
        <v>286</v>
      </c>
      <c r="EB16" s="34" t="s">
        <v>291</v>
      </c>
      <c r="ED16" s="34" t="s">
        <v>295</v>
      </c>
    </row>
    <row r="17" spans="1:134" s="34" customFormat="1" ht="15" customHeight="1" x14ac:dyDescent="0.25">
      <c r="A17" s="206"/>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7"/>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J23" sqref="J23"/>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7" t="s">
        <v>0</v>
      </c>
      <c r="B1" s="200"/>
      <c r="C1" s="31"/>
      <c r="D1" s="1"/>
      <c r="E1" s="2"/>
      <c r="F1" s="2"/>
      <c r="G1" s="2"/>
      <c r="H1" s="2"/>
      <c r="I1" s="2"/>
      <c r="J1" s="2"/>
      <c r="K1" s="2"/>
      <c r="L1" s="2"/>
      <c r="M1" s="2"/>
      <c r="N1" s="2"/>
      <c r="O1" s="2"/>
    </row>
    <row r="2" spans="1:134" ht="18" customHeight="1" x14ac:dyDescent="0.25">
      <c r="A2" s="179"/>
      <c r="B2" s="193"/>
      <c r="C2" s="1"/>
      <c r="D2" s="1"/>
      <c r="E2" s="5"/>
      <c r="F2" s="3"/>
      <c r="G2" s="3"/>
      <c r="H2" s="3"/>
      <c r="I2" s="3"/>
      <c r="J2" s="3"/>
      <c r="K2" s="3"/>
      <c r="L2" s="3"/>
      <c r="M2" s="3"/>
      <c r="N2" s="3"/>
      <c r="O2" s="3"/>
    </row>
    <row r="3" spans="1:134" ht="18" customHeight="1" x14ac:dyDescent="0.25">
      <c r="A3" s="181" t="s">
        <v>10</v>
      </c>
      <c r="B3" s="201"/>
      <c r="C3" s="1"/>
      <c r="D3" s="1"/>
      <c r="E3" s="5"/>
      <c r="F3" s="3"/>
      <c r="G3" s="3"/>
      <c r="H3" s="3"/>
      <c r="I3" s="3"/>
      <c r="J3" s="3"/>
      <c r="K3" s="3"/>
      <c r="L3" s="3"/>
      <c r="M3" s="3"/>
      <c r="N3" s="3"/>
      <c r="O3" s="3"/>
      <c r="DS3" s="33" t="s">
        <v>229</v>
      </c>
    </row>
    <row r="4" spans="1:134" ht="18" customHeight="1" x14ac:dyDescent="0.25">
      <c r="A4" s="192"/>
      <c r="B4" s="193"/>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4" t="s">
        <v>3</v>
      </c>
      <c r="B5" s="194"/>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8" t="s">
        <v>13</v>
      </c>
      <c r="B6" s="209"/>
      <c r="C6" s="32" t="s">
        <v>14</v>
      </c>
      <c r="D6" s="62"/>
      <c r="E6" s="63"/>
      <c r="F6" s="63"/>
      <c r="G6" s="63">
        <v>9756.125</v>
      </c>
      <c r="H6" s="63"/>
      <c r="I6" s="63">
        <v>8593.6</v>
      </c>
      <c r="J6" s="63">
        <v>9918.2000000000007</v>
      </c>
      <c r="K6" s="63">
        <v>10589.188</v>
      </c>
      <c r="L6" s="63">
        <v>9264.848</v>
      </c>
      <c r="M6" s="63"/>
      <c r="N6" s="63"/>
      <c r="O6" s="63"/>
      <c r="DS6" s="4" t="str">
        <f>VLOOKUP(Cover!$D$15, Country_list!$B$3:$C$44, 2, 0)</f>
        <v>GR</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K31" sqref="K3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7" t="s">
        <v>0</v>
      </c>
      <c r="B1" s="200"/>
      <c r="C1" s="31"/>
      <c r="D1" s="1"/>
      <c r="E1" s="2"/>
      <c r="F1" s="2"/>
      <c r="G1" s="2"/>
      <c r="H1" s="2"/>
      <c r="I1" s="2"/>
      <c r="J1" s="2"/>
      <c r="K1" s="2"/>
      <c r="L1" s="2"/>
      <c r="M1" s="2"/>
      <c r="N1" s="2"/>
      <c r="O1" s="2"/>
    </row>
    <row r="2" spans="1:134" ht="18" customHeight="1" x14ac:dyDescent="0.25">
      <c r="A2" s="179"/>
      <c r="B2" s="193"/>
      <c r="C2" s="1"/>
      <c r="D2" s="1"/>
      <c r="E2" s="5"/>
      <c r="F2" s="3"/>
      <c r="G2" s="3"/>
      <c r="H2" s="3"/>
      <c r="I2" s="3"/>
      <c r="J2" s="3"/>
      <c r="K2" s="3"/>
      <c r="L2" s="3"/>
      <c r="M2" s="3"/>
      <c r="N2" s="3"/>
      <c r="O2" s="3"/>
    </row>
    <row r="3" spans="1:134" ht="18" customHeight="1" x14ac:dyDescent="0.25">
      <c r="A3" s="181" t="s">
        <v>11</v>
      </c>
      <c r="B3" s="201"/>
      <c r="C3" s="1"/>
      <c r="D3" s="1"/>
      <c r="E3" s="5"/>
      <c r="F3" s="3"/>
      <c r="G3" s="3"/>
      <c r="H3" s="3"/>
      <c r="I3" s="3"/>
      <c r="J3" s="3"/>
      <c r="K3" s="3"/>
      <c r="L3" s="3"/>
      <c r="M3" s="3"/>
      <c r="N3" s="3"/>
      <c r="O3" s="3"/>
      <c r="DS3" s="33" t="s">
        <v>229</v>
      </c>
    </row>
    <row r="4" spans="1:134" ht="18" customHeight="1" x14ac:dyDescent="0.25">
      <c r="A4" s="192"/>
      <c r="B4" s="193"/>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4" t="s">
        <v>3</v>
      </c>
      <c r="B5" s="19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2" t="s">
        <v>13</v>
      </c>
      <c r="B6" s="210"/>
      <c r="C6" s="8" t="s">
        <v>14</v>
      </c>
      <c r="D6" s="59"/>
      <c r="E6" s="60"/>
      <c r="F6" s="60"/>
      <c r="G6" s="60"/>
      <c r="H6" s="60"/>
      <c r="I6" s="60"/>
      <c r="J6" s="60"/>
      <c r="K6" s="60"/>
      <c r="L6" s="60"/>
      <c r="M6" s="60"/>
      <c r="N6" s="60"/>
      <c r="O6" s="60"/>
      <c r="DS6" s="4" t="str">
        <f>VLOOKUP(Cover!$D$15, Country_list!$B$3:$C$44, 2, 0)</f>
        <v>GR</v>
      </c>
      <c r="DT6" s="33" t="s">
        <v>289</v>
      </c>
      <c r="DV6" s="33" t="s">
        <v>307</v>
      </c>
      <c r="EB6" s="33" t="s">
        <v>291</v>
      </c>
      <c r="ED6" s="33" t="s">
        <v>294</v>
      </c>
    </row>
    <row r="7" spans="1:134" ht="24" customHeight="1" x14ac:dyDescent="0.25">
      <c r="A7" s="175" t="s">
        <v>15</v>
      </c>
      <c r="B7" s="211"/>
      <c r="C7" s="9" t="s">
        <v>25</v>
      </c>
      <c r="D7" s="61"/>
      <c r="E7" s="58"/>
      <c r="F7" s="58"/>
      <c r="G7" s="58"/>
      <c r="H7" s="58"/>
      <c r="I7" s="58"/>
      <c r="J7" s="58"/>
      <c r="K7" s="58"/>
      <c r="L7" s="58"/>
      <c r="M7" s="58"/>
      <c r="N7" s="58"/>
      <c r="O7" s="58"/>
      <c r="DT7" s="33" t="s">
        <v>290</v>
      </c>
      <c r="EB7" s="33" t="s">
        <v>291</v>
      </c>
      <c r="ED7" s="33" t="s">
        <v>295</v>
      </c>
    </row>
    <row r="8" spans="1:134" ht="24" customHeight="1" x14ac:dyDescent="0.25">
      <c r="A8" s="175" t="s">
        <v>29</v>
      </c>
      <c r="B8" s="211"/>
      <c r="C8" s="9" t="s">
        <v>17</v>
      </c>
      <c r="D8" s="61"/>
      <c r="E8" s="58"/>
      <c r="F8" s="58"/>
      <c r="G8" s="58"/>
      <c r="H8" s="58"/>
      <c r="I8" s="58"/>
      <c r="J8" s="58"/>
      <c r="K8" s="58"/>
      <c r="L8" s="58"/>
      <c r="M8" s="58"/>
      <c r="N8" s="58"/>
      <c r="O8" s="58"/>
      <c r="DT8" s="33" t="s">
        <v>231</v>
      </c>
      <c r="EB8" s="33" t="s">
        <v>291</v>
      </c>
      <c r="ED8" s="33" t="s">
        <v>296</v>
      </c>
    </row>
    <row r="9" spans="1:134" ht="24" customHeight="1" x14ac:dyDescent="0.25">
      <c r="A9" s="175" t="s">
        <v>156</v>
      </c>
      <c r="B9" s="199"/>
      <c r="C9" s="9" t="s">
        <v>19</v>
      </c>
      <c r="D9" s="61"/>
      <c r="E9" s="58"/>
      <c r="F9" s="58"/>
      <c r="G9" s="58"/>
      <c r="H9" s="58"/>
      <c r="I9" s="58"/>
      <c r="J9" s="58"/>
      <c r="K9" s="58"/>
      <c r="L9" s="58"/>
      <c r="M9" s="58"/>
      <c r="N9" s="58"/>
      <c r="O9" s="58"/>
      <c r="DT9" s="33" t="s">
        <v>279</v>
      </c>
      <c r="EB9" s="33" t="s">
        <v>292</v>
      </c>
      <c r="ED9" s="33" t="s">
        <v>293</v>
      </c>
    </row>
    <row r="10" spans="1:134" ht="24" customHeight="1" x14ac:dyDescent="0.25">
      <c r="A10" s="175" t="s">
        <v>20</v>
      </c>
      <c r="B10" s="199"/>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4"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4"/>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4"/>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5" t="s">
        <v>24</v>
      </c>
      <c r="B14" s="199"/>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5"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6"/>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6"/>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7"/>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N40" sqref="N40"/>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2" t="s">
        <v>44</v>
      </c>
      <c r="C3" s="213"/>
      <c r="D3" s="214"/>
    </row>
    <row r="4" spans="2:4" ht="15.75" thickBot="1" x14ac:dyDescent="0.3"/>
    <row r="5" spans="2:4" ht="15" customHeight="1" x14ac:dyDescent="0.25">
      <c r="B5" s="39"/>
      <c r="C5" s="215"/>
      <c r="D5" s="95"/>
    </row>
    <row r="6" spans="2:4" x14ac:dyDescent="0.25">
      <c r="B6" s="40"/>
      <c r="C6" s="216"/>
      <c r="D6" s="41"/>
    </row>
    <row r="7" spans="2:4" x14ac:dyDescent="0.25">
      <c r="B7" s="40"/>
      <c r="C7" s="216"/>
      <c r="D7" s="41"/>
    </row>
    <row r="8" spans="2:4" x14ac:dyDescent="0.25">
      <c r="B8" s="40"/>
      <c r="C8" s="216"/>
      <c r="D8" s="41"/>
    </row>
    <row r="9" spans="2:4" x14ac:dyDescent="0.25">
      <c r="B9" s="40"/>
      <c r="C9" s="216"/>
      <c r="D9" s="41"/>
    </row>
    <row r="10" spans="2:4" x14ac:dyDescent="0.25">
      <c r="B10" s="40"/>
      <c r="C10" s="216"/>
      <c r="D10" s="41"/>
    </row>
    <row r="11" spans="2:4" x14ac:dyDescent="0.25">
      <c r="B11" s="40"/>
      <c r="C11" s="216"/>
      <c r="D11" s="41"/>
    </row>
    <row r="12" spans="2:4" x14ac:dyDescent="0.25">
      <c r="B12" s="40"/>
      <c r="C12" s="216"/>
      <c r="D12" s="41"/>
    </row>
    <row r="13" spans="2:4" x14ac:dyDescent="0.25">
      <c r="B13" s="40"/>
      <c r="C13" s="216"/>
      <c r="D13" s="41"/>
    </row>
    <row r="14" spans="2:4" x14ac:dyDescent="0.25">
      <c r="B14" s="40"/>
      <c r="C14" s="216"/>
      <c r="D14" s="41"/>
    </row>
    <row r="15" spans="2:4" x14ac:dyDescent="0.25">
      <c r="B15" s="40"/>
      <c r="C15" s="216"/>
      <c r="D15" s="41"/>
    </row>
    <row r="16" spans="2:4" x14ac:dyDescent="0.25">
      <c r="B16" s="40"/>
      <c r="C16" s="216"/>
      <c r="D16" s="41"/>
    </row>
    <row r="17" spans="2:4" x14ac:dyDescent="0.25">
      <c r="B17" s="40"/>
      <c r="C17" s="216"/>
      <c r="D17" s="41"/>
    </row>
    <row r="18" spans="2:4" x14ac:dyDescent="0.25">
      <c r="B18" s="40"/>
      <c r="C18" s="216"/>
      <c r="D18" s="41"/>
    </row>
    <row r="19" spans="2:4" x14ac:dyDescent="0.25">
      <c r="B19" s="40"/>
      <c r="C19" s="216"/>
      <c r="D19" s="41"/>
    </row>
    <row r="20" spans="2:4" x14ac:dyDescent="0.25">
      <c r="B20" s="40"/>
      <c r="C20" s="216"/>
      <c r="D20" s="41"/>
    </row>
    <row r="21" spans="2:4" x14ac:dyDescent="0.25">
      <c r="B21" s="40"/>
      <c r="C21" s="216"/>
      <c r="D21" s="41"/>
    </row>
    <row r="22" spans="2:4" x14ac:dyDescent="0.25">
      <c r="B22" s="40"/>
      <c r="C22" s="216"/>
      <c r="D22" s="41"/>
    </row>
    <row r="23" spans="2:4" x14ac:dyDescent="0.25">
      <c r="B23" s="40"/>
      <c r="C23" s="216"/>
      <c r="D23" s="41"/>
    </row>
    <row r="24" spans="2:4" x14ac:dyDescent="0.25">
      <c r="B24" s="40"/>
      <c r="C24" s="216"/>
      <c r="D24" s="41"/>
    </row>
    <row r="25" spans="2:4" x14ac:dyDescent="0.25">
      <c r="B25" s="40"/>
      <c r="C25" s="216"/>
      <c r="D25" s="41"/>
    </row>
    <row r="26" spans="2:4" x14ac:dyDescent="0.25">
      <c r="B26" s="40"/>
      <c r="C26" s="216"/>
      <c r="D26" s="41"/>
    </row>
    <row r="27" spans="2:4" x14ac:dyDescent="0.25">
      <c r="B27" s="40"/>
      <c r="C27" s="216"/>
      <c r="D27" s="41"/>
    </row>
    <row r="28" spans="2:4" x14ac:dyDescent="0.25">
      <c r="B28" s="40"/>
      <c r="C28" s="216"/>
      <c r="D28" s="41"/>
    </row>
    <row r="29" spans="2:4" x14ac:dyDescent="0.25">
      <c r="B29" s="40"/>
      <c r="C29" s="216"/>
      <c r="D29" s="41"/>
    </row>
    <row r="30" spans="2:4" x14ac:dyDescent="0.25">
      <c r="B30" s="40"/>
      <c r="C30" s="216"/>
      <c r="D30" s="41"/>
    </row>
    <row r="31" spans="2:4" x14ac:dyDescent="0.25">
      <c r="B31" s="40"/>
      <c r="C31" s="216"/>
      <c r="D31" s="41"/>
    </row>
    <row r="32" spans="2:4" x14ac:dyDescent="0.25">
      <c r="B32" s="40"/>
      <c r="C32" s="216"/>
      <c r="D32" s="41"/>
    </row>
    <row r="33" spans="2:4" x14ac:dyDescent="0.25">
      <c r="B33" s="40"/>
      <c r="C33" s="216"/>
      <c r="D33" s="41"/>
    </row>
    <row r="34" spans="2:4" x14ac:dyDescent="0.25">
      <c r="B34" s="40"/>
      <c r="C34" s="216"/>
      <c r="D34" s="41"/>
    </row>
    <row r="35" spans="2:4" x14ac:dyDescent="0.25">
      <c r="B35" s="40"/>
      <c r="C35" s="216"/>
      <c r="D35" s="41"/>
    </row>
    <row r="36" spans="2:4" x14ac:dyDescent="0.25">
      <c r="B36" s="40"/>
      <c r="C36" s="216"/>
      <c r="D36" s="41"/>
    </row>
    <row r="37" spans="2:4" x14ac:dyDescent="0.25">
      <c r="B37" s="40"/>
      <c r="C37" s="216"/>
      <c r="D37" s="41"/>
    </row>
    <row r="38" spans="2:4" x14ac:dyDescent="0.25">
      <c r="B38" s="40"/>
      <c r="C38" s="216"/>
      <c r="D38" s="41"/>
    </row>
    <row r="39" spans="2:4" x14ac:dyDescent="0.25">
      <c r="B39" s="40"/>
      <c r="C39" s="216"/>
      <c r="D39" s="41"/>
    </row>
    <row r="40" spans="2:4" x14ac:dyDescent="0.25">
      <c r="B40" s="40"/>
      <c r="C40" s="216"/>
      <c r="D40" s="41"/>
    </row>
    <row r="41" spans="2:4" x14ac:dyDescent="0.25">
      <c r="B41" s="40"/>
      <c r="C41" s="216"/>
      <c r="D41" s="41"/>
    </row>
    <row r="42" spans="2:4" x14ac:dyDescent="0.25">
      <c r="B42" s="40"/>
      <c r="C42" s="216"/>
      <c r="D42" s="41"/>
    </row>
    <row r="43" spans="2:4" ht="15.75" thickBot="1" x14ac:dyDescent="0.3">
      <c r="B43" s="42"/>
      <c r="C43" s="217"/>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Q27" sqref="Q27"/>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TRUE</v>
      </c>
      <c r="G42" s="99" t="str">
        <f>IF(Calorific_Values!H9&lt;&gt;0,IF(AND(5000&lt;=Calorific_Values!H9,Calorific_Values!H9&lt;=30000),"TRUE","FALSE"),"")</f>
        <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TRUE</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TRUE</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TRUE</v>
      </c>
      <c r="G45" s="99" t="str">
        <f>IF(Calorific_Values!H12&lt;&gt;0,IF(AND(40000&lt;=Calorific_Values!H12,Calorific_Values!H12&lt;=45000),"TRUE","FALSE"),"")</f>
        <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TRUE</v>
      </c>
      <c r="G46" s="99" t="str">
        <f>IF(Calorific_Values!H13&lt;&gt;0,IF(AND(40000&lt;=Calorific_Values!H13,Calorific_Values!H13&lt;=45000),"TRUE","FALSE"),"")</f>
        <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2020-01-17T14:18:44Z</cp:lastPrinted>
  <dcterms:created xsi:type="dcterms:W3CDTF">2014-09-17T09:30:01Z</dcterms:created>
  <dcterms:modified xsi:type="dcterms:W3CDTF">2020-01-30T14:05:25Z</dcterms:modified>
  <cp:category>Annual questionnaires</cp:category>
</cp:coreProperties>
</file>