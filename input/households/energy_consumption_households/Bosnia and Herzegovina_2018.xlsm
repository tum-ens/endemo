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drawings/drawing14.xml" ContentType="application/vnd.openxmlformats-officedocument.drawing+xml"/>
  <Override PartName="/xl/ctrlProps/ctrlProp25.xml" ContentType="application/vnd.ms-excel.controlproperties+xml"/>
  <Override PartName="/xl/drawings/drawing15.xml" ContentType="application/vnd.openxmlformats-officedocument.drawing+xml"/>
  <Override PartName="/xl/ctrlProps/ctrlProp26.xml" ContentType="application/vnd.ms-excel.controlproperties+xml"/>
  <Override PartName="/xl/drawings/drawing16.xml" ContentType="application/vnd.openxmlformats-officedocument.drawing+xml"/>
  <Override PartName="/xl/ctrlProps/ctrlProp27.xml" ContentType="application/vnd.ms-excel.controlproperties+xml"/>
  <Override PartName="/xl/drawings/drawing17.xml" ContentType="application/vnd.openxmlformats-officedocument.drawing+xml"/>
  <Override PartName="/xl/ctrlProps/ctrlProp28.xml" ContentType="application/vnd.ms-excel.controlproperties+xml"/>
  <Override PartName="/xl/drawings/drawing18.xml" ContentType="application/vnd.openxmlformats-officedocument.drawing+xml"/>
  <Override PartName="/xl/ctrlProps/ctrlProp29.xml" ContentType="application/vnd.ms-excel.controlproperties+xml"/>
  <Override PartName="/xl/drawings/drawing19.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H:\Projekte\endemo\input\households\energy_consumption_households\"/>
    </mc:Choice>
  </mc:AlternateContent>
  <xr:revisionPtr revIDLastSave="0" documentId="13_ncr:1_{8FBF2FAC-CB53-4B80-9A9B-97437C0A4751}" xr6:coauthVersionLast="47" xr6:coauthVersionMax="47" xr10:uidLastSave="{00000000-0000-0000-0000-000000000000}"/>
  <bookViews>
    <workbookView xWindow="-120" yWindow="-120" windowWidth="29040" windowHeight="17640" tabRatio="872" firstSheet="7" activeTab="10"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1a_SpaceHeating (2)" sheetId="18" r:id="rId14"/>
    <sheet name="1b_SpaceCooling (2)" sheetId="19" r:id="rId15"/>
    <sheet name="1c_WaterHeating (2)" sheetId="20" r:id="rId16"/>
    <sheet name="1d_Cooking (2)" sheetId="21" r:id="rId17"/>
    <sheet name="1e_LightingAndAppliances (2)" sheetId="22" r:id="rId18"/>
    <sheet name="1f_OtherEndUses (2)" sheetId="23" r:id="rId19"/>
    <sheet name="Validation" sheetId="14" r:id="rId20"/>
    <sheet name="Parameter_mapping" sheetId="16" state="hidden" r:id="rId21"/>
    <sheet name="Parameters" sheetId="17" state="hidden" r:id="rId22"/>
  </sheets>
  <externalReferences>
    <externalReference r:id="rId23"/>
    <externalReference r:id="rId24"/>
    <externalReference r:id="rId25"/>
    <externalReference r:id="rId26"/>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_xlnm.Print_Area" localSheetId="5">'1a_SpaceHeating'!$A$1:$K$18</definedName>
    <definedName name="_xlnm.Print_Area" localSheetId="13">'1a_SpaceHeating (2)'!$A$1:$K$18</definedName>
    <definedName name="_xlnm.Print_Area" localSheetId="6">'1b_SpaceCooling'!$A$1:$K$6</definedName>
    <definedName name="_xlnm.Print_Area" localSheetId="14">'1b_SpaceCooling (2)'!$A$1:$K$6</definedName>
    <definedName name="_xlnm.Print_Area" localSheetId="7">'1c_WaterHeating'!$A$1:$K$18</definedName>
    <definedName name="_xlnm.Print_Area" localSheetId="15">'1c_WaterHeating (2)'!$A$1:$K$18</definedName>
    <definedName name="_xlnm.Print_Area" localSheetId="8">'1d_Cooking'!$A$1:$K$17</definedName>
    <definedName name="_xlnm.Print_Area" localSheetId="16">'1d_Cooking (2)'!$A$1:$K$17</definedName>
    <definedName name="_xlnm.Print_Area" localSheetId="9">'1e_LightingAndAppliances'!$A$1:$K$6</definedName>
    <definedName name="_xlnm.Print_Area" localSheetId="17">'1e_LightingAndAppliances (2)'!$A$1:$K$6</definedName>
    <definedName name="_xlnm.Print_Area" localSheetId="10">'1f_OtherEndUses'!$A$1:$K$17</definedName>
    <definedName name="_xlnm.Print_Area" localSheetId="18">'1f_OtherEndUses (2)'!$A$1:$K$17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13" hidden="1">'1a_SpaceHeating (2)'!#REF!</definedName>
    <definedName name="Z_B79E7212_8DD5_488D_8E68_A79B69F231E2_.wvu.Cols" localSheetId="6" hidden="1">'1b_SpaceCooling'!#REF!</definedName>
    <definedName name="Z_B79E7212_8DD5_488D_8E68_A79B69F231E2_.wvu.Cols" localSheetId="14" hidden="1">'1b_SpaceCooling (2)'!#REF!</definedName>
    <definedName name="Z_B79E7212_8DD5_488D_8E68_A79B69F231E2_.wvu.Cols" localSheetId="7" hidden="1">'1c_WaterHeating'!#REF!</definedName>
    <definedName name="Z_B79E7212_8DD5_488D_8E68_A79B69F231E2_.wvu.Cols" localSheetId="15" hidden="1">'1c_WaterHeating (2)'!#REF!</definedName>
    <definedName name="Z_B79E7212_8DD5_488D_8E68_A79B69F231E2_.wvu.Cols" localSheetId="8" hidden="1">'1d_Cooking'!#REF!</definedName>
    <definedName name="Z_B79E7212_8DD5_488D_8E68_A79B69F231E2_.wvu.Cols" localSheetId="16" hidden="1">'1d_Cooking (2)'!#REF!</definedName>
    <definedName name="Z_B79E7212_8DD5_488D_8E68_A79B69F231E2_.wvu.Cols" localSheetId="9" hidden="1">'1e_LightingAndAppliances'!#REF!</definedName>
    <definedName name="Z_B79E7212_8DD5_488D_8E68_A79B69F231E2_.wvu.Cols" localSheetId="17" hidden="1">'1e_LightingAndAppliances (2)'!#REF!</definedName>
    <definedName name="Z_B79E7212_8DD5_488D_8E68_A79B69F231E2_.wvu.Cols" localSheetId="10" hidden="1">'1f_OtherEndUses'!#REF!</definedName>
    <definedName name="Z_B79E7212_8DD5_488D_8E68_A79B69F231E2_.wvu.Cols" localSheetId="18" hidden="1">'1f_OtherEndUses (2)'!#REF!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13" hidden="1">'1a_SpaceHeating (2)'!$A$1:$G$18</definedName>
    <definedName name="Z_B79E7212_8DD5_488D_8E68_A79B69F231E2_.wvu.PrintArea" localSheetId="6" hidden="1">'1b_SpaceCooling'!$A$1:$G$6</definedName>
    <definedName name="Z_B79E7212_8DD5_488D_8E68_A79B69F231E2_.wvu.PrintArea" localSheetId="14" hidden="1">'1b_SpaceCooling (2)'!$A$1:$G$6</definedName>
    <definedName name="Z_B79E7212_8DD5_488D_8E68_A79B69F231E2_.wvu.PrintArea" localSheetId="7" hidden="1">'1c_WaterHeating'!$A$1:$G$18</definedName>
    <definedName name="Z_B79E7212_8DD5_488D_8E68_A79B69F231E2_.wvu.PrintArea" localSheetId="15" hidden="1">'1c_WaterHeating (2)'!$A$1:$G$18</definedName>
    <definedName name="Z_B79E7212_8DD5_488D_8E68_A79B69F231E2_.wvu.PrintArea" localSheetId="8" hidden="1">'1d_Cooking'!$A$1:$G$17</definedName>
    <definedName name="Z_B79E7212_8DD5_488D_8E68_A79B69F231E2_.wvu.PrintArea" localSheetId="16" hidden="1">'1d_Cooking (2)'!$A$1:$G$17</definedName>
    <definedName name="Z_B79E7212_8DD5_488D_8E68_A79B69F231E2_.wvu.PrintArea" localSheetId="9" hidden="1">'1e_LightingAndAppliances'!$A$1:$G$6</definedName>
    <definedName name="Z_B79E7212_8DD5_488D_8E68_A79B69F231E2_.wvu.PrintArea" localSheetId="17" hidden="1">'1e_LightingAndAppliances (2)'!$A$1:$G$6</definedName>
    <definedName name="Z_B79E7212_8DD5_488D_8E68_A79B69F231E2_.wvu.PrintArea" localSheetId="10" hidden="1">'1f_OtherEndUses'!$A$1:$G$17</definedName>
    <definedName name="Z_B79E7212_8DD5_488D_8E68_A79B69F231E2_.wvu.PrintArea" localSheetId="18" hidden="1">'1f_OtherEndUses (2)'!$A$1:$G$17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0" l="1"/>
  <c r="F6" i="10"/>
  <c r="G6" i="10"/>
  <c r="H6" i="10"/>
  <c r="I6" i="10"/>
  <c r="J6" i="10"/>
  <c r="K6" i="10"/>
  <c r="L6" i="10"/>
  <c r="D6" i="10"/>
  <c r="L10" i="9"/>
  <c r="K10" i="9"/>
  <c r="J10" i="9"/>
  <c r="I10" i="9"/>
  <c r="H10" i="9"/>
  <c r="G10" i="9"/>
  <c r="F10" i="9"/>
  <c r="E10" i="9"/>
  <c r="D10" i="9"/>
  <c r="L9" i="9"/>
  <c r="K9" i="9"/>
  <c r="J9" i="9"/>
  <c r="I9" i="9"/>
  <c r="H9" i="9"/>
  <c r="G9" i="9"/>
  <c r="F9" i="9"/>
  <c r="E9" i="9"/>
  <c r="D9" i="9"/>
  <c r="L14" i="9"/>
  <c r="K14" i="9"/>
  <c r="J14" i="9"/>
  <c r="I14" i="9"/>
  <c r="H14" i="9"/>
  <c r="G14" i="9"/>
  <c r="F14" i="9"/>
  <c r="E14" i="9"/>
  <c r="D14" i="9"/>
  <c r="L8" i="9"/>
  <c r="K8" i="9"/>
  <c r="J8" i="9"/>
  <c r="I8" i="9"/>
  <c r="H8" i="9"/>
  <c r="G8" i="9"/>
  <c r="F8" i="9"/>
  <c r="E8" i="9"/>
  <c r="D8" i="9"/>
  <c r="E6" i="9"/>
  <c r="F6" i="9"/>
  <c r="G6" i="9"/>
  <c r="H6" i="9"/>
  <c r="I6" i="9"/>
  <c r="J6" i="9"/>
  <c r="K6" i="9"/>
  <c r="L6" i="9"/>
  <c r="D6" i="9"/>
  <c r="L14" i="8"/>
  <c r="K14" i="8"/>
  <c r="J14" i="8"/>
  <c r="I14" i="8"/>
  <c r="H14" i="8"/>
  <c r="G14" i="8"/>
  <c r="F14" i="8"/>
  <c r="E14" i="8"/>
  <c r="D14" i="8"/>
  <c r="D7" i="8"/>
  <c r="E7" i="8"/>
  <c r="F7" i="8"/>
  <c r="G7" i="8"/>
  <c r="H7" i="8"/>
  <c r="I7" i="8"/>
  <c r="J7" i="8"/>
  <c r="K7" i="8"/>
  <c r="L7" i="8"/>
  <c r="D8" i="8"/>
  <c r="E8" i="8"/>
  <c r="F8" i="8"/>
  <c r="G8" i="8"/>
  <c r="H8" i="8"/>
  <c r="I8" i="8"/>
  <c r="J8" i="8"/>
  <c r="K8" i="8"/>
  <c r="L8" i="8"/>
  <c r="D9" i="8"/>
  <c r="E9" i="8"/>
  <c r="F9" i="8"/>
  <c r="G9" i="8"/>
  <c r="H9" i="8"/>
  <c r="I9" i="8"/>
  <c r="J9" i="8"/>
  <c r="K9" i="8"/>
  <c r="L9" i="8"/>
  <c r="D10" i="8"/>
  <c r="E10" i="8"/>
  <c r="F10" i="8"/>
  <c r="G10" i="8"/>
  <c r="H10" i="8"/>
  <c r="I10" i="8"/>
  <c r="J10" i="8"/>
  <c r="K10" i="8"/>
  <c r="L10" i="8"/>
  <c r="E6" i="8"/>
  <c r="F6" i="8"/>
  <c r="G6" i="8"/>
  <c r="H6" i="8"/>
  <c r="I6" i="8"/>
  <c r="J6" i="8"/>
  <c r="K6" i="8"/>
  <c r="L6" i="8"/>
  <c r="D6" i="8"/>
  <c r="E6" i="7"/>
  <c r="F6" i="7"/>
  <c r="G6" i="7"/>
  <c r="H6" i="7"/>
  <c r="I6" i="7"/>
  <c r="J6" i="7"/>
  <c r="K6" i="7"/>
  <c r="L6" i="7"/>
  <c r="D6" i="7"/>
  <c r="L14" i="6"/>
  <c r="K14" i="6"/>
  <c r="J14" i="6"/>
  <c r="I14" i="6"/>
  <c r="H14" i="6"/>
  <c r="G14" i="6"/>
  <c r="F14" i="6"/>
  <c r="E14" i="6"/>
  <c r="D14" i="6"/>
  <c r="D7" i="6"/>
  <c r="E7" i="6"/>
  <c r="F7" i="6"/>
  <c r="G7" i="6"/>
  <c r="H7" i="6"/>
  <c r="I7" i="6"/>
  <c r="J7" i="6"/>
  <c r="K7" i="6"/>
  <c r="L7" i="6"/>
  <c r="D8" i="6"/>
  <c r="E8" i="6"/>
  <c r="F8" i="6"/>
  <c r="G8" i="6"/>
  <c r="H8" i="6"/>
  <c r="I8" i="6"/>
  <c r="J8" i="6"/>
  <c r="K8" i="6"/>
  <c r="L8" i="6"/>
  <c r="D9" i="6"/>
  <c r="E9" i="6"/>
  <c r="F9" i="6"/>
  <c r="G9" i="6"/>
  <c r="H9" i="6"/>
  <c r="I9" i="6"/>
  <c r="J9" i="6"/>
  <c r="K9" i="6"/>
  <c r="L9" i="6"/>
  <c r="D10" i="6"/>
  <c r="E10" i="6"/>
  <c r="F10" i="6"/>
  <c r="G10" i="6"/>
  <c r="H10" i="6"/>
  <c r="I10" i="6"/>
  <c r="J10" i="6"/>
  <c r="K10" i="6"/>
  <c r="L10" i="6"/>
  <c r="E6" i="6"/>
  <c r="F6" i="6"/>
  <c r="G6" i="6"/>
  <c r="H6" i="6"/>
  <c r="I6" i="6"/>
  <c r="J6" i="6"/>
  <c r="K6" i="6"/>
  <c r="L6" i="6"/>
  <c r="D6" i="6"/>
  <c r="DS6" i="23"/>
  <c r="DS6" i="22"/>
  <c r="DS6" i="21"/>
  <c r="DS6" i="20"/>
  <c r="DS6" i="19"/>
  <c r="DS6" i="18"/>
  <c r="DS6" i="7"/>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G17" i="5"/>
  <c r="H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J11" i="5"/>
  <c r="G18" i="5"/>
  <c r="E16" i="5"/>
  <c r="G15" i="5"/>
  <c r="H10" i="5"/>
  <c r="H8" i="5"/>
  <c r="H11" i="5"/>
  <c r="K9" i="5"/>
  <c r="E15" i="5"/>
  <c r="J10" i="5"/>
  <c r="G8" i="5"/>
  <c r="G10" i="5"/>
  <c r="G9" i="5"/>
  <c r="E8" i="5"/>
  <c r="H12" i="5"/>
  <c r="J16" i="5"/>
  <c r="E6" i="5"/>
  <c r="E12" i="5"/>
  <c r="J15" i="5"/>
  <c r="G16" i="5"/>
  <c r="H9" i="5"/>
  <c r="E18" i="5"/>
  <c r="H13" i="5"/>
  <c r="F6" i="5"/>
  <c r="J9" i="5"/>
  <c r="J6" i="5"/>
  <c r="H14" i="5"/>
  <c r="E13" i="5"/>
  <c r="J18" i="5"/>
  <c r="G13" i="5"/>
  <c r="G14" i="5"/>
  <c r="H15" i="5"/>
  <c r="E7" i="5"/>
  <c r="J8" i="5"/>
  <c r="E14" i="5"/>
  <c r="H7" i="5"/>
  <c r="J7" i="5"/>
  <c r="G11" i="5"/>
  <c r="G12" i="5"/>
  <c r="H18" i="5"/>
  <c r="J12" i="5"/>
  <c r="J13" i="5"/>
  <c r="H6" i="5"/>
  <c r="I6" i="5"/>
  <c r="G7" i="5"/>
  <c r="H16" i="5"/>
  <c r="J14" i="5"/>
  <c r="E11" i="5"/>
  <c r="G6" i="5"/>
  <c r="E9"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<sst xmlns="http://schemas.openxmlformats.org/spreadsheetml/2006/main" count="1400" uniqueCount="315">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</sst>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Link" xfId="2" builtinId="8"/>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Standard" xfId="0" builtinId="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42B66B5D-83C0-446C-BFD0-94EEE1A8D10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BBF46356-B79E-4BE6-BC8C-766F0D8B48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D76B5126-700B-4303-8B20-D5A5A22282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F3286F9A-EA45-4E26-8340-7776CB444FC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E272FA6D-23E4-4A89-8F73-5886AFCD28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33F964C6-1C6E-42C5-BD9F-0BF1442D44C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H:\Projekte\endemo\input\general\Population_historical_world.xls" TargetMode="External"/><Relationship Id="rId1" Type="http://schemas.openxmlformats.org/officeDocument/2006/relationships/externalLinkPath" Target="/Projekte/endemo/input/general/Population_historical_worl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cell r="AB19"/>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cell r="AB24"/>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Info"/>
    </sheetNames>
    <sheetDataSet>
      <sheetData sheetId="0">
        <row r="37">
          <cell r="AZ37">
            <v>7306677</v>
          </cell>
          <cell r="BA37">
            <v>7251549</v>
          </cell>
          <cell r="BB37">
            <v>7216649</v>
          </cell>
          <cell r="BC37">
            <v>7181505</v>
          </cell>
          <cell r="BD37">
            <v>7146759</v>
          </cell>
          <cell r="BE37">
            <v>7114393</v>
          </cell>
          <cell r="BF37">
            <v>7076372</v>
          </cell>
          <cell r="BG37">
            <v>7040272</v>
          </cell>
          <cell r="BH37">
            <v>7001444</v>
          </cell>
        </row>
        <row r="38">
          <cell r="AZ38">
            <v>3705478</v>
          </cell>
          <cell r="BA38">
            <v>3661173</v>
          </cell>
          <cell r="BB38">
            <v>3604972</v>
          </cell>
          <cell r="BC38">
            <v>3542598</v>
          </cell>
          <cell r="BD38">
            <v>3482106</v>
          </cell>
          <cell r="BE38">
            <v>3429362</v>
          </cell>
          <cell r="BF38">
            <v>3386263</v>
          </cell>
          <cell r="BG38">
            <v>3351534</v>
          </cell>
          <cell r="BH38">
            <v>3323929</v>
          </cell>
        </row>
      </sheetData>
      <sheetData sheetId="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trlProp" Target="../ctrlProps/ctrlProp2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5.bin"/><Relationship Id="rId4"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6.bin"/><Relationship Id="rId4" Type="http://schemas.openxmlformats.org/officeDocument/2006/relationships/ctrlProp" Target="../ctrlProps/ctrlProp2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7.bin"/><Relationship Id="rId4" Type="http://schemas.openxmlformats.org/officeDocument/2006/relationships/ctrlProp" Target="../ctrlProps/ctrlProp2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8.bin"/><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9.bin"/><Relationship Id="rId4" Type="http://schemas.openxmlformats.org/officeDocument/2006/relationships/ctrlProp" Target="../ctrlProps/ctrlProp2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zoomScale="90" zoomScaleNormal="90" workbookViewId="0">
      <selection activeCell="C21" sqref="C21:D21"/>
    </sheetView>
  </sheetViews>
  <sheetFormatPr baseColWidth="10" defaultColWidth="9.140625" defaultRowHeight="15" x14ac:dyDescent="0.25"/>
  <cols>
    <col min="1" max="1" width="15.5703125" style="19" customWidth="1"/>
    <col min="2" max="3" width="30.7109375" style="19" customWidth="1"/>
    <col min="4" max="4" width="42.5703125" style="19" customWidth="1"/>
    <col min="5" max="5" width="15.5703125" style="19" customWidth="1"/>
    <col min="6" max="6" width="24.7109375" style="19" customWidth="1"/>
    <col min="7" max="16384" width="9.140625" style="19"/>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41" t="s">
        <v>144</v>
      </c>
      <c r="B13" s="141"/>
      <c r="C13" s="141"/>
      <c r="D13" s="141"/>
      <c r="E13" s="141"/>
    </row>
    <row r="14" spans="1:5" ht="15" customHeight="1" thickBot="1" x14ac:dyDescent="0.3">
      <c r="A14" s="23"/>
      <c r="B14" s="24"/>
      <c r="C14" s="24"/>
      <c r="D14" s="24"/>
      <c r="E14" s="24"/>
    </row>
    <row r="15" spans="1:5" ht="21" customHeight="1" thickBot="1" x14ac:dyDescent="0.3">
      <c r="A15" s="23"/>
      <c r="B15" s="23"/>
      <c r="C15" s="49" t="s">
        <v>32</v>
      </c>
      <c r="D15" s="53" t="s">
        <v>79</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42"/>
      <c r="D19" s="143"/>
      <c r="E19" s="23"/>
    </row>
    <row r="20" spans="1:5" ht="15" customHeight="1" thickBot="1" x14ac:dyDescent="0.3">
      <c r="A20" s="23"/>
      <c r="B20" s="27"/>
      <c r="C20" s="24"/>
      <c r="D20" s="24"/>
      <c r="E20" s="23"/>
    </row>
    <row r="21" spans="1:5" ht="21" customHeight="1" thickBot="1" x14ac:dyDescent="0.3">
      <c r="A21" s="23"/>
      <c r="B21" s="27" t="s">
        <v>35</v>
      </c>
      <c r="C21" s="144"/>
      <c r="D21" s="143"/>
      <c r="E21" s="23"/>
    </row>
    <row r="22" spans="1:5" ht="15" customHeight="1" thickBot="1" x14ac:dyDescent="0.3">
      <c r="A22" s="23"/>
      <c r="B22" s="27"/>
      <c r="C22" s="24"/>
      <c r="D22" s="24"/>
      <c r="E22" s="23"/>
    </row>
    <row r="23" spans="1:5" ht="21" customHeight="1" thickBot="1" x14ac:dyDescent="0.3">
      <c r="A23" s="23"/>
      <c r="B23" s="27" t="s">
        <v>36</v>
      </c>
      <c r="C23" s="142"/>
      <c r="D23" s="143"/>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2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40" t="s">
        <v>142</v>
      </c>
      <c r="B37" s="140"/>
      <c r="C37" s="140"/>
      <c r="D37" s="140"/>
      <c r="E37" s="140"/>
    </row>
    <row r="38" spans="1:5" ht="15" customHeight="1" x14ac:dyDescent="0.25">
      <c r="A38" s="50"/>
      <c r="B38" s="50"/>
      <c r="C38" s="50"/>
      <c r="D38" s="50"/>
      <c r="E38" s="50"/>
    </row>
    <row r="39" spans="1:5" ht="21" customHeight="1" x14ac:dyDescent="0.25">
      <c r="A39" s="140" t="s">
        <v>39</v>
      </c>
      <c r="B39" s="140"/>
      <c r="C39" s="140"/>
      <c r="D39" s="140"/>
      <c r="E39" s="140"/>
    </row>
    <row r="40" spans="1:5" ht="45" customHeight="1" x14ac:dyDescent="0.25">
      <c r="A40" s="140" t="s">
        <v>148</v>
      </c>
      <c r="B40" s="140"/>
      <c r="C40" s="140"/>
      <c r="D40" s="140"/>
      <c r="E40" s="140"/>
    </row>
    <row r="41" spans="1:5" ht="21" customHeight="1" x14ac:dyDescent="0.25">
      <c r="A41" s="50"/>
      <c r="B41" s="49" t="s">
        <v>34</v>
      </c>
      <c r="C41" s="51" t="s">
        <v>40</v>
      </c>
      <c r="D41" s="51"/>
      <c r="E41" s="51"/>
    </row>
    <row r="42" spans="1:5" ht="21" customHeight="1" x14ac:dyDescent="0.25">
      <c r="A42" s="50"/>
      <c r="B42" s="49" t="s">
        <v>37</v>
      </c>
      <c r="C42" s="139" t="s">
        <v>314</v>
      </c>
      <c r="D42" s="51"/>
      <c r="E42" s="51"/>
    </row>
    <row r="43" spans="1:5" ht="21" customHeight="1" x14ac:dyDescent="0.25">
      <c r="A43" s="50"/>
      <c r="B43" s="49" t="s">
        <v>38</v>
      </c>
      <c r="C43" s="52" t="s">
        <v>41</v>
      </c>
      <c r="D43" s="51"/>
      <c r="E43" s="51"/>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zoomScale="90" zoomScaleNormal="90" workbookViewId="0"/>
  </sheetViews>
  <sheetFormatPr baseColWidth="10"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45" t="s">
        <v>145</v>
      </c>
      <c r="C2" s="146"/>
    </row>
    <row r="3" spans="2:3" ht="9.75" customHeight="1" x14ac:dyDescent="0.25">
      <c r="B3" s="60"/>
      <c r="C3" s="61"/>
    </row>
    <row r="4" spans="2:3" ht="36" customHeight="1" x14ac:dyDescent="0.25">
      <c r="B4" s="147" t="s">
        <v>82</v>
      </c>
      <c r="C4" s="62" t="s">
        <v>83</v>
      </c>
    </row>
    <row r="5" spans="2:3" ht="36" customHeight="1" x14ac:dyDescent="0.25">
      <c r="B5" s="148"/>
      <c r="C5" s="63" t="s">
        <v>134</v>
      </c>
    </row>
    <row r="6" spans="2:3" ht="36" customHeight="1" x14ac:dyDescent="0.25">
      <c r="B6" s="148"/>
      <c r="C6" s="63" t="s">
        <v>146</v>
      </c>
    </row>
    <row r="7" spans="2:3" ht="45" customHeight="1" x14ac:dyDescent="0.25">
      <c r="B7" s="149"/>
      <c r="C7" s="64" t="s">
        <v>84</v>
      </c>
    </row>
    <row r="8" spans="2:3" ht="9.75" customHeight="1" x14ac:dyDescent="0.25">
      <c r="B8" s="65"/>
      <c r="C8" s="66"/>
    </row>
    <row r="9" spans="2:3" ht="30" customHeight="1" x14ac:dyDescent="0.25">
      <c r="B9" s="67" t="s">
        <v>112</v>
      </c>
      <c r="C9" s="68"/>
    </row>
    <row r="10" spans="2:3" ht="9" customHeight="1" x14ac:dyDescent="0.25">
      <c r="B10" s="69"/>
      <c r="C10" s="63"/>
    </row>
    <row r="11" spans="2:3" ht="30" customHeight="1" x14ac:dyDescent="0.25">
      <c r="B11" s="70" t="s">
        <v>13</v>
      </c>
      <c r="C11" s="63" t="s">
        <v>147</v>
      </c>
    </row>
    <row r="12" spans="2:3" ht="15" customHeight="1" x14ac:dyDescent="0.25">
      <c r="B12" s="69"/>
      <c r="C12" s="63"/>
    </row>
    <row r="13" spans="2:3" ht="60" customHeight="1" x14ac:dyDescent="0.25">
      <c r="B13" s="70" t="s">
        <v>15</v>
      </c>
      <c r="C13" s="63" t="s">
        <v>136</v>
      </c>
    </row>
    <row r="14" spans="2:3" ht="15" customHeight="1" x14ac:dyDescent="0.25">
      <c r="B14" s="69"/>
      <c r="C14" s="63"/>
    </row>
    <row r="15" spans="2:3" ht="45" customHeight="1" x14ac:dyDescent="0.25">
      <c r="B15" s="150" t="s">
        <v>29</v>
      </c>
      <c r="C15" s="63" t="s">
        <v>312</v>
      </c>
    </row>
    <row r="16" spans="2:3" ht="63" customHeight="1" x14ac:dyDescent="0.25">
      <c r="B16" s="151"/>
      <c r="C16" s="63" t="s">
        <v>310</v>
      </c>
    </row>
    <row r="17" spans="2:3" ht="30" hidden="1" customHeight="1" x14ac:dyDescent="0.25">
      <c r="B17" s="69"/>
      <c r="C17" s="63" t="s">
        <v>120</v>
      </c>
    </row>
    <row r="18" spans="2:3" ht="63" hidden="1" customHeight="1" x14ac:dyDescent="0.25">
      <c r="B18" s="69"/>
      <c r="C18" s="63" t="s">
        <v>121</v>
      </c>
    </row>
    <row r="19" spans="2:3" ht="135" hidden="1" customHeight="1" x14ac:dyDescent="0.25">
      <c r="B19" s="69"/>
      <c r="C19" s="63" t="s">
        <v>122</v>
      </c>
    </row>
    <row r="20" spans="2:3" ht="60" hidden="1" customHeight="1" x14ac:dyDescent="0.25">
      <c r="B20" s="69"/>
      <c r="C20" s="63" t="s">
        <v>123</v>
      </c>
    </row>
    <row r="21" spans="2:3" ht="15" customHeight="1" x14ac:dyDescent="0.25">
      <c r="B21" s="69"/>
      <c r="C21" s="63"/>
    </row>
    <row r="22" spans="2:3" ht="30" customHeight="1" x14ac:dyDescent="0.25">
      <c r="B22" s="70" t="s">
        <v>156</v>
      </c>
      <c r="C22" s="63" t="s">
        <v>309</v>
      </c>
    </row>
    <row r="23" spans="2:3" ht="15" customHeight="1" x14ac:dyDescent="0.25">
      <c r="B23" s="69"/>
      <c r="C23" s="63"/>
    </row>
    <row r="24" spans="2:3" ht="75" customHeight="1" x14ac:dyDescent="0.25">
      <c r="B24" s="70" t="s">
        <v>110</v>
      </c>
      <c r="C24" s="63" t="s">
        <v>313</v>
      </c>
    </row>
    <row r="25" spans="2:3" ht="9" customHeight="1" x14ac:dyDescent="0.25">
      <c r="B25" s="71"/>
      <c r="C25" s="63"/>
    </row>
    <row r="26" spans="2:3" ht="15" customHeight="1" x14ac:dyDescent="0.25">
      <c r="B26" s="72" t="s">
        <v>124</v>
      </c>
      <c r="C26" s="63"/>
    </row>
    <row r="27" spans="2:3" ht="60" customHeight="1" x14ac:dyDescent="0.25">
      <c r="B27" s="69" t="s">
        <v>113</v>
      </c>
      <c r="C27" s="63" t="s">
        <v>308</v>
      </c>
    </row>
    <row r="28" spans="2:3" ht="9" customHeight="1" x14ac:dyDescent="0.25">
      <c r="B28" s="69"/>
      <c r="C28" s="63"/>
    </row>
    <row r="29" spans="2:3" ht="30" customHeight="1" x14ac:dyDescent="0.25">
      <c r="B29" s="69" t="s">
        <v>114</v>
      </c>
      <c r="C29" s="63" t="s">
        <v>137</v>
      </c>
    </row>
    <row r="30" spans="2:3" ht="9" customHeight="1" x14ac:dyDescent="0.25">
      <c r="B30" s="69"/>
      <c r="C30" s="63"/>
    </row>
    <row r="31" spans="2:3" ht="105" customHeight="1" x14ac:dyDescent="0.25">
      <c r="B31" s="152" t="s">
        <v>115</v>
      </c>
      <c r="C31" s="63" t="s">
        <v>311</v>
      </c>
    </row>
    <row r="32" spans="2:3" ht="105" customHeight="1" x14ac:dyDescent="0.25">
      <c r="B32" s="153"/>
      <c r="C32" s="63" t="s">
        <v>119</v>
      </c>
    </row>
    <row r="33" spans="1:3" ht="15" customHeight="1" x14ac:dyDescent="0.25">
      <c r="B33" s="69"/>
      <c r="C33" s="63"/>
    </row>
    <row r="34" spans="1:3" ht="30" customHeight="1" x14ac:dyDescent="0.25">
      <c r="B34" s="72" t="s">
        <v>129</v>
      </c>
      <c r="C34" s="63" t="s">
        <v>130</v>
      </c>
    </row>
    <row r="35" spans="1:3" ht="15" customHeight="1" x14ac:dyDescent="0.25">
      <c r="B35" s="69"/>
      <c r="C35" s="63"/>
    </row>
    <row r="36" spans="1:3" ht="18" customHeight="1" x14ac:dyDescent="0.25">
      <c r="B36" s="70" t="s">
        <v>111</v>
      </c>
      <c r="C36" s="63" t="s">
        <v>125</v>
      </c>
    </row>
    <row r="37" spans="1:3" ht="9" customHeight="1" x14ac:dyDescent="0.25">
      <c r="B37" s="71"/>
      <c r="C37" s="63"/>
    </row>
    <row r="38" spans="1:3" ht="15" customHeight="1" x14ac:dyDescent="0.25">
      <c r="B38" s="72" t="s">
        <v>124</v>
      </c>
      <c r="C38" s="63"/>
    </row>
    <row r="39" spans="1:3" ht="30" customHeight="1" x14ac:dyDescent="0.25">
      <c r="B39" s="69" t="s">
        <v>116</v>
      </c>
      <c r="C39" s="63" t="s">
        <v>126</v>
      </c>
    </row>
    <row r="40" spans="1:3" ht="9" customHeight="1" x14ac:dyDescent="0.25">
      <c r="B40" s="69"/>
      <c r="C40" s="63"/>
    </row>
    <row r="41" spans="1:3" ht="30" customHeight="1" x14ac:dyDescent="0.25">
      <c r="B41" s="152" t="s">
        <v>117</v>
      </c>
      <c r="C41" s="63" t="s">
        <v>127</v>
      </c>
    </row>
    <row r="42" spans="1:3" ht="59.25" customHeight="1" x14ac:dyDescent="0.25">
      <c r="B42" s="153"/>
      <c r="C42" s="63" t="s">
        <v>172</v>
      </c>
    </row>
    <row r="43" spans="1:3" ht="9" customHeight="1" x14ac:dyDescent="0.25">
      <c r="A43" s="43"/>
      <c r="B43" s="69"/>
      <c r="C43" s="63"/>
    </row>
    <row r="44" spans="1:3" ht="90" customHeight="1" x14ac:dyDescent="0.25">
      <c r="B44" s="69" t="s">
        <v>118</v>
      </c>
      <c r="C44" s="63" t="s">
        <v>128</v>
      </c>
    </row>
    <row r="45" spans="1:3" ht="14.25" customHeight="1" x14ac:dyDescent="0.25">
      <c r="B45" s="69"/>
      <c r="C45" s="63"/>
    </row>
    <row r="46" spans="1:3" ht="42" customHeight="1" x14ac:dyDescent="0.25">
      <c r="B46" s="69" t="s">
        <v>184</v>
      </c>
      <c r="C46" s="63" t="s">
        <v>186</v>
      </c>
    </row>
    <row r="47" spans="1:3" ht="15" customHeight="1" x14ac:dyDescent="0.25">
      <c r="B47" s="69"/>
      <c r="C47" s="63"/>
    </row>
    <row r="48" spans="1:3" ht="30" customHeight="1" x14ac:dyDescent="0.25">
      <c r="B48" s="72" t="s">
        <v>129</v>
      </c>
      <c r="C48" s="63" t="s">
        <v>131</v>
      </c>
    </row>
    <row r="49" spans="2:3" ht="18" customHeight="1" x14ac:dyDescent="0.25">
      <c r="B49" s="73"/>
      <c r="C49" s="64"/>
    </row>
    <row r="50" spans="2:3" ht="9" customHeight="1" x14ac:dyDescent="0.25">
      <c r="B50" s="74"/>
      <c r="C50" s="74"/>
    </row>
    <row r="51" spans="2:3" ht="36" customHeight="1" x14ac:dyDescent="0.25">
      <c r="B51" s="75" t="s">
        <v>85</v>
      </c>
      <c r="C51" s="68"/>
    </row>
    <row r="52" spans="2:3" ht="24" customHeight="1" x14ac:dyDescent="0.25">
      <c r="B52" s="76" t="s">
        <v>86</v>
      </c>
      <c r="C52" s="63"/>
    </row>
    <row r="53" spans="2:3" ht="12" customHeight="1" x14ac:dyDescent="0.25">
      <c r="B53" s="77"/>
      <c r="C53" s="63"/>
    </row>
    <row r="54" spans="2:3" x14ac:dyDescent="0.25">
      <c r="B54" s="71" t="s">
        <v>93</v>
      </c>
      <c r="C54" s="63" t="s">
        <v>87</v>
      </c>
    </row>
    <row r="55" spans="2:3" ht="12" customHeight="1" x14ac:dyDescent="0.25">
      <c r="B55" s="77"/>
      <c r="C55" s="63"/>
    </row>
    <row r="56" spans="2:3" x14ac:dyDescent="0.25">
      <c r="B56" s="71" t="s">
        <v>94</v>
      </c>
      <c r="C56" s="63" t="s">
        <v>180</v>
      </c>
    </row>
    <row r="57" spans="2:3" ht="30" x14ac:dyDescent="0.25">
      <c r="B57" s="77"/>
      <c r="C57" s="63" t="s">
        <v>88</v>
      </c>
    </row>
    <row r="58" spans="2:3" ht="12" customHeight="1" x14ac:dyDescent="0.25">
      <c r="B58" s="77"/>
      <c r="C58" s="63"/>
    </row>
    <row r="59" spans="2:3" x14ac:dyDescent="0.25">
      <c r="B59" s="71" t="s">
        <v>95</v>
      </c>
      <c r="C59" s="63" t="s">
        <v>181</v>
      </c>
    </row>
    <row r="60" spans="2:3" x14ac:dyDescent="0.25">
      <c r="B60" s="77"/>
      <c r="C60" s="63" t="s">
        <v>89</v>
      </c>
    </row>
    <row r="61" spans="2:3" ht="12" customHeight="1" x14ac:dyDescent="0.25">
      <c r="B61" s="77"/>
      <c r="C61" s="63"/>
    </row>
    <row r="62" spans="2:3" x14ac:dyDescent="0.25">
      <c r="B62" s="71" t="s">
        <v>96</v>
      </c>
      <c r="C62" s="63" t="s">
        <v>182</v>
      </c>
    </row>
    <row r="63" spans="2:3" ht="18" customHeight="1" x14ac:dyDescent="0.25">
      <c r="B63" s="77"/>
      <c r="C63" s="63" t="s">
        <v>90</v>
      </c>
    </row>
    <row r="64" spans="2:3" ht="12" customHeight="1" x14ac:dyDescent="0.25">
      <c r="B64" s="77"/>
      <c r="C64" s="63"/>
    </row>
    <row r="65" spans="2:3" x14ac:dyDescent="0.25">
      <c r="B65" s="71" t="s">
        <v>97</v>
      </c>
      <c r="C65" s="63" t="s">
        <v>99</v>
      </c>
    </row>
    <row r="66" spans="2:3" ht="12" customHeight="1" x14ac:dyDescent="0.25">
      <c r="B66" s="77"/>
      <c r="C66" s="63"/>
    </row>
    <row r="67" spans="2:3" ht="30" x14ac:dyDescent="0.25">
      <c r="B67" s="71" t="s">
        <v>98</v>
      </c>
      <c r="C67" s="63" t="s">
        <v>91</v>
      </c>
    </row>
    <row r="68" spans="2:3" ht="12" customHeight="1" x14ac:dyDescent="0.25">
      <c r="B68" s="77"/>
      <c r="C68" s="63"/>
    </row>
    <row r="69" spans="2:3" ht="12" customHeight="1" x14ac:dyDescent="0.25">
      <c r="B69" s="77"/>
      <c r="C69" s="63"/>
    </row>
    <row r="70" spans="2:3" ht="45" x14ac:dyDescent="0.25">
      <c r="B70" s="78" t="s">
        <v>5</v>
      </c>
      <c r="C70" s="64" t="s">
        <v>92</v>
      </c>
    </row>
    <row r="71" spans="2:3" ht="9" customHeight="1" x14ac:dyDescent="0.25">
      <c r="B71" s="74"/>
      <c r="C71" s="74"/>
    </row>
    <row r="72" spans="2:3" ht="45" x14ac:dyDescent="0.25">
      <c r="B72" s="87" t="s">
        <v>135</v>
      </c>
      <c r="C72" s="79" t="s">
        <v>183</v>
      </c>
    </row>
    <row r="73" spans="2:3" ht="9" customHeight="1" x14ac:dyDescent="0.25">
      <c r="B73" s="74"/>
      <c r="C73" s="74"/>
    </row>
    <row r="74" spans="2:3" ht="24" customHeight="1" x14ac:dyDescent="0.25">
      <c r="B74" s="80" t="s">
        <v>100</v>
      </c>
      <c r="C74" s="81"/>
    </row>
    <row r="75" spans="2:3" ht="12" customHeight="1" x14ac:dyDescent="0.25">
      <c r="B75" s="82"/>
      <c r="C75" s="83"/>
    </row>
    <row r="76" spans="2:3" x14ac:dyDescent="0.25">
      <c r="B76" s="84" t="s">
        <v>102</v>
      </c>
      <c r="C76" s="83" t="s">
        <v>101</v>
      </c>
    </row>
    <row r="77" spans="2:3" x14ac:dyDescent="0.25">
      <c r="B77" s="84" t="s">
        <v>103</v>
      </c>
      <c r="C77" s="83" t="s">
        <v>109</v>
      </c>
    </row>
    <row r="78" spans="2:3" x14ac:dyDescent="0.25">
      <c r="B78" s="84" t="s">
        <v>132</v>
      </c>
      <c r="C78" s="83" t="s">
        <v>133</v>
      </c>
    </row>
    <row r="79" spans="2:3" x14ac:dyDescent="0.25">
      <c r="B79" s="84" t="s">
        <v>16</v>
      </c>
      <c r="C79" s="83" t="s">
        <v>106</v>
      </c>
    </row>
    <row r="80" spans="2:3" x14ac:dyDescent="0.25">
      <c r="B80" s="84" t="s">
        <v>107</v>
      </c>
      <c r="C80" s="83" t="s">
        <v>104</v>
      </c>
    </row>
    <row r="81" spans="2:3" x14ac:dyDescent="0.25">
      <c r="B81" s="85" t="s">
        <v>108</v>
      </c>
      <c r="C81" s="86"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2" sqref="L12"/>
    </sheetView>
  </sheetViews>
  <sheetFormatPr baseColWidth="10"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54" t="s">
        <v>0</v>
      </c>
      <c r="B1" s="155"/>
      <c r="C1" s="20"/>
      <c r="D1" s="1"/>
      <c r="E1" s="2"/>
      <c r="F1" s="2"/>
      <c r="G1" s="2"/>
      <c r="H1" s="2"/>
      <c r="I1" s="2"/>
      <c r="J1" s="2"/>
      <c r="K1" s="2"/>
      <c r="L1" s="2"/>
      <c r="M1" s="2"/>
      <c r="N1" s="2"/>
      <c r="O1" s="2"/>
    </row>
    <row r="2" spans="1:134" ht="18" customHeight="1" x14ac:dyDescent="0.25">
      <c r="A2" s="156"/>
      <c r="B2" s="157"/>
      <c r="C2" s="1"/>
      <c r="D2" s="1"/>
      <c r="E2" s="5"/>
      <c r="F2" s="3"/>
      <c r="G2" s="3"/>
      <c r="H2" s="3"/>
      <c r="I2" s="3"/>
      <c r="J2" s="3"/>
      <c r="K2" s="3"/>
      <c r="L2" s="3"/>
      <c r="M2" s="3"/>
      <c r="N2" s="3"/>
      <c r="O2" s="3"/>
    </row>
    <row r="3" spans="1:134" ht="18" customHeight="1" x14ac:dyDescent="0.3">
      <c r="A3" s="158" t="s">
        <v>12</v>
      </c>
      <c r="B3" s="159"/>
      <c r="C3" s="1"/>
      <c r="D3" s="1"/>
      <c r="E3" s="5"/>
      <c r="F3" s="3"/>
      <c r="G3" s="3"/>
      <c r="H3" s="3"/>
      <c r="I3" s="3"/>
      <c r="J3" s="3"/>
      <c r="K3" s="3"/>
      <c r="L3" s="3"/>
      <c r="M3" s="3"/>
      <c r="N3" s="3"/>
      <c r="O3" s="3"/>
      <c r="DS3" s="4" t="s">
        <v>229</v>
      </c>
    </row>
    <row r="4" spans="1:134" ht="18" customHeight="1" x14ac:dyDescent="0.25">
      <c r="A4" s="160"/>
      <c r="B4" s="157"/>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61" t="s">
        <v>3</v>
      </c>
      <c r="B5" s="16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64"/>
      <c r="C6" s="46"/>
      <c r="D6" s="47"/>
      <c r="E6" s="48"/>
      <c r="F6" s="48"/>
      <c r="G6" s="48"/>
      <c r="H6" s="48"/>
      <c r="I6" s="48"/>
      <c r="J6" s="48"/>
      <c r="K6" s="48"/>
      <c r="L6" s="48"/>
      <c r="M6" s="48"/>
      <c r="N6" s="48"/>
      <c r="O6" s="48"/>
      <c r="DS6" s="4" t="str">
        <f>VLOOKUP(Cover!$D$15, Country_list!$B$3:$C$44, 2, 0)</f>
        <v>RS</v>
      </c>
      <c r="DV6" s="4" t="s">
        <v>298</v>
      </c>
    </row>
    <row r="7" spans="1:134" ht="24" customHeight="1" x14ac:dyDescent="0.2">
      <c r="A7" s="166" t="s">
        <v>15</v>
      </c>
      <c r="B7" s="167"/>
      <c r="C7" s="44"/>
      <c r="D7" s="15"/>
      <c r="E7" s="45"/>
      <c r="F7" s="45"/>
      <c r="G7" s="45"/>
      <c r="H7" s="45"/>
      <c r="I7" s="45"/>
      <c r="J7" s="45"/>
      <c r="K7" s="45"/>
      <c r="L7" s="45"/>
      <c r="M7" s="45"/>
      <c r="N7" s="45"/>
      <c r="O7" s="45"/>
    </row>
    <row r="8" spans="1:134" ht="24" customHeight="1" x14ac:dyDescent="0.2">
      <c r="A8" s="166" t="s">
        <v>29</v>
      </c>
      <c r="B8" s="167"/>
      <c r="C8" s="44"/>
      <c r="D8" s="15"/>
      <c r="E8" s="45"/>
      <c r="F8" s="45"/>
      <c r="G8" s="45"/>
      <c r="H8" s="45"/>
      <c r="I8" s="45"/>
      <c r="J8" s="45"/>
      <c r="K8" s="45"/>
      <c r="L8" s="45"/>
      <c r="M8" s="45"/>
      <c r="N8" s="45"/>
      <c r="O8" s="45"/>
    </row>
    <row r="9" spans="1:134" ht="24" customHeight="1" x14ac:dyDescent="0.2">
      <c r="A9" s="166" t="s">
        <v>156</v>
      </c>
      <c r="B9" s="167"/>
      <c r="C9" s="9" t="s">
        <v>132</v>
      </c>
      <c r="D9" s="88">
        <v>18352</v>
      </c>
      <c r="E9" s="89">
        <v>20749</v>
      </c>
      <c r="F9" s="89">
        <v>18503</v>
      </c>
      <c r="G9" s="89">
        <v>17258</v>
      </c>
      <c r="H9" s="89">
        <v>14028</v>
      </c>
      <c r="I9" s="89">
        <v>18571</v>
      </c>
      <c r="J9" s="89">
        <v>18199</v>
      </c>
      <c r="K9" s="89">
        <v>14261</v>
      </c>
      <c r="L9" s="89">
        <v>15967</v>
      </c>
      <c r="M9" s="89"/>
      <c r="N9" s="89"/>
      <c r="O9" s="89"/>
      <c r="DT9" s="4" t="s">
        <v>279</v>
      </c>
      <c r="EB9" s="4" t="s">
        <v>300</v>
      </c>
      <c r="ED9" s="4" t="s">
        <v>301</v>
      </c>
    </row>
    <row r="10" spans="1:134" ht="24" customHeight="1" x14ac:dyDescent="0.2">
      <c r="A10" s="166" t="s">
        <v>20</v>
      </c>
      <c r="B10" s="167"/>
      <c r="C10" s="9" t="s">
        <v>132</v>
      </c>
      <c r="D10" s="88">
        <v>47264</v>
      </c>
      <c r="E10" s="89">
        <v>46253</v>
      </c>
      <c r="F10" s="89">
        <v>45788</v>
      </c>
      <c r="G10" s="89">
        <v>47903</v>
      </c>
      <c r="H10" s="89">
        <v>46853</v>
      </c>
      <c r="I10" s="89">
        <v>47300</v>
      </c>
      <c r="J10" s="89">
        <v>47306</v>
      </c>
      <c r="K10" s="89">
        <v>47311</v>
      </c>
      <c r="L10" s="89">
        <v>47311</v>
      </c>
      <c r="M10" s="89"/>
      <c r="N10" s="89"/>
      <c r="O10" s="89"/>
      <c r="DT10" s="4" t="s">
        <v>280</v>
      </c>
      <c r="EB10" s="4" t="s">
        <v>300</v>
      </c>
      <c r="ED10" s="4" t="s">
        <v>301</v>
      </c>
    </row>
    <row r="11" spans="1:134" s="13" customFormat="1" ht="15" customHeight="1" x14ac:dyDescent="0.2">
      <c r="A11" s="165" t="s">
        <v>18</v>
      </c>
      <c r="B11" s="102" t="s">
        <v>21</v>
      </c>
      <c r="C11" s="103" t="s">
        <v>132</v>
      </c>
      <c r="D11" s="107">
        <v>47313</v>
      </c>
      <c r="E11" s="107">
        <v>47306</v>
      </c>
      <c r="F11" s="108">
        <v>47301</v>
      </c>
      <c r="G11" s="108">
        <v>47312</v>
      </c>
      <c r="H11" s="108">
        <v>47318</v>
      </c>
      <c r="I11" s="108">
        <v>47300</v>
      </c>
      <c r="J11" s="108">
        <v>47306</v>
      </c>
      <c r="K11" s="108">
        <v>47311</v>
      </c>
      <c r="L11" s="108">
        <v>47311</v>
      </c>
      <c r="M11" s="108"/>
      <c r="N11" s="108"/>
      <c r="O11" s="108"/>
      <c r="DT11" s="13" t="s">
        <v>281</v>
      </c>
      <c r="EB11" s="13" t="s">
        <v>300</v>
      </c>
      <c r="ED11" s="13" t="s">
        <v>301</v>
      </c>
    </row>
    <row r="12" spans="1:134" s="13" customFormat="1" ht="15" customHeight="1" x14ac:dyDescent="0.2">
      <c r="A12" s="165"/>
      <c r="B12" s="102" t="s">
        <v>22</v>
      </c>
      <c r="C12" s="103" t="s">
        <v>132</v>
      </c>
      <c r="D12" s="107"/>
      <c r="E12" s="107"/>
      <c r="F12" s="107"/>
      <c r="G12" s="107"/>
      <c r="H12" s="107"/>
      <c r="I12" s="107"/>
      <c r="J12" s="107"/>
      <c r="K12" s="107"/>
      <c r="L12" s="107"/>
      <c r="M12" s="107"/>
      <c r="N12" s="107"/>
      <c r="O12" s="107"/>
      <c r="DT12" s="13" t="s">
        <v>282</v>
      </c>
      <c r="EB12" s="13" t="s">
        <v>300</v>
      </c>
      <c r="ED12" s="13" t="s">
        <v>301</v>
      </c>
    </row>
    <row r="13" spans="1:134" s="13" customFormat="1" ht="15" customHeight="1" x14ac:dyDescent="0.2">
      <c r="A13" s="165"/>
      <c r="B13" s="102" t="s">
        <v>23</v>
      </c>
      <c r="C13" s="103" t="s">
        <v>132</v>
      </c>
      <c r="D13" s="107"/>
      <c r="E13" s="107"/>
      <c r="F13" s="107"/>
      <c r="G13" s="107"/>
      <c r="H13" s="107"/>
      <c r="I13" s="107"/>
      <c r="J13" s="107"/>
      <c r="K13" s="107"/>
      <c r="L13" s="107"/>
      <c r="M13" s="107"/>
      <c r="N13" s="107"/>
      <c r="O13" s="107"/>
      <c r="DT13" s="13" t="s">
        <v>283</v>
      </c>
      <c r="EB13" s="13" t="s">
        <v>300</v>
      </c>
      <c r="ED13" s="13" t="s">
        <v>301</v>
      </c>
    </row>
    <row r="14" spans="1:134" ht="24" customHeight="1" x14ac:dyDescent="0.2">
      <c r="A14" s="166" t="s">
        <v>24</v>
      </c>
      <c r="B14" s="167"/>
      <c r="C14" s="44"/>
      <c r="D14" s="15"/>
      <c r="E14" s="45"/>
      <c r="F14" s="45"/>
      <c r="G14" s="45"/>
      <c r="H14" s="45"/>
      <c r="I14" s="45"/>
      <c r="J14" s="45"/>
      <c r="K14" s="45"/>
      <c r="L14" s="45"/>
      <c r="M14" s="45"/>
      <c r="N14" s="45"/>
      <c r="O14" s="45"/>
    </row>
    <row r="15" spans="1:134" s="13" customFormat="1" ht="15" customHeight="1" x14ac:dyDescent="0.2">
      <c r="A15" s="165" t="s">
        <v>18</v>
      </c>
      <c r="B15" s="102" t="s">
        <v>26</v>
      </c>
      <c r="C15" s="14"/>
      <c r="D15" s="15"/>
      <c r="E15" s="12"/>
      <c r="F15" s="12"/>
      <c r="G15" s="12"/>
      <c r="H15" s="12"/>
      <c r="I15" s="12"/>
      <c r="J15" s="12"/>
      <c r="K15" s="12"/>
      <c r="L15" s="12"/>
      <c r="M15" s="12"/>
      <c r="N15" s="12"/>
      <c r="O15" s="12"/>
    </row>
    <row r="16" spans="1:134" s="13" customFormat="1" ht="15" customHeight="1" x14ac:dyDescent="0.2">
      <c r="A16" s="165"/>
      <c r="B16" s="102" t="s">
        <v>27</v>
      </c>
      <c r="C16" s="14"/>
      <c r="D16" s="15"/>
      <c r="E16" s="12"/>
      <c r="F16" s="12"/>
      <c r="G16" s="12"/>
      <c r="H16" s="12"/>
      <c r="I16" s="12"/>
      <c r="J16" s="12"/>
      <c r="K16" s="12"/>
      <c r="L16" s="12"/>
      <c r="M16" s="12"/>
      <c r="N16" s="12"/>
      <c r="O16" s="12"/>
    </row>
    <row r="17" spans="1:15" s="13" customFormat="1" ht="15" customHeight="1" x14ac:dyDescent="0.2">
      <c r="A17" s="165"/>
      <c r="B17" s="102" t="s">
        <v>28</v>
      </c>
      <c r="C17" s="14"/>
      <c r="D17" s="15"/>
      <c r="E17" s="12"/>
      <c r="F17" s="12"/>
      <c r="G17" s="12"/>
      <c r="H17" s="12"/>
      <c r="I17" s="12"/>
      <c r="J17" s="12"/>
      <c r="K17" s="12"/>
      <c r="L17" s="12"/>
      <c r="M17" s="12"/>
      <c r="N17" s="12"/>
      <c r="O17" s="12"/>
    </row>
    <row r="18" spans="1:15" s="13" customFormat="1" ht="15" customHeight="1" x14ac:dyDescent="0.2">
      <c r="A18" s="165"/>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L20" sqref="L20"/>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4" t="s">
        <v>0</v>
      </c>
      <c r="B1" s="173"/>
      <c r="C1" s="20"/>
      <c r="D1" s="1"/>
      <c r="E1" s="2"/>
      <c r="F1" s="2"/>
      <c r="G1" s="2"/>
      <c r="H1" s="2"/>
      <c r="I1" s="2"/>
      <c r="J1" s="2"/>
      <c r="K1" s="3"/>
    </row>
    <row r="2" spans="1:11" ht="18" customHeight="1" x14ac:dyDescent="0.25">
      <c r="A2" s="174" t="s">
        <v>1</v>
      </c>
      <c r="B2" s="175"/>
      <c r="C2" s="1" t="str">
        <f>Cover!D15</f>
        <v>Serbia</v>
      </c>
      <c r="D2" s="1"/>
      <c r="E2" s="5"/>
      <c r="F2" s="3"/>
      <c r="G2" s="3"/>
      <c r="H2" s="3"/>
      <c r="I2" s="3"/>
      <c r="J2" s="3"/>
      <c r="K2" s="3"/>
    </row>
    <row r="3" spans="1:11" ht="18" customHeight="1" x14ac:dyDescent="0.25">
      <c r="A3" s="174" t="s">
        <v>2</v>
      </c>
      <c r="B3" s="176"/>
      <c r="C3" s="106">
        <v>2018</v>
      </c>
      <c r="D3" s="1"/>
      <c r="E3" s="5"/>
      <c r="F3" s="3"/>
      <c r="G3" s="3"/>
      <c r="H3" s="3"/>
      <c r="I3" s="3"/>
      <c r="J3" s="3"/>
      <c r="K3" s="3"/>
    </row>
    <row r="4" spans="1:11" ht="18" customHeight="1" x14ac:dyDescent="0.25">
      <c r="A4" s="177"/>
      <c r="B4" s="178"/>
      <c r="C4" s="20"/>
      <c r="D4" s="1"/>
      <c r="E4" s="5"/>
      <c r="F4" s="3"/>
      <c r="G4" s="3"/>
      <c r="H4" s="3"/>
      <c r="I4" s="3"/>
      <c r="J4" s="3"/>
      <c r="K4" s="3"/>
    </row>
    <row r="5" spans="1:11" ht="37.5" customHeight="1" x14ac:dyDescent="0.25">
      <c r="A5" s="161" t="s">
        <v>3</v>
      </c>
      <c r="B5" s="179"/>
      <c r="C5" s="6" t="s">
        <v>4</v>
      </c>
      <c r="D5" s="7" t="s">
        <v>5</v>
      </c>
      <c r="E5" s="6" t="s">
        <v>6</v>
      </c>
      <c r="F5" s="6" t="s">
        <v>7</v>
      </c>
      <c r="G5" s="6" t="s">
        <v>8</v>
      </c>
      <c r="H5" s="6" t="s">
        <v>9</v>
      </c>
      <c r="I5" s="6" t="s">
        <v>10</v>
      </c>
      <c r="J5" s="6" t="s">
        <v>11</v>
      </c>
      <c r="K5" s="7" t="s">
        <v>12</v>
      </c>
    </row>
    <row r="6" spans="1:11" ht="24" customHeight="1" x14ac:dyDescent="0.25">
      <c r="A6" s="171" t="s">
        <v>13</v>
      </c>
      <c r="B6" s="172"/>
      <c r="C6" s="100" t="s">
        <v>14</v>
      </c>
      <c r="D6" s="109">
        <f ca="1">SUM(E6:J6)</f>
        <v>6368.5550537087784</v>
      </c>
      <c r="E6" s="110">
        <f ca="1">INDIRECT(ADDRESS(ROW(K6),$C$3 -2010 + 4,,,"1a_SpaceHeating"))</f>
        <v>776.96340226858922</v>
      </c>
      <c r="F6" s="110">
        <f ca="1">INDIRECT(ADDRESS(ROW(K6),$C$3-2010+4,,,"1b_SpaceCooling"))</f>
        <v>76.422730907367111</v>
      </c>
      <c r="G6" s="110">
        <f ca="1">INDIRECT(ADDRESS(ROW(K6),$C$3-2010+4,,,"1c_WaterHeating"))</f>
        <v>2095.2546796098063</v>
      </c>
      <c r="H6" s="110">
        <f ca="1">INDIRECT(ADDRESS(ROW(K6),$C$3-2010+4,,,"1d_Cooking"))</f>
        <v>687.80410341723791</v>
      </c>
      <c r="I6" s="110">
        <f ca="1">INDIRECT(ADDRESS(ROW(K6),$C$3-2010+4,,,"1e_LightingAndAppliances"))</f>
        <v>2732.1101375057774</v>
      </c>
      <c r="J6" s="110">
        <f ca="1">INDIRECT(ADDRESS(ROW(K6),$C$3-2010+4,,,"1f_OtherEndUses"))</f>
        <v>0</v>
      </c>
      <c r="K6" s="111"/>
    </row>
    <row r="7" spans="1:11" ht="24" customHeight="1" x14ac:dyDescent="0.25">
      <c r="A7" s="169" t="s">
        <v>15</v>
      </c>
      <c r="B7" s="170"/>
      <c r="C7" s="101" t="s">
        <v>16</v>
      </c>
      <c r="D7" s="112">
        <f t="shared" ref="D7:D16" ca="1" si="0">SUM(E7:J7)</f>
        <v>8038.7184700794569</v>
      </c>
      <c r="E7" s="113">
        <f t="shared" ref="E7:E16" ca="1" si="1">INDIRECT(ADDRESS(ROW(K7),$C$3 -2010 + 4,,,"1a_SpaceHeating"))</f>
        <v>7829.7116179982295</v>
      </c>
      <c r="F7" s="114"/>
      <c r="G7" s="113">
        <f t="shared" ref="G7:G16" ca="1" si="2">INDIRECT(ADDRESS(ROW(K7),$C$3-2010+4,,,"1c_WaterHeating"))</f>
        <v>209.00685208122783</v>
      </c>
      <c r="H7" s="113">
        <f t="shared" ref="H7:H16" ca="1" si="3">INDIRECT(ADDRESS(ROW(K7),$C$3-2010+4,,,"1d_Cooking"))</f>
        <v>0</v>
      </c>
      <c r="I7" s="114"/>
      <c r="J7" s="113">
        <f t="shared" ref="J7:J17" ca="1" si="4">INDIRECT(ADDRESS(ROW(K7),$C$3-2010+4,,,"1f_OtherEndUses"))</f>
        <v>0</v>
      </c>
      <c r="K7" s="114"/>
    </row>
    <row r="8" spans="1:11" ht="24" customHeight="1" x14ac:dyDescent="0.25">
      <c r="A8" s="169" t="s">
        <v>29</v>
      </c>
      <c r="B8" s="170"/>
      <c r="C8" s="101" t="s">
        <v>17</v>
      </c>
      <c r="D8" s="112">
        <f t="shared" ca="1" si="0"/>
        <v>4290.5831390994481</v>
      </c>
      <c r="E8" s="113">
        <f t="shared" ca="1" si="1"/>
        <v>3985.9513806363375</v>
      </c>
      <c r="F8" s="114"/>
      <c r="G8" s="113">
        <f t="shared" ca="1" si="2"/>
        <v>188.78586511096853</v>
      </c>
      <c r="H8" s="113">
        <f t="shared" ca="1" si="3"/>
        <v>115.84589335214278</v>
      </c>
      <c r="I8" s="114"/>
      <c r="J8" s="113">
        <f t="shared" ca="1" si="4"/>
        <v>0</v>
      </c>
      <c r="K8" s="114"/>
    </row>
    <row r="9" spans="1:11" ht="24" customHeight="1" x14ac:dyDescent="0.25">
      <c r="A9" s="169" t="s">
        <v>156</v>
      </c>
      <c r="B9" s="170"/>
      <c r="C9" s="101" t="s">
        <v>19</v>
      </c>
      <c r="D9" s="112">
        <f t="shared" ca="1" si="0"/>
        <v>299.70433790658041</v>
      </c>
      <c r="E9" s="113">
        <f t="shared" ca="1" si="1"/>
        <v>293.41058953795817</v>
      </c>
      <c r="F9" s="114"/>
      <c r="G9" s="113">
        <f t="shared" ca="1" si="2"/>
        <v>2.3974827835515073</v>
      </c>
      <c r="H9" s="113">
        <f t="shared" ca="1" si="3"/>
        <v>3.8962655850707368</v>
      </c>
      <c r="I9" s="114"/>
      <c r="J9" s="113">
        <f t="shared" ca="1" si="4"/>
        <v>0</v>
      </c>
      <c r="K9" s="115">
        <f ca="1">INDIRECT(ADDRESS(ROW(K9),$C$3-2010+4,,,"Calorific_Values"))</f>
        <v>15967</v>
      </c>
    </row>
    <row r="10" spans="1:11" ht="24" customHeight="1" x14ac:dyDescent="0.25">
      <c r="A10" s="169" t="s">
        <v>42</v>
      </c>
      <c r="B10" s="170"/>
      <c r="C10" s="101" t="s">
        <v>19</v>
      </c>
      <c r="D10" s="112">
        <f t="shared" ca="1" si="0"/>
        <v>15.84475007941219</v>
      </c>
      <c r="E10" s="113">
        <f t="shared" ca="1" si="1"/>
        <v>12.263717874198523</v>
      </c>
      <c r="F10" s="114"/>
      <c r="G10" s="113">
        <f t="shared" ca="1" si="2"/>
        <v>0.12675800063529752</v>
      </c>
      <c r="H10" s="113">
        <f t="shared" ca="1" si="3"/>
        <v>3.4542742045783696</v>
      </c>
      <c r="I10" s="114"/>
      <c r="J10" s="113">
        <f t="shared" ca="1" si="4"/>
        <v>0</v>
      </c>
      <c r="K10" s="115">
        <f ca="1">INDIRECT(ADDRESS(ROW(K10),$C$3-2010+4,,,"Calorific_Values"))</f>
        <v>47311</v>
      </c>
    </row>
    <row r="11" spans="1:11" s="33" customFormat="1" ht="15" customHeight="1" x14ac:dyDescent="0.25">
      <c r="A11" s="168" t="s">
        <v>18</v>
      </c>
      <c r="B11" s="10" t="s">
        <v>21</v>
      </c>
      <c r="C11" s="11" t="s">
        <v>19</v>
      </c>
      <c r="D11" s="116">
        <f t="shared" ca="1" si="0"/>
        <v>0</v>
      </c>
      <c r="E11" s="117">
        <f t="shared" ca="1" si="1"/>
        <v>0</v>
      </c>
      <c r="F11" s="118"/>
      <c r="G11" s="117">
        <f t="shared" ca="1" si="2"/>
        <v>0</v>
      </c>
      <c r="H11" s="117">
        <f t="shared" ca="1" si="3"/>
        <v>0</v>
      </c>
      <c r="I11" s="118"/>
      <c r="J11" s="117">
        <f t="shared" ca="1" si="4"/>
        <v>0</v>
      </c>
      <c r="K11" s="119">
        <f t="shared" ref="K11:K13" ca="1" si="5">INDIRECT(ADDRESS(ROW(K11),$C$3-2010+4,,,"Calorific_Values"))</f>
        <v>47311</v>
      </c>
    </row>
    <row r="12" spans="1:11" s="33" customFormat="1" ht="15" customHeight="1" x14ac:dyDescent="0.25">
      <c r="A12" s="168"/>
      <c r="B12" s="10" t="s">
        <v>22</v>
      </c>
      <c r="C12" s="11" t="s">
        <v>19</v>
      </c>
      <c r="D12" s="116">
        <f t="shared" ca="1" si="0"/>
        <v>0</v>
      </c>
      <c r="E12" s="117">
        <f t="shared" ca="1" si="1"/>
        <v>0</v>
      </c>
      <c r="F12" s="118"/>
      <c r="G12" s="117">
        <f t="shared" ca="1" si="2"/>
        <v>0</v>
      </c>
      <c r="H12" s="117">
        <f t="shared" ca="1" si="3"/>
        <v>0</v>
      </c>
      <c r="I12" s="118"/>
      <c r="J12" s="117">
        <f t="shared" ca="1" si="4"/>
        <v>0</v>
      </c>
      <c r="K12" s="119">
        <f t="shared" ca="1" si="5"/>
        <v>0</v>
      </c>
    </row>
    <row r="13" spans="1:11" s="33" customFormat="1" ht="15" customHeight="1" x14ac:dyDescent="0.25">
      <c r="A13" s="168"/>
      <c r="B13" s="10" t="s">
        <v>23</v>
      </c>
      <c r="C13" s="11" t="s">
        <v>19</v>
      </c>
      <c r="D13" s="116">
        <f t="shared" ca="1" si="0"/>
        <v>0</v>
      </c>
      <c r="E13" s="117">
        <f t="shared" ca="1" si="1"/>
        <v>0</v>
      </c>
      <c r="F13" s="118"/>
      <c r="G13" s="117">
        <f t="shared" ca="1" si="2"/>
        <v>0</v>
      </c>
      <c r="H13" s="117">
        <f t="shared" ca="1" si="3"/>
        <v>0</v>
      </c>
      <c r="I13" s="118"/>
      <c r="J13" s="117">
        <f t="shared" ca="1" si="4"/>
        <v>0</v>
      </c>
      <c r="K13" s="119">
        <f t="shared" ca="1" si="5"/>
        <v>0</v>
      </c>
    </row>
    <row r="14" spans="1:11" ht="24" customHeight="1" x14ac:dyDescent="0.25">
      <c r="A14" s="169" t="s">
        <v>43</v>
      </c>
      <c r="B14" s="170"/>
      <c r="C14" s="101" t="s">
        <v>16</v>
      </c>
      <c r="D14" s="112">
        <f t="shared" ca="1" si="0"/>
        <v>16715.436543304066</v>
      </c>
      <c r="E14" s="113">
        <f t="shared" ca="1" si="1"/>
        <v>15394.917268595877</v>
      </c>
      <c r="F14" s="114"/>
      <c r="G14" s="113">
        <f t="shared" ca="1" si="2"/>
        <v>33.430879733095061</v>
      </c>
      <c r="H14" s="113">
        <f t="shared" ca="1" si="3"/>
        <v>1287.0883949750937</v>
      </c>
      <c r="I14" s="114"/>
      <c r="J14" s="113">
        <f t="shared" ca="1" si="4"/>
        <v>0</v>
      </c>
      <c r="K14" s="114"/>
    </row>
    <row r="15" spans="1:11" s="33" customFormat="1" ht="15" customHeight="1" x14ac:dyDescent="0.25">
      <c r="A15" s="168" t="s">
        <v>18</v>
      </c>
      <c r="B15" s="10" t="s">
        <v>26</v>
      </c>
      <c r="C15" s="11" t="s">
        <v>16</v>
      </c>
      <c r="D15" s="116">
        <f t="shared" ca="1" si="0"/>
        <v>0</v>
      </c>
      <c r="E15" s="117">
        <f t="shared" ca="1" si="1"/>
        <v>0</v>
      </c>
      <c r="F15" s="118"/>
      <c r="G15" s="117">
        <f t="shared" ca="1" si="2"/>
        <v>0</v>
      </c>
      <c r="H15" s="117">
        <f t="shared" ca="1" si="3"/>
        <v>0</v>
      </c>
      <c r="I15" s="118"/>
      <c r="J15" s="117">
        <f t="shared" ca="1" si="4"/>
        <v>0</v>
      </c>
      <c r="K15" s="118"/>
    </row>
    <row r="16" spans="1:11" s="33" customFormat="1" ht="15" customHeight="1" x14ac:dyDescent="0.25">
      <c r="A16" s="168"/>
      <c r="B16" s="10" t="s">
        <v>27</v>
      </c>
      <c r="C16" s="11" t="s">
        <v>16</v>
      </c>
      <c r="D16" s="116">
        <f t="shared" ca="1" si="0"/>
        <v>0</v>
      </c>
      <c r="E16" s="117">
        <f t="shared" ca="1" si="1"/>
        <v>0</v>
      </c>
      <c r="F16" s="118"/>
      <c r="G16" s="117">
        <f t="shared" ca="1" si="2"/>
        <v>0</v>
      </c>
      <c r="H16" s="117">
        <f t="shared" ca="1" si="3"/>
        <v>0</v>
      </c>
      <c r="I16" s="118"/>
      <c r="J16" s="117">
        <f t="shared" ca="1" si="4"/>
        <v>0</v>
      </c>
      <c r="K16" s="118"/>
    </row>
    <row r="17" spans="1:11" s="33" customFormat="1" ht="15" customHeight="1" x14ac:dyDescent="0.25">
      <c r="A17" s="168"/>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25">
      <c r="A18" s="168"/>
      <c r="B18" s="33" t="s">
        <v>184</v>
      </c>
      <c r="C18" s="11" t="s">
        <v>16</v>
      </c>
      <c r="D18" s="116">
        <f ca="1">SUM(E18:J18)</f>
        <v>0</v>
      </c>
      <c r="E18" s="117">
        <f ca="1">INDIRECT(ADDRESS(ROW(K18),$C$3 -2010 + 4,,,"1a_SpaceHeating"))</f>
        <v>0</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25">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4" t="s">
        <v>0</v>
      </c>
      <c r="B1" s="173"/>
      <c r="C1" s="20"/>
      <c r="D1" s="1"/>
      <c r="E1" s="2"/>
      <c r="F1" s="2"/>
      <c r="G1" s="2"/>
      <c r="H1" s="2"/>
      <c r="I1" s="2"/>
      <c r="J1" s="2"/>
      <c r="K1" s="3"/>
    </row>
    <row r="2" spans="1:11" ht="18" customHeight="1" x14ac:dyDescent="0.25">
      <c r="A2" s="174" t="s">
        <v>1</v>
      </c>
      <c r="B2" s="175"/>
      <c r="C2" s="1" t="str">
        <f>Cover!D15</f>
        <v>Serbia</v>
      </c>
      <c r="D2" s="1"/>
      <c r="E2" s="5"/>
      <c r="F2" s="3"/>
      <c r="G2" s="3"/>
      <c r="H2" s="3"/>
      <c r="I2" s="3"/>
      <c r="J2" s="3"/>
      <c r="K2" s="3"/>
    </row>
    <row r="3" spans="1:11" ht="18" customHeight="1" x14ac:dyDescent="0.25">
      <c r="A3" s="174" t="s">
        <v>2</v>
      </c>
      <c r="B3" s="175"/>
      <c r="C3" s="1">
        <f>Table1_Totals!C3</f>
        <v>2018</v>
      </c>
      <c r="D3" s="1"/>
      <c r="E3" s="5"/>
      <c r="F3" s="3"/>
      <c r="G3" s="3"/>
      <c r="H3" s="3"/>
      <c r="I3" s="3"/>
      <c r="J3" s="3"/>
      <c r="K3" s="3"/>
    </row>
    <row r="4" spans="1:11" ht="18" customHeight="1" x14ac:dyDescent="0.25">
      <c r="A4" s="177"/>
      <c r="B4" s="178"/>
      <c r="C4" s="20"/>
      <c r="D4" s="1"/>
      <c r="E4" s="5"/>
      <c r="F4" s="3"/>
      <c r="G4" s="3"/>
      <c r="H4" s="3"/>
      <c r="I4" s="3"/>
      <c r="J4" s="3"/>
      <c r="K4" s="3"/>
    </row>
    <row r="5" spans="1:11" ht="37.5" customHeight="1" x14ac:dyDescent="0.25">
      <c r="A5" s="161" t="s">
        <v>3</v>
      </c>
      <c r="B5" s="179"/>
      <c r="C5" s="6" t="s">
        <v>4</v>
      </c>
      <c r="D5" s="7" t="s">
        <v>5</v>
      </c>
      <c r="E5" s="6" t="s">
        <v>6</v>
      </c>
      <c r="F5" s="6" t="s">
        <v>7</v>
      </c>
      <c r="G5" s="6" t="s">
        <v>8</v>
      </c>
      <c r="H5" s="6" t="s">
        <v>9</v>
      </c>
      <c r="I5" s="6" t="s">
        <v>10</v>
      </c>
      <c r="J5" s="6" t="s">
        <v>11</v>
      </c>
      <c r="K5" s="7" t="s">
        <v>12</v>
      </c>
    </row>
    <row r="6" spans="1:11" ht="24" customHeight="1" x14ac:dyDescent="0.25">
      <c r="A6" s="171" t="s">
        <v>13</v>
      </c>
      <c r="B6" s="172"/>
      <c r="C6" s="100" t="s">
        <v>16</v>
      </c>
      <c r="D6" s="109">
        <f ca="1">SUM(E6:J6)</f>
        <v>22926.798193351598</v>
      </c>
      <c r="E6" s="110">
        <f ca="1">Table1_Totals!E6*3.6</f>
        <v>2797.0682481669214</v>
      </c>
      <c r="F6" s="110">
        <f ca="1">Table1_Totals!F6*3.6</f>
        <v>275.12183126652161</v>
      </c>
      <c r="G6" s="110">
        <f ca="1">Table1_Totals!G6*3.6</f>
        <v>7542.9168465953026</v>
      </c>
      <c r="H6" s="110">
        <f ca="1">Table1_Totals!H6*3.6</f>
        <v>2476.0947723020568</v>
      </c>
      <c r="I6" s="110">
        <f ca="1">Table1_Totals!I6*3.6</f>
        <v>9835.5964950207981</v>
      </c>
      <c r="J6" s="110">
        <f ca="1">Table1_Totals!J6*3.6</f>
        <v>0</v>
      </c>
      <c r="K6" s="111"/>
    </row>
    <row r="7" spans="1:11" ht="24" customHeight="1" x14ac:dyDescent="0.25">
      <c r="A7" s="169" t="s">
        <v>15</v>
      </c>
      <c r="B7" s="170"/>
      <c r="C7" s="101" t="s">
        <v>16</v>
      </c>
      <c r="D7" s="112">
        <f t="shared" ref="D7:D18" ca="1" si="0">SUM(E7:J7)</f>
        <v>8038.7184700794569</v>
      </c>
      <c r="E7" s="113">
        <f ca="1">Table1_Totals!E7</f>
        <v>7829.7116179982295</v>
      </c>
      <c r="F7" s="114"/>
      <c r="G7" s="113">
        <f ca="1">Table1_Totals!G7</f>
        <v>209.00685208122783</v>
      </c>
      <c r="H7" s="113">
        <f ca="1">Table1_Totals!H7</f>
        <v>0</v>
      </c>
      <c r="I7" s="114"/>
      <c r="J7" s="113">
        <f ca="1">Table1_Totals!J7</f>
        <v>0</v>
      </c>
      <c r="K7" s="114"/>
    </row>
    <row r="8" spans="1:11" ht="24" customHeight="1" x14ac:dyDescent="0.25">
      <c r="A8" s="169" t="s">
        <v>29</v>
      </c>
      <c r="B8" s="170"/>
      <c r="C8" s="101" t="s">
        <v>16</v>
      </c>
      <c r="D8" s="112">
        <f t="shared" ca="1" si="0"/>
        <v>3861.5248251895041</v>
      </c>
      <c r="E8" s="113">
        <f ca="1">Table1_Totals!E8*0.9</f>
        <v>3587.3562425727036</v>
      </c>
      <c r="F8" s="114"/>
      <c r="G8" s="113">
        <f ca="1">Table1_Totals!G8*0.9</f>
        <v>169.90727859987169</v>
      </c>
      <c r="H8" s="113">
        <f ca="1">Table1_Totals!H8*0.9</f>
        <v>104.26130401692851</v>
      </c>
      <c r="I8" s="114"/>
      <c r="J8" s="113">
        <f ca="1">Table1_Totals!J8*0.9</f>
        <v>0</v>
      </c>
      <c r="K8" s="114"/>
    </row>
    <row r="9" spans="1:11" ht="24" customHeight="1" x14ac:dyDescent="0.25">
      <c r="A9" s="169" t="s">
        <v>156</v>
      </c>
      <c r="B9" s="170"/>
      <c r="C9" s="101" t="s">
        <v>16</v>
      </c>
      <c r="D9" s="112">
        <f t="shared" ca="1" si="0"/>
        <v>4785.3791633543697</v>
      </c>
      <c r="E9" s="113">
        <f ca="1">IF(Table1_Totals!E9&lt;&gt;0,IF(Table1_Totals!$K9&lt;&gt;0,Table1_Totals!E9*Table1_Totals!$K9/1000,"Please check CV"),"0,000")</f>
        <v>4684.8868831525779</v>
      </c>
      <c r="F9" s="114"/>
      <c r="G9" s="113">
        <f ca="1">IF(Table1_Totals!G9&lt;&gt;0,IF(Table1_Totals!$K9&lt;&gt;0,Table1_Totals!G9*Table1_Totals!$K$9/1000,"Please check CV"),"0,000")</f>
        <v>38.280607604966924</v>
      </c>
      <c r="H9" s="113">
        <f ca="1">IF(Table1_Totals!H9&lt;&gt;0,IF(Table1_Totals!$K9&lt;&gt;0,Table1_Totals!H9*Table1_Totals!$K$9/1000,"Please check CV"),"0,000")</f>
        <v>62.211672596824457</v>
      </c>
      <c r="I9" s="114"/>
      <c r="J9" s="113" t="str">
        <f ca="1">IF(Table1_Totals!J9&lt;&gt;0,IF(Table1_Totals!$K9&lt;&gt;0,Table1_Totals!J9*Table1_Totals!$K$9/1000,"Please check CV"),"0,000")</f>
        <v>0,000</v>
      </c>
      <c r="K9" s="115">
        <f ca="1">Table1_Totals!K9</f>
        <v>15967</v>
      </c>
    </row>
    <row r="10" spans="1:11" ht="24" customHeight="1" x14ac:dyDescent="0.25">
      <c r="A10" s="169" t="s">
        <v>42</v>
      </c>
      <c r="B10" s="170"/>
      <c r="C10" s="101" t="s">
        <v>16</v>
      </c>
      <c r="D10" s="112">
        <f t="shared" ca="1" si="0"/>
        <v>749.63097100707</v>
      </c>
      <c r="E10" s="113">
        <f ca="1">IF(Table1_Totals!E10&lt;&gt;0,IF(Table1_Totals!$K10&lt;&gt;0,Table1_Totals!E10*Table1_Totals!$K10/1000,"Please check CV"),"0,000")</f>
        <v>580.20875634620631</v>
      </c>
      <c r="F10" s="114"/>
      <c r="G10" s="113">
        <f ca="1">IF(Table1_Totals!G10&lt;&gt;0,IF(Table1_Totals!$K10&lt;&gt;0,Table1_Totals!G10*Table1_Totals!$K10/1000,"Please check CV"),"0,000")</f>
        <v>5.9970477680565608</v>
      </c>
      <c r="H10" s="113">
        <f ca="1">IF(Table1_Totals!H10&lt;&gt;0,IF(Table1_Totals!$K10&lt;&gt;0,Table1_Totals!H10*Table1_Totals!$K10/1000,"Please check CV"),"0,000")</f>
        <v>163.42516689280723</v>
      </c>
      <c r="I10" s="114"/>
      <c r="J10" s="113" t="str">
        <f ca="1">IF(Table1_Totals!J10&lt;&gt;0,IF(Table1_Totals!$K10&lt;&gt;0,Table1_Totals!J10*Table1_Totals!$K10/1000,"Please check CV"),"0,000")</f>
        <v>0,000</v>
      </c>
      <c r="K10" s="115">
        <f ca="1">Table1_Totals!K10</f>
        <v>47311</v>
      </c>
    </row>
    <row r="11" spans="1:11" s="33" customFormat="1" ht="15" customHeight="1" x14ac:dyDescent="0.25">
      <c r="A11" s="168" t="s">
        <v>18</v>
      </c>
      <c r="B11" s="10" t="s">
        <v>21</v>
      </c>
      <c r="C11" s="11" t="s">
        <v>16</v>
      </c>
      <c r="D11" s="116">
        <f t="shared" ca="1" si="0"/>
        <v>0</v>
      </c>
      <c r="E11" s="117" t="str">
        <f ca="1">IF(Table1_Totals!E11&lt;&gt;0,IF(Table1_Totals!$K11&lt;&gt;0,Table1_Totals!E11*Table1_Totals!$K11/1000,"Please check CV"),"0,000")</f>
        <v>0,000</v>
      </c>
      <c r="F11" s="118"/>
      <c r="G11" s="117" t="str">
        <f ca="1">IF(Table1_Totals!G11&lt;&gt;0,IF(Table1_Totals!$K11&lt;&gt;0,Table1_Totals!G11*Table1_Totals!$K11/1000,"Please check CV"),"0,000")</f>
        <v>0,000</v>
      </c>
      <c r="H11" s="117" t="str">
        <f ca="1">IF(Table1_Totals!H11&lt;&gt;0,IF(Table1_Totals!$K11&lt;&gt;0,Table1_Totals!H11*Table1_Totals!$K11/1000,"Please check CV"),"0,000")</f>
        <v>0,000</v>
      </c>
      <c r="I11" s="118"/>
      <c r="J11" s="117" t="str">
        <f ca="1">IF(Table1_Totals!J11&lt;&gt;0,IF(Table1_Totals!$K11&lt;&gt;0,Table1_Totals!J11*Table1_Totals!$K11/1000,"Please check CV"),"0,000")</f>
        <v>0,000</v>
      </c>
      <c r="K11" s="119">
        <f ca="1">Table1_Totals!K11</f>
        <v>47311</v>
      </c>
    </row>
    <row r="12" spans="1:11" s="33" customFormat="1" ht="15" customHeight="1" x14ac:dyDescent="0.25">
      <c r="A12" s="168"/>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0</v>
      </c>
    </row>
    <row r="13" spans="1:11" s="33" customFormat="1" ht="15" customHeight="1" x14ac:dyDescent="0.25">
      <c r="A13" s="168"/>
      <c r="B13" s="10" t="s">
        <v>23</v>
      </c>
      <c r="C13" s="11" t="s">
        <v>16</v>
      </c>
      <c r="D13" s="116">
        <f t="shared" ca="1" si="0"/>
        <v>0</v>
      </c>
      <c r="E13" s="117" t="str">
        <f ca="1">IF(Table1_Totals!E13&lt;&gt;0,IF(Table1_Totals!$K13&lt;&gt;0,Table1_Totals!E13*Table1_Totals!$K13/1000,"Please check CV"),"0,000")</f>
        <v>0,000</v>
      </c>
      <c r="F13" s="118"/>
      <c r="G13" s="117" t="str">
        <f ca="1">IF(Table1_Totals!G13&lt;&gt;0,IF(Table1_Totals!$K13&lt;&gt;0,Table1_Totals!G13*Table1_Totals!$K13/1000,"Please check CV"),"0,000")</f>
        <v>0,000</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0</v>
      </c>
    </row>
    <row r="14" spans="1:11" ht="24" customHeight="1" x14ac:dyDescent="0.25">
      <c r="A14" s="169" t="s">
        <v>43</v>
      </c>
      <c r="B14" s="170"/>
      <c r="C14" s="101" t="s">
        <v>16</v>
      </c>
      <c r="D14" s="112">
        <f t="shared" ca="1" si="0"/>
        <v>16715.436543304066</v>
      </c>
      <c r="E14" s="113">
        <f ca="1">Table1_Totals!E14</f>
        <v>15394.917268595877</v>
      </c>
      <c r="F14" s="114"/>
      <c r="G14" s="113">
        <f ca="1">Table1_Totals!G14</f>
        <v>33.430879733095061</v>
      </c>
      <c r="H14" s="113">
        <f ca="1">Table1_Totals!H14</f>
        <v>1287.0883949750937</v>
      </c>
      <c r="I14" s="114"/>
      <c r="J14" s="113">
        <f ca="1">Table1_Totals!J14</f>
        <v>0</v>
      </c>
      <c r="K14" s="114"/>
    </row>
    <row r="15" spans="1:11" s="33" customFormat="1" ht="15" customHeight="1" x14ac:dyDescent="0.25">
      <c r="A15" s="168" t="s">
        <v>18</v>
      </c>
      <c r="B15" s="10" t="s">
        <v>26</v>
      </c>
      <c r="C15" s="11" t="s">
        <v>16</v>
      </c>
      <c r="D15" s="116">
        <f t="shared" ca="1" si="0"/>
        <v>0</v>
      </c>
      <c r="E15" s="117">
        <f ca="1">Table1_Totals!E15</f>
        <v>0</v>
      </c>
      <c r="F15" s="118"/>
      <c r="G15" s="117">
        <f ca="1">Table1_Totals!G15</f>
        <v>0</v>
      </c>
      <c r="H15" s="117">
        <f ca="1">Table1_Totals!H15</f>
        <v>0</v>
      </c>
      <c r="I15" s="118"/>
      <c r="J15" s="117">
        <f ca="1">Table1_Totals!J15</f>
        <v>0</v>
      </c>
      <c r="K15" s="118"/>
    </row>
    <row r="16" spans="1:11" s="33" customFormat="1" ht="15" customHeight="1" x14ac:dyDescent="0.25">
      <c r="A16" s="168"/>
      <c r="B16" s="10" t="s">
        <v>27</v>
      </c>
      <c r="C16" s="11" t="s">
        <v>16</v>
      </c>
      <c r="D16" s="116">
        <f t="shared" ca="1" si="0"/>
        <v>0</v>
      </c>
      <c r="E16" s="117">
        <f ca="1">Table1_Totals!E16</f>
        <v>0</v>
      </c>
      <c r="F16" s="118"/>
      <c r="G16" s="117">
        <f ca="1">Table1_Totals!G16</f>
        <v>0</v>
      </c>
      <c r="H16" s="117">
        <f ca="1">Table1_Totals!H16</f>
        <v>0</v>
      </c>
      <c r="I16" s="118"/>
      <c r="J16" s="117">
        <f ca="1">Table1_Totals!J16</f>
        <v>0</v>
      </c>
      <c r="K16" s="118"/>
    </row>
    <row r="17" spans="1:11" s="33" customFormat="1" ht="15" customHeight="1" x14ac:dyDescent="0.25">
      <c r="A17" s="168"/>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25">
      <c r="A18" s="168"/>
      <c r="B18" s="33" t="s">
        <v>184</v>
      </c>
      <c r="C18" s="11" t="s">
        <v>16</v>
      </c>
      <c r="D18" s="116">
        <f t="shared" ca="1" si="0"/>
        <v>0</v>
      </c>
      <c r="E18" s="117">
        <f ca="1">Table1_Totals!E18</f>
        <v>0</v>
      </c>
      <c r="F18" s="118"/>
      <c r="G18" s="117">
        <f ca="1">Table1_Totals!G18</f>
        <v>0</v>
      </c>
      <c r="H18" s="117">
        <f ca="1">Table1_Totals!H18</f>
        <v>0</v>
      </c>
      <c r="I18" s="118"/>
      <c r="J18" s="117">
        <f ca="1">Table1_Totals!J18</f>
        <v>0</v>
      </c>
      <c r="K18" s="118"/>
    </row>
    <row r="19" spans="1:11" ht="24" customHeight="1" x14ac:dyDescent="0.25">
      <c r="A19" s="169" t="s">
        <v>171</v>
      </c>
      <c r="B19" s="170"/>
      <c r="C19" s="101" t="s">
        <v>16</v>
      </c>
      <c r="D19" s="112">
        <f t="shared" ref="D19" ca="1" si="2">SUM(E19:J19)</f>
        <v>57077.488166286064</v>
      </c>
      <c r="E19" s="113">
        <f ca="1">SUM(E6:E10,E14)</f>
        <v>34874.149016832511</v>
      </c>
      <c r="F19" s="113">
        <f t="shared" ref="F19:J19" ca="1" si="3">SUM(F6:F10,F14)</f>
        <v>275.12183126652161</v>
      </c>
      <c r="G19" s="113">
        <f t="shared" ca="1" si="3"/>
        <v>7999.5395123825201</v>
      </c>
      <c r="H19" s="113">
        <f t="shared" ca="1" si="3"/>
        <v>4093.0813107837107</v>
      </c>
      <c r="I19" s="113">
        <f t="shared" ca="1" si="3"/>
        <v>9835.5964950207981</v>
      </c>
      <c r="J19" s="113">
        <f t="shared" ca="1" si="3"/>
        <v>0</v>
      </c>
      <c r="K19" s="114"/>
    </row>
    <row r="20" spans="1:11" ht="21" customHeight="1" x14ac:dyDescent="0.25">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25">
      <c r="D21" s="94"/>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L23" sqref="L23"/>
      <selection pane="topRight" activeCell="D9" sqref="D9"/>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30</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f>'1a_SpaceHeating (2)'!D6/[4]Data!AZ$37*[4]Data!AZ$38</f>
        <v>7427.0048217541289</v>
      </c>
      <c r="E6" s="56">
        <f>'1a_SpaceHeating (2)'!E6/[4]Data!BA$37*[4]Data!BA$38</f>
        <v>903.23301917976426</v>
      </c>
      <c r="F6" s="56">
        <f>'1a_SpaceHeating (2)'!F6/[4]Data!BB$37*[4]Data!BB$38</f>
        <v>884.67728054946281</v>
      </c>
      <c r="G6" s="56">
        <f>'1a_SpaceHeating (2)'!G6/[4]Data!BC$37*[4]Data!BC$38</f>
        <v>851.42656699396571</v>
      </c>
      <c r="H6" s="56">
        <f>'1a_SpaceHeating (2)'!H6/[4]Data!BD$37*[4]Data!BD$38</f>
        <v>820.4931079948268</v>
      </c>
      <c r="I6" s="56">
        <f>'1a_SpaceHeating (2)'!I6/[4]Data!BE$37*[4]Data!BE$38</f>
        <v>827.16616751422077</v>
      </c>
      <c r="J6" s="56">
        <f>'1a_SpaceHeating (2)'!J6/[4]Data!BF$37*[4]Data!BF$38</f>
        <v>813.50261122507402</v>
      </c>
      <c r="K6" s="56">
        <f>'1a_SpaceHeating (2)'!K6/[4]Data!BG$37*[4]Data!BG$38</f>
        <v>802.35242347937697</v>
      </c>
      <c r="L6" s="56">
        <f>'1a_SpaceHeating (2)'!L6/[4]Data!BH$37*[4]Data!BH$38</f>
        <v>776.96340226858922</v>
      </c>
      <c r="M6" s="56"/>
      <c r="N6" s="56"/>
      <c r="O6" s="56"/>
      <c r="DS6" s="4" t="str">
        <f>VLOOKUP(Cover!$D$15, Country_list!$B$3:$C$44, 2, 0)</f>
        <v>RS</v>
      </c>
      <c r="DT6" s="32" t="s">
        <v>289</v>
      </c>
      <c r="DV6" s="32" t="s">
        <v>302</v>
      </c>
      <c r="EB6" s="32" t="s">
        <v>291</v>
      </c>
      <c r="ED6" s="32" t="s">
        <v>294</v>
      </c>
    </row>
    <row r="7" spans="1:134" ht="24" customHeight="1" x14ac:dyDescent="0.25">
      <c r="A7" s="166" t="s">
        <v>15</v>
      </c>
      <c r="B7" s="183"/>
      <c r="C7" s="9" t="s">
        <v>25</v>
      </c>
      <c r="D7" s="57">
        <f>'1a_SpaceHeating (2)'!D7/[4]Data!AZ$37*[4]Data!AZ$38</f>
        <v>8087.2957249923602</v>
      </c>
      <c r="E7" s="54">
        <f>'1a_SpaceHeating (2)'!E7/[4]Data!BA$37*[4]Data!BA$38</f>
        <v>8845.0191520459975</v>
      </c>
      <c r="F7" s="54">
        <f>'1a_SpaceHeating (2)'!F7/[4]Data!BB$37*[4]Data!BB$38</f>
        <v>8230.8455966197052</v>
      </c>
      <c r="G7" s="54">
        <f>'1a_SpaceHeating (2)'!G7/[4]Data!BC$37*[4]Data!BC$38</f>
        <v>7575.0326551328726</v>
      </c>
      <c r="H7" s="54">
        <f>'1a_SpaceHeating (2)'!H7/[4]Data!BD$37*[4]Data!BD$38</f>
        <v>7114.0260509693971</v>
      </c>
      <c r="I7" s="54">
        <f>'1a_SpaceHeating (2)'!I7/[4]Data!BE$37*[4]Data!BE$38</f>
        <v>7893.7489272802331</v>
      </c>
      <c r="J7" s="54">
        <f>'1a_SpaceHeating (2)'!J7/[4]Data!BF$37*[4]Data!BF$38</f>
        <v>7890.4967979354396</v>
      </c>
      <c r="K7" s="54">
        <f>'1a_SpaceHeating (2)'!K7/[4]Data!BG$37*[4]Data!BG$38</f>
        <v>7665.2824187931938</v>
      </c>
      <c r="L7" s="54">
        <f>'1a_SpaceHeating (2)'!L7/[4]Data!BH$37*[4]Data!BH$38</f>
        <v>7829.7116179982295</v>
      </c>
      <c r="M7" s="54"/>
      <c r="N7" s="54"/>
      <c r="O7" s="54"/>
      <c r="DT7" s="32" t="s">
        <v>290</v>
      </c>
      <c r="EB7" s="32" t="s">
        <v>291</v>
      </c>
      <c r="ED7" s="32" t="s">
        <v>295</v>
      </c>
    </row>
    <row r="8" spans="1:134" ht="24" customHeight="1" x14ac:dyDescent="0.25">
      <c r="A8" s="166" t="s">
        <v>29</v>
      </c>
      <c r="B8" s="183"/>
      <c r="C8" s="9" t="s">
        <v>17</v>
      </c>
      <c r="D8" s="57">
        <f>'1a_SpaceHeating (2)'!D8/[4]Data!AZ$37*[4]Data!AZ$38</f>
        <v>5107.3653506238197</v>
      </c>
      <c r="E8" s="54">
        <f>'1a_SpaceHeating (2)'!E8/[4]Data!BA$37*[4]Data!BA$38</f>
        <v>4632.2878429146658</v>
      </c>
      <c r="F8" s="54">
        <f>'1a_SpaceHeating (2)'!F8/[4]Data!BB$37*[4]Data!BB$38</f>
        <v>4198.5954506031821</v>
      </c>
      <c r="G8" s="54">
        <f>'1a_SpaceHeating (2)'!G8/[4]Data!BC$37*[4]Data!BC$38</f>
        <v>3709.5757727662935</v>
      </c>
      <c r="H8" s="54">
        <f>'1a_SpaceHeating (2)'!H8/[4]Data!BD$37*[4]Data!BD$38</f>
        <v>3001.328708579651</v>
      </c>
      <c r="I8" s="54">
        <f>'1a_SpaceHeating (2)'!I8/[4]Data!BE$37*[4]Data!BE$38</f>
        <v>3148.6301900949243</v>
      </c>
      <c r="J8" s="54">
        <f>'1a_SpaceHeating (2)'!J8/[4]Data!BF$37*[4]Data!BF$38</f>
        <v>3469.3493714010515</v>
      </c>
      <c r="K8" s="54">
        <f>'1a_SpaceHeating (2)'!K8/[4]Data!BG$37*[4]Data!BG$38</f>
        <v>3931.8415928790814</v>
      </c>
      <c r="L8" s="54">
        <f>'1a_SpaceHeating (2)'!L8/[4]Data!BH$37*[4]Data!BH$38</f>
        <v>3985.9513806363375</v>
      </c>
      <c r="M8" s="54"/>
      <c r="N8" s="54"/>
      <c r="O8" s="54"/>
      <c r="DT8" s="32" t="s">
        <v>231</v>
      </c>
      <c r="EB8" s="32" t="s">
        <v>291</v>
      </c>
      <c r="ED8" s="32" t="s">
        <v>296</v>
      </c>
    </row>
    <row r="9" spans="1:134" ht="24" customHeight="1" x14ac:dyDescent="0.25">
      <c r="A9" s="166" t="s">
        <v>156</v>
      </c>
      <c r="B9" s="183"/>
      <c r="C9" s="9" t="s">
        <v>19</v>
      </c>
      <c r="D9" s="57">
        <f>'1a_SpaceHeating (2)'!D9/[4]Data!AZ$37*[4]Data!AZ$38</f>
        <v>343.33098424906422</v>
      </c>
      <c r="E9" s="54">
        <f>'1a_SpaceHeating (2)'!E9/[4]Data!BA$37*[4]Data!BA$38</f>
        <v>387.24411722240313</v>
      </c>
      <c r="F9" s="54">
        <f>'1a_SpaceHeating (2)'!F9/[4]Data!BB$37*[4]Data!BB$38</f>
        <v>339.6841054622443</v>
      </c>
      <c r="G9" s="54">
        <f>'1a_SpaceHeating (2)'!G9/[4]Data!BC$37*[4]Data!BC$38</f>
        <v>303.37621013979663</v>
      </c>
      <c r="H9" s="54">
        <f>'1a_SpaceHeating (2)'!H9/[4]Data!BD$37*[4]Data!BD$38</f>
        <v>282.59263814548666</v>
      </c>
      <c r="I9" s="54">
        <f>'1a_SpaceHeating (2)'!I9/[4]Data!BE$37*[4]Data!BE$38</f>
        <v>221.25248886306957</v>
      </c>
      <c r="J9" s="54">
        <f>'1a_SpaceHeating (2)'!J9/[4]Data!BF$37*[4]Data!BF$38</f>
        <v>289.98975435434994</v>
      </c>
      <c r="K9" s="54">
        <f>'1a_SpaceHeating (2)'!K9/[4]Data!BG$37*[4]Data!BG$38</f>
        <v>351.07485648963558</v>
      </c>
      <c r="L9" s="54">
        <f>'1a_SpaceHeating (2)'!L9/[4]Data!BH$37*[4]Data!BH$38</f>
        <v>293.41058953795817</v>
      </c>
      <c r="M9" s="54"/>
      <c r="N9" s="54"/>
      <c r="O9" s="54"/>
      <c r="DT9" s="32" t="s">
        <v>279</v>
      </c>
      <c r="EB9" s="32" t="s">
        <v>292</v>
      </c>
      <c r="ED9" s="32" t="s">
        <v>293</v>
      </c>
    </row>
    <row r="10" spans="1:134" ht="24" customHeight="1" x14ac:dyDescent="0.25">
      <c r="A10" s="166" t="s">
        <v>20</v>
      </c>
      <c r="B10" s="183"/>
      <c r="C10" s="9" t="s">
        <v>19</v>
      </c>
      <c r="D10" s="57">
        <f>'1a_SpaceHeating (2)'!D10/[4]Data!AZ$37*[4]Data!AZ$38</f>
        <v>14.19980437071462</v>
      </c>
      <c r="E10" s="54">
        <f>'1a_SpaceHeating (2)'!E10/[4]Data!BA$37*[4]Data!BA$38</f>
        <v>24.234312420697979</v>
      </c>
      <c r="F10" s="54">
        <f>'1a_SpaceHeating (2)'!F10/[4]Data!BB$37*[4]Data!BB$38</f>
        <v>32.969339647806066</v>
      </c>
      <c r="G10" s="54">
        <f>'1a_SpaceHeating (2)'!G10/[4]Data!BC$37*[4]Data!BC$38</f>
        <v>25.158027182324599</v>
      </c>
      <c r="H10" s="54">
        <f>'1a_SpaceHeating (2)'!H10/[4]Data!BD$37*[4]Data!BD$38</f>
        <v>14.616860593732069</v>
      </c>
      <c r="I10" s="54">
        <f>'1a_SpaceHeating (2)'!I10/[4]Data!BE$37*[4]Data!BE$38</f>
        <v>16.389073249116262</v>
      </c>
      <c r="J10" s="54">
        <f>'1a_SpaceHeating (2)'!J10/[4]Data!BF$37*[4]Data!BF$38</f>
        <v>21.53389265007549</v>
      </c>
      <c r="K10" s="54">
        <f>'1a_SpaceHeating (2)'!K10/[4]Data!BG$37*[4]Data!BG$38</f>
        <v>15.535473708402176</v>
      </c>
      <c r="L10" s="54">
        <f>'1a_SpaceHeating (2)'!L10/[4]Data!BH$37*[4]Data!BH$38</f>
        <v>12.263717874198523</v>
      </c>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f>'1a_SpaceHeating (2)'!D14/[4]Data!AZ$37*[4]Data!AZ$38</f>
        <v>20384.326310031225</v>
      </c>
      <c r="E14" s="54">
        <f>'1a_SpaceHeating (2)'!E14/[4]Data!BA$37*[4]Data!BA$38</f>
        <v>16994.311585014457</v>
      </c>
      <c r="F14" s="54">
        <f>'1a_SpaceHeating (2)'!F14/[4]Data!BB$37*[4]Data!BB$38</f>
        <v>18178.59453217137</v>
      </c>
      <c r="G14" s="54">
        <f>'1a_SpaceHeating (2)'!G14/[4]Data!BC$37*[4]Data!BC$38</f>
        <v>15236.391874126663</v>
      </c>
      <c r="H14" s="54">
        <f>'1a_SpaceHeating (2)'!H14/[4]Data!BD$37*[4]Data!BD$38</f>
        <v>15997.666691153292</v>
      </c>
      <c r="I14" s="54">
        <f>'1a_SpaceHeating (2)'!I14/[4]Data!BE$37*[4]Data!BE$38</f>
        <v>15747.007203003826</v>
      </c>
      <c r="J14" s="54">
        <f>'1a_SpaceHeating (2)'!J14/[4]Data!BF$37*[4]Data!BF$38</f>
        <v>16112.137011734261</v>
      </c>
      <c r="K14" s="54">
        <f>'1a_SpaceHeating (2)'!K14/[4]Data!BG$37*[4]Data!BG$38</f>
        <v>14749.730731441341</v>
      </c>
      <c r="L14" s="54">
        <f>'1a_SpaceHeating (2)'!L14/[4]Data!BH$37*[4]Data!BH$38</f>
        <v>15394.917268595877</v>
      </c>
      <c r="M14" s="54"/>
      <c r="N14" s="54"/>
      <c r="O14" s="54"/>
      <c r="DT14" s="32" t="s">
        <v>284</v>
      </c>
      <c r="EB14" s="32" t="s">
        <v>291</v>
      </c>
      <c r="ED14" s="32" t="s">
        <v>295</v>
      </c>
    </row>
    <row r="15" spans="1:134" s="33" customFormat="1" ht="15" customHeight="1" x14ac:dyDescent="0.25">
      <c r="A15" s="165"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65"/>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65"/>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65"/>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L23" sqref="L23"/>
      <selection pane="topRight" activeCell="D6" sqref="D6: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31</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63"/>
      <c r="C6" s="8" t="s">
        <v>14</v>
      </c>
      <c r="D6" s="55">
        <f>'1b_SpaceCooling (2)'!D6/[4]Data!AZ$37*[4]Data!AZ$38</f>
        <v>89.255913187349051</v>
      </c>
      <c r="E6" s="56">
        <f>'1b_SpaceCooling (2)'!E6/[4]Data!BA$37*[4]Data!BA$38</f>
        <v>88.859145542559247</v>
      </c>
      <c r="F6" s="56">
        <f>'1b_SpaceCooling (2)'!F6/[4]Data!BB$37*[4]Data!BB$38</f>
        <v>86.91916816239781</v>
      </c>
      <c r="G6" s="56">
        <f>'1b_SpaceCooling (2)'!G6/[4]Data!BC$37*[4]Data!BC$38</f>
        <v>83.860090607748646</v>
      </c>
      <c r="H6" s="56">
        <f>'1b_SpaceCooling (2)'!H6/[4]Data!BD$37*[4]Data!BD$38</f>
        <v>80.879961951984114</v>
      </c>
      <c r="I6" s="56">
        <f>'1b_SpaceCooling (2)'!I6/[4]Data!BE$37*[4]Data!BE$38</f>
        <v>81.463334679430844</v>
      </c>
      <c r="J6" s="56">
        <f>'1b_SpaceCooling (2)'!J6/[4]Data!BF$37*[4]Data!BF$38</f>
        <v>79.914668279169035</v>
      </c>
      <c r="K6" s="56">
        <f>'1b_SpaceCooling (2)'!K6/[4]Data!BG$37*[4]Data!BG$38</f>
        <v>78.919863681403228</v>
      </c>
      <c r="L6" s="56">
        <f>'1b_SpaceCooling (2)'!L6/[4]Data!BH$37*[4]Data!BH$38</f>
        <v>76.422730907367111</v>
      </c>
      <c r="M6" s="56"/>
      <c r="N6" s="56"/>
      <c r="O6" s="56"/>
      <c r="DS6" s="4" t="str">
        <f>VLOOKUP(Cover!$D$15, Country_list!$B$3:$C$44, 2, 0)</f>
        <v>RS</v>
      </c>
      <c r="DT6" s="32" t="s">
        <v>289</v>
      </c>
      <c r="DV6" s="32" t="s">
        <v>303</v>
      </c>
      <c r="EB6" s="32" t="s">
        <v>291</v>
      </c>
      <c r="ED6" s="32" t="s">
        <v>294</v>
      </c>
    </row>
    <row r="7" spans="1:134" ht="24" customHeight="1" x14ac:dyDescent="0.25">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L23" sqref="L23"/>
      <selection pane="topRight" activeCell="D14" sqref="D14:L14"/>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8</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f>'1c_WaterHeating (2)'!D6/[4]Data!AZ$37*[4]Data!AZ$38</f>
        <v>2442.8734876332978</v>
      </c>
      <c r="E6" s="56">
        <f>'1c_WaterHeating (2)'!E6/[4]Data!BA$37*[4]Data!BA$38</f>
        <v>2436.0532797889114</v>
      </c>
      <c r="F6" s="56">
        <f>'1c_WaterHeating (2)'!F6/[4]Data!BB$37*[4]Data!BB$38</f>
        <v>2385.7813054230573</v>
      </c>
      <c r="G6" s="56">
        <f>'1c_WaterHeating (2)'!G6/[4]Data!BC$37*[4]Data!BC$38</f>
        <v>2295.3000093991441</v>
      </c>
      <c r="H6" s="56">
        <f>'1c_WaterHeating (2)'!H6/[4]Data!BD$37*[4]Data!BD$38</f>
        <v>2212.0182365181195</v>
      </c>
      <c r="I6" s="56">
        <f>'1c_WaterHeating (2)'!I6/[4]Data!BE$37*[4]Data!BE$38</f>
        <v>2229.3959934459622</v>
      </c>
      <c r="J6" s="56">
        <f>'1c_WaterHeating (2)'!J6/[4]Data!BF$37*[4]Data!BF$38</f>
        <v>2193.1073336732438</v>
      </c>
      <c r="K6" s="56">
        <f>'1c_WaterHeating (2)'!K6/[4]Data!BG$37*[4]Data!BG$38</f>
        <v>2163.7210240871377</v>
      </c>
      <c r="L6" s="56">
        <f>'1c_WaterHeating (2)'!L6/[4]Data!BH$37*[4]Data!BH$38</f>
        <v>2095.2546796098063</v>
      </c>
      <c r="M6" s="56"/>
      <c r="N6" s="56"/>
      <c r="O6" s="56"/>
      <c r="DS6" s="4" t="str">
        <f>VLOOKUP(Cover!$D$15, Country_list!$B$3:$C$44, 2, 0)</f>
        <v>RS</v>
      </c>
      <c r="DT6" s="32" t="s">
        <v>289</v>
      </c>
      <c r="DV6" s="32" t="s">
        <v>304</v>
      </c>
      <c r="EB6" s="32" t="s">
        <v>291</v>
      </c>
      <c r="ED6" s="32" t="s">
        <v>294</v>
      </c>
    </row>
    <row r="7" spans="1:134" ht="24" customHeight="1" x14ac:dyDescent="0.25">
      <c r="A7" s="166" t="s">
        <v>15</v>
      </c>
      <c r="B7" s="183"/>
      <c r="C7" s="9" t="s">
        <v>25</v>
      </c>
      <c r="D7" s="57">
        <f>'1c_WaterHeating (2)'!D7/[4]Data!AZ$37*[4]Data!AZ$38</f>
        <v>210.461386208806</v>
      </c>
      <c r="E7" s="54">
        <f>'1c_WaterHeating (2)'!E7/[4]Data!BA$37*[4]Data!BA$38</f>
        <v>236.28454610180529</v>
      </c>
      <c r="F7" s="54">
        <f>'1c_WaterHeating (2)'!F7/[4]Data!BB$37*[4]Data!BB$38</f>
        <v>219.79559765204044</v>
      </c>
      <c r="G7" s="54">
        <f>'1c_WaterHeating (2)'!G7/[4]Data!BC$37*[4]Data!BC$38</f>
        <v>202.25080675986439</v>
      </c>
      <c r="H7" s="54">
        <f>'1c_WaterHeating (2)'!H7/[4]Data!BD$37*[4]Data!BD$38</f>
        <v>190.01918771851689</v>
      </c>
      <c r="I7" s="54">
        <f>'1c_WaterHeating (2)'!I7/[4]Data!BE$37*[4]Data!BE$38</f>
        <v>210.64779440775902</v>
      </c>
      <c r="J7" s="54">
        <f>'1c_WaterHeating (2)'!J7/[4]Data!BF$37*[4]Data!BF$38</f>
        <v>210.55361702296034</v>
      </c>
      <c r="K7" s="54">
        <f>'1c_WaterHeating (2)'!K7/[4]Data!BG$37*[4]Data!BG$38</f>
        <v>204.61752712792915</v>
      </c>
      <c r="L7" s="54">
        <f>'1c_WaterHeating (2)'!L7/[4]Data!BH$37*[4]Data!BH$38</f>
        <v>209.00685208122783</v>
      </c>
      <c r="M7" s="54"/>
      <c r="N7" s="54"/>
      <c r="O7" s="54"/>
      <c r="DT7" s="32" t="s">
        <v>290</v>
      </c>
      <c r="EB7" s="32" t="s">
        <v>291</v>
      </c>
      <c r="ED7" s="32" t="s">
        <v>295</v>
      </c>
    </row>
    <row r="8" spans="1:134" ht="24" customHeight="1" x14ac:dyDescent="0.25">
      <c r="A8" s="166" t="s">
        <v>29</v>
      </c>
      <c r="B8" s="183"/>
      <c r="C8" s="9" t="s">
        <v>17</v>
      </c>
      <c r="D8" s="57">
        <f>'1c_WaterHeating (2)'!D8/[4]Data!AZ$37*[4]Data!AZ$38</f>
        <v>224.66119057952062</v>
      </c>
      <c r="E8" s="54">
        <f>'1c_WaterHeating (2)'!E8/[4]Data!BA$37*[4]Data!BA$38</f>
        <v>219.62345631257543</v>
      </c>
      <c r="F8" s="54">
        <f>'1c_WaterHeating (2)'!F8/[4]Data!BB$37*[4]Data!BB$38</f>
        <v>198.81510878525475</v>
      </c>
      <c r="G8" s="54">
        <f>'1c_WaterHeating (2)'!G8/[4]Data!BC$37*[4]Data!BC$38</f>
        <v>175.61289562563837</v>
      </c>
      <c r="H8" s="54">
        <f>'1c_WaterHeating (2)'!H8/[4]Data!BD$37*[4]Data!BD$38</f>
        <v>142.27077644565878</v>
      </c>
      <c r="I8" s="54">
        <f>'1c_WaterHeating (2)'!I8/[4]Data!BE$37*[4]Data!BE$38</f>
        <v>148.94775394049779</v>
      </c>
      <c r="J8" s="54">
        <f>'1c_WaterHeating (2)'!J8/[4]Data!BF$37*[4]Data!BF$38</f>
        <v>164.13611508835316</v>
      </c>
      <c r="K8" s="54">
        <f>'1c_WaterHeating (2)'!K8/[4]Data!BG$37*[4]Data!BG$38</f>
        <v>186.22288644359196</v>
      </c>
      <c r="L8" s="54">
        <f>'1c_WaterHeating (2)'!L8/[4]Data!BH$37*[4]Data!BH$38</f>
        <v>188.78586511096853</v>
      </c>
      <c r="M8" s="54"/>
      <c r="N8" s="54"/>
      <c r="O8" s="54"/>
      <c r="DT8" s="32" t="s">
        <v>231</v>
      </c>
      <c r="EB8" s="32" t="s">
        <v>291</v>
      </c>
      <c r="ED8" s="32" t="s">
        <v>296</v>
      </c>
    </row>
    <row r="9" spans="1:134" ht="24" customHeight="1" x14ac:dyDescent="0.25">
      <c r="A9" s="166" t="s">
        <v>156</v>
      </c>
      <c r="B9" s="183"/>
      <c r="C9" s="9" t="s">
        <v>19</v>
      </c>
      <c r="D9" s="57">
        <f>'1c_WaterHeating (2)'!D9/[4]Data!AZ$37*[4]Data!AZ$38</f>
        <v>2.5356793519133252</v>
      </c>
      <c r="E9" s="54">
        <f>'1c_WaterHeating (2)'!E9/[4]Data!BA$37*[4]Data!BA$38</f>
        <v>3.0292890525872473</v>
      </c>
      <c r="F9" s="54">
        <f>'1c_WaterHeating (2)'!F9/[4]Data!BB$37*[4]Data!BB$38</f>
        <v>2.9972126952550968</v>
      </c>
      <c r="G9" s="54">
        <f>'1c_WaterHeating (2)'!G9/[4]Data!BC$37*[4]Data!BC$38</f>
        <v>2.4664732531690783</v>
      </c>
      <c r="H9" s="54">
        <f>'1c_WaterHeating (2)'!H9/[4]Data!BD$37*[4]Data!BD$38</f>
        <v>2.4361434322886781</v>
      </c>
      <c r="I9" s="54">
        <f>'1c_WaterHeating (2)'!I9/[4]Data!BE$37*[4]Data!BE$38</f>
        <v>1.9281262646019135</v>
      </c>
      <c r="J9" s="54">
        <f>'1c_WaterHeating (2)'!J9/[4]Data!BF$37*[4]Data!BF$38</f>
        <v>2.392654738897277</v>
      </c>
      <c r="K9" s="54">
        <f>'1c_WaterHeating (2)'!K9/[4]Data!BG$37*[4]Data!BG$38</f>
        <v>2.8686880114859199</v>
      </c>
      <c r="L9" s="54">
        <f>'1c_WaterHeating (2)'!L9/[4]Data!BH$37*[4]Data!BH$38</f>
        <v>2.3974827835515073</v>
      </c>
      <c r="M9" s="54"/>
      <c r="N9" s="54"/>
      <c r="O9" s="54"/>
      <c r="DT9" s="32" t="s">
        <v>279</v>
      </c>
      <c r="EB9" s="32" t="s">
        <v>292</v>
      </c>
      <c r="ED9" s="32" t="s">
        <v>293</v>
      </c>
    </row>
    <row r="10" spans="1:134" ht="24" customHeight="1" x14ac:dyDescent="0.25">
      <c r="A10" s="166" t="s">
        <v>20</v>
      </c>
      <c r="B10" s="183"/>
      <c r="C10" s="9" t="s">
        <v>19</v>
      </c>
      <c r="D10" s="57">
        <f>'1c_WaterHeating (2)'!D10/[4]Data!AZ$37*[4]Data!AZ$38</f>
        <v>0</v>
      </c>
      <c r="E10" s="54">
        <f>'1c_WaterHeating (2)'!E10/[4]Data!BA$37*[4]Data!BA$38</f>
        <v>0.50488150876454119</v>
      </c>
      <c r="F10" s="54">
        <f>'1c_WaterHeating (2)'!F10/[4]Data!BB$37*[4]Data!BB$38</f>
        <v>0.49953544920918275</v>
      </c>
      <c r="G10" s="54">
        <f>'1c_WaterHeating (2)'!G10/[4]Data!BC$37*[4]Data!BC$38</f>
        <v>0.49329465063381561</v>
      </c>
      <c r="H10" s="54">
        <f>'1c_WaterHeating (2)'!H10/[4]Data!BD$37*[4]Data!BD$38</f>
        <v>0</v>
      </c>
      <c r="I10" s="54">
        <f>'1c_WaterHeating (2)'!I10/[4]Data!BE$37*[4]Data!BE$38</f>
        <v>0</v>
      </c>
      <c r="J10" s="54">
        <f>'1c_WaterHeating (2)'!J10/[4]Data!BF$37*[4]Data!BF$38</f>
        <v>0</v>
      </c>
      <c r="K10" s="54">
        <f>'1c_WaterHeating (2)'!K10/[4]Data!BG$37*[4]Data!BG$38</f>
        <v>0.16042944903265102</v>
      </c>
      <c r="L10" s="54">
        <f>'1c_WaterHeating (2)'!L10/[4]Data!BH$37*[4]Data!BH$38</f>
        <v>0.12675800063529752</v>
      </c>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f>'1c_WaterHeating (2)'!D14/[4]Data!AZ$37*[4]Data!AZ$38</f>
        <v>40.570869630613203</v>
      </c>
      <c r="E14" s="54">
        <f>'1c_WaterHeating (2)'!E14/[4]Data!BA$37*[4]Data!BA$38</f>
        <v>36.856350139811511</v>
      </c>
      <c r="F14" s="54">
        <f>'1c_WaterHeating (2)'!F14/[4]Data!BB$37*[4]Data!BB$38</f>
        <v>39.463300487525437</v>
      </c>
      <c r="G14" s="54">
        <f>'1c_WaterHeating (2)'!G14/[4]Data!BC$37*[4]Data!BC$38</f>
        <v>33.050741592465648</v>
      </c>
      <c r="H14" s="54">
        <f>'1c_WaterHeating (2)'!H14/[4]Data!BD$37*[4]Data!BD$38</f>
        <v>34.593236738499229</v>
      </c>
      <c r="I14" s="54">
        <f>'1c_WaterHeating (2)'!I14/[4]Data!BE$37*[4]Data!BE$38</f>
        <v>34.224241196683963</v>
      </c>
      <c r="J14" s="54">
        <f>'1c_WaterHeating (2)'!J14/[4]Data!BF$37*[4]Data!BF$38</f>
        <v>34.932759187900238</v>
      </c>
      <c r="K14" s="54">
        <f>'1c_WaterHeating (2)'!K14/[4]Data!BG$37*[4]Data!BG$38</f>
        <v>32.029715696779895</v>
      </c>
      <c r="L14" s="54">
        <f>'1c_WaterHeating (2)'!L14/[4]Data!BH$37*[4]Data!BH$38</f>
        <v>33.430879733095061</v>
      </c>
      <c r="M14" s="54"/>
      <c r="N14" s="54"/>
      <c r="O14" s="54"/>
      <c r="DT14" s="32" t="s">
        <v>284</v>
      </c>
      <c r="EB14" s="32" t="s">
        <v>291</v>
      </c>
      <c r="ED14" s="32" t="s">
        <v>295</v>
      </c>
    </row>
    <row r="15" spans="1:134" s="33" customFormat="1" ht="15" customHeight="1" x14ac:dyDescent="0.25">
      <c r="A15" s="165"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65"/>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65"/>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65"/>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zoomScale="90" zoomScaleNormal="90" workbookViewId="0">
      <pane xSplit="3" topLeftCell="D1" activePane="topRight" state="frozen"/>
      <selection activeCell="L23" sqref="L23"/>
      <selection pane="topRight" activeCell="G27" sqref="G27"/>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9</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f>'1d_Cooking (2)'!D6/[4]Data!AZ$37*[4]Data!AZ$38</f>
        <v>802.28894694537621</v>
      </c>
      <c r="E6" s="56">
        <f>'1d_Cooking (2)'!E6/[4]Data!BA$37*[4]Data!BA$38</f>
        <v>799.73230988303328</v>
      </c>
      <c r="F6" s="56">
        <f>'1d_Cooking (2)'!F6/[4]Data!BB$37*[4]Data!BB$38</f>
        <v>783.27158435999866</v>
      </c>
      <c r="G6" s="56">
        <f>'1d_Cooking (2)'!G6/[4]Data!BC$37*[4]Data!BC$38</f>
        <v>753.75422616847027</v>
      </c>
      <c r="H6" s="56">
        <f>'1d_Cooking (2)'!H6/[4]Data!BD$37*[4]Data!BD$38</f>
        <v>726.45797150848387</v>
      </c>
      <c r="I6" s="56">
        <f>'1d_Cooking (2)'!I6/[4]Data!BE$37*[4]Data!BE$38</f>
        <v>732.20594898257661</v>
      </c>
      <c r="J6" s="56">
        <f>'1d_Cooking (2)'!J6/[4]Data!BF$37*[4]Data!BF$38</f>
        <v>720.18907640808027</v>
      </c>
      <c r="K6" s="56">
        <f>'1d_Cooking (2)'!K6/[4]Data!BG$37*[4]Data!BG$38</f>
        <v>710.27924918440647</v>
      </c>
      <c r="L6" s="56">
        <f>'1d_Cooking (2)'!L6/[4]Data!BH$37*[4]Data!BH$38</f>
        <v>687.80410341723791</v>
      </c>
      <c r="M6" s="56"/>
      <c r="N6" s="56"/>
      <c r="O6" s="56"/>
      <c r="DS6" s="4" t="str">
        <f>VLOOKUP(Cover!$D$15, Country_list!$B$3:$C$44, 2, 0)</f>
        <v>RS</v>
      </c>
      <c r="DT6" s="32" t="s">
        <v>289</v>
      </c>
      <c r="DV6" s="32" t="s">
        <v>305</v>
      </c>
      <c r="EB6" s="32" t="s">
        <v>291</v>
      </c>
      <c r="ED6" s="32" t="s">
        <v>294</v>
      </c>
    </row>
    <row r="7" spans="1:134" ht="24" customHeight="1" x14ac:dyDescent="0.25">
      <c r="A7" s="166" t="s">
        <v>15</v>
      </c>
      <c r="B7" s="183"/>
      <c r="C7" s="9" t="s">
        <v>25</v>
      </c>
      <c r="D7" s="57"/>
      <c r="E7" s="54"/>
      <c r="F7" s="54"/>
      <c r="G7" s="54"/>
      <c r="H7" s="54"/>
      <c r="I7" s="54"/>
      <c r="J7" s="54"/>
      <c r="K7" s="54"/>
      <c r="L7" s="54"/>
      <c r="M7" s="54"/>
      <c r="N7" s="54"/>
      <c r="O7" s="54"/>
      <c r="DT7" s="32" t="s">
        <v>290</v>
      </c>
      <c r="EB7" s="32" t="s">
        <v>291</v>
      </c>
      <c r="ED7" s="32" t="s">
        <v>295</v>
      </c>
    </row>
    <row r="8" spans="1:134" ht="24" customHeight="1" x14ac:dyDescent="0.25">
      <c r="A8" s="166" t="s">
        <v>29</v>
      </c>
      <c r="B8" s="183"/>
      <c r="C8" s="9" t="s">
        <v>17</v>
      </c>
      <c r="D8" s="57">
        <f>'1d_Cooking (2)'!D8/[4]Data!AZ$37*[4]Data!AZ$38</f>
        <v>137.9409567440849</v>
      </c>
      <c r="E8" s="54">
        <f>'1d_Cooking (2)'!E8/[4]Data!BA$37*[4]Data!BA$38</f>
        <v>134.80336284013251</v>
      </c>
      <c r="F8" s="54">
        <f>'1d_Cooking (2)'!F8/[4]Data!BB$37*[4]Data!BB$38</f>
        <v>121.8866496070406</v>
      </c>
      <c r="G8" s="54">
        <f>'1d_Cooking (2)'!G8/[4]Data!BC$37*[4]Data!BC$38</f>
        <v>108.03152848880562</v>
      </c>
      <c r="H8" s="54">
        <f>'1d_Cooking (2)'!H8/[4]Data!BD$37*[4]Data!BD$38</f>
        <v>87.213934875934683</v>
      </c>
      <c r="I8" s="54">
        <f>'1d_Cooking (2)'!I8/[4]Data!BE$37*[4]Data!BE$38</f>
        <v>91.585997568590884</v>
      </c>
      <c r="J8" s="54">
        <f>'1d_Cooking (2)'!J8/[4]Data!BF$37*[4]Data!BF$38</f>
        <v>100.97002998146507</v>
      </c>
      <c r="K8" s="54">
        <f>'1d_Cooking (2)'!K8/[4]Data!BG$37*[4]Data!BG$38</f>
        <v>114.27289683722448</v>
      </c>
      <c r="L8" s="54">
        <f>'1d_Cooking (2)'!L8/[4]Data!BH$37*[4]Data!BH$38</f>
        <v>115.84589335214278</v>
      </c>
      <c r="M8" s="54"/>
      <c r="N8" s="54"/>
      <c r="O8" s="54"/>
      <c r="DT8" s="32" t="s">
        <v>231</v>
      </c>
      <c r="EB8" s="32" t="s">
        <v>291</v>
      </c>
      <c r="ED8" s="32" t="s">
        <v>296</v>
      </c>
    </row>
    <row r="9" spans="1:134" ht="24" customHeight="1" x14ac:dyDescent="0.25">
      <c r="A9" s="166" t="s">
        <v>156</v>
      </c>
      <c r="B9" s="183"/>
      <c r="C9" s="9" t="s">
        <v>19</v>
      </c>
      <c r="D9" s="57">
        <f>'1d_Cooking (2)'!D9/[4]Data!AZ$37*[4]Data!AZ$38</f>
        <v>4.5642228334439858</v>
      </c>
      <c r="E9" s="54">
        <f>'1d_Cooking (2)'!E9/[4]Data!BA$37*[4]Data!BA$38</f>
        <v>5.0488150876454121</v>
      </c>
      <c r="F9" s="54">
        <f>'1d_Cooking (2)'!F9/[4]Data!BB$37*[4]Data!BB$38</f>
        <v>4.495819042882645</v>
      </c>
      <c r="G9" s="54">
        <f>'1d_Cooking (2)'!G9/[4]Data!BC$37*[4]Data!BC$38</f>
        <v>3.9463572050705249</v>
      </c>
      <c r="H9" s="54">
        <f>'1d_Cooking (2)'!H9/[4]Data!BD$37*[4]Data!BD$38</f>
        <v>3.8978294916618852</v>
      </c>
      <c r="I9" s="54">
        <f>'1d_Cooking (2)'!I9/[4]Data!BE$37*[4]Data!BE$38</f>
        <v>2.8921893969028698</v>
      </c>
      <c r="J9" s="54">
        <f>'1d_Cooking (2)'!J9/[4]Data!BF$37*[4]Data!BF$38</f>
        <v>3.8282475822356425</v>
      </c>
      <c r="K9" s="54">
        <f>'1d_Cooking (2)'!K9/[4]Data!BG$37*[4]Data!BG$38</f>
        <v>4.6619750574977781</v>
      </c>
      <c r="L9" s="54">
        <f>'1d_Cooking (2)'!L9/[4]Data!BH$37*[4]Data!BH$38</f>
        <v>3.8962655850707368</v>
      </c>
      <c r="M9" s="54"/>
      <c r="N9" s="54"/>
      <c r="O9" s="54"/>
      <c r="DT9" s="32" t="s">
        <v>279</v>
      </c>
      <c r="EB9" s="32" t="s">
        <v>292</v>
      </c>
      <c r="ED9" s="32" t="s">
        <v>293</v>
      </c>
    </row>
    <row r="10" spans="1:134" ht="24" customHeight="1" x14ac:dyDescent="0.25">
      <c r="A10" s="166" t="s">
        <v>20</v>
      </c>
      <c r="B10" s="183"/>
      <c r="C10" s="9" t="s">
        <v>19</v>
      </c>
      <c r="D10" s="57">
        <f>'1d_Cooking (2)'!D10/[4]Data!AZ$37*[4]Data!AZ$38</f>
        <v>3.0428152222959901</v>
      </c>
      <c r="E10" s="54">
        <f>'1d_Cooking (2)'!E10/[4]Data!BA$37*[4]Data!BA$38</f>
        <v>7.0683411227035764</v>
      </c>
      <c r="F10" s="54">
        <f>'1d_Cooking (2)'!F10/[4]Data!BB$37*[4]Data!BB$38</f>
        <v>9.4911735349744735</v>
      </c>
      <c r="G10" s="54">
        <f>'1d_Cooking (2)'!G10/[4]Data!BC$37*[4]Data!BC$38</f>
        <v>6.906125108873419</v>
      </c>
      <c r="H10" s="54">
        <f>'1d_Cooking (2)'!H10/[4]Data!BD$37*[4]Data!BD$38</f>
        <v>4.3850581781196203</v>
      </c>
      <c r="I10" s="54">
        <f>'1d_Cooking (2)'!I10/[4]Data!BE$37*[4]Data!BE$38</f>
        <v>9.6406313230095666</v>
      </c>
      <c r="J10" s="54">
        <f>'1d_Cooking (2)'!J10/[4]Data!BF$37*[4]Data!BF$38</f>
        <v>6.2209023211329191</v>
      </c>
      <c r="K10" s="54">
        <f>'1d_Cooking (2)'!K10/[4]Data!BG$37*[4]Data!BG$38</f>
        <v>4.3758679391932587</v>
      </c>
      <c r="L10" s="54">
        <f>'1d_Cooking (2)'!L10/[4]Data!BH$37*[4]Data!BH$38</f>
        <v>3.4542742045783696</v>
      </c>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f>'1d_Cooking (2)'!D14/[4]Data!AZ$37*[4]Data!AZ$38</f>
        <v>1569.5855188343482</v>
      </c>
      <c r="E14" s="54">
        <f>'1d_Cooking (2)'!E14/[4]Data!BA$37*[4]Data!BA$38</f>
        <v>1420.736565663419</v>
      </c>
      <c r="F14" s="54">
        <f>'1d_Cooking (2)'!F14/[4]Data!BB$37*[4]Data!BB$38</f>
        <v>1520.0863719435433</v>
      </c>
      <c r="G14" s="54">
        <f>'1d_Cooking (2)'!G14/[4]Data!BC$37*[4]Data!BC$38</f>
        <v>1273.686787936512</v>
      </c>
      <c r="H14" s="54">
        <f>'1d_Cooking (2)'!H14/[4]Data!BD$37*[4]Data!BD$38</f>
        <v>1337.4427443264842</v>
      </c>
      <c r="I14" s="54">
        <f>'1d_Cooking (2)'!I14/[4]Data!BE$37*[4]Data!BE$38</f>
        <v>1316.4282071569564</v>
      </c>
      <c r="J14" s="54">
        <f>'1d_Cooking (2)'!J14/[4]Data!BF$37*[4]Data!BF$38</f>
        <v>1347.0646179991668</v>
      </c>
      <c r="K14" s="54">
        <f>'1d_Cooking (2)'!K14/[4]Data!BG$37*[4]Data!BG$38</f>
        <v>1233.1478627402462</v>
      </c>
      <c r="L14" s="54">
        <f>'1d_Cooking (2)'!L14/[4]Data!BH$37*[4]Data!BH$38</f>
        <v>1287.0883949750937</v>
      </c>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D1" activePane="topRight" state="frozen"/>
      <selection activeCell="L23" sqref="L23"/>
      <selection pane="topRight" activeCell="D6" sqref="D6: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10</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f>'1e_LightingAndAppliances (2)'!D6/[4]Data!AZ$37*[4]Data!AZ$38</f>
        <v>3186.3346736142844</v>
      </c>
      <c r="E6" s="59">
        <f>'1e_LightingAndAppliances (2)'!E6/[4]Data!BA$37*[4]Data!BA$38</f>
        <v>3176.2095716377285</v>
      </c>
      <c r="F6" s="59">
        <f>'1e_LightingAndAppliances (2)'!F6/[4]Data!BB$37*[4]Data!BB$38</f>
        <v>3111.1067776747905</v>
      </c>
      <c r="G6" s="59">
        <f>'1e_LightingAndAppliances (2)'!G6/[4]Data!BC$37*[4]Data!BC$38</f>
        <v>2993.8052346966269</v>
      </c>
      <c r="H6" s="59">
        <f>'1e_LightingAndAppliances (2)'!H6/[4]Data!BD$37*[4]Data!BD$38</f>
        <v>2884.8810525162526</v>
      </c>
      <c r="I6" s="59">
        <f>'1e_LightingAndAppliances (2)'!I6/[4]Data!BE$37*[4]Data!BE$38</f>
        <v>2908.096438585836</v>
      </c>
      <c r="J6" s="59">
        <f>'1e_LightingAndAppliances (2)'!J6/[4]Data!BF$37*[4]Data!BF$38</f>
        <v>2859.7009439300255</v>
      </c>
      <c r="K6" s="59">
        <f>'1e_LightingAndAppliances (2)'!K6/[4]Data!BG$37*[4]Data!BG$38</f>
        <v>2821.3875068690527</v>
      </c>
      <c r="L6" s="59">
        <f>'1e_LightingAndAppliances (2)'!L6/[4]Data!BH$37*[4]Data!BH$38</f>
        <v>2732.1101375057774</v>
      </c>
      <c r="M6" s="59"/>
      <c r="N6" s="59"/>
      <c r="O6" s="59"/>
      <c r="DS6" s="4" t="str">
        <f>VLOOKUP(Cover!$D$15, Country_list!$B$3:$C$44, 2, 0)</f>
        <v>RS</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tabSelected="1" zoomScale="90" zoomScaleNormal="90" workbookViewId="0">
      <pane xSplit="3" topLeftCell="D1" activePane="topRight" state="frozen"/>
      <selection activeCell="L23" sqref="L23"/>
      <selection pane="topRight" activeCell="L23" sqref="L23"/>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11</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92"/>
      <c r="C6" s="8" t="s">
        <v>14</v>
      </c>
      <c r="D6" s="55"/>
      <c r="E6" s="56"/>
      <c r="F6" s="56"/>
      <c r="G6" s="56"/>
      <c r="H6" s="56"/>
      <c r="I6" s="56"/>
      <c r="J6" s="56"/>
      <c r="K6" s="56"/>
      <c r="L6" s="56"/>
      <c r="M6" s="56"/>
      <c r="N6" s="56"/>
      <c r="O6" s="56"/>
      <c r="DS6" s="4" t="str">
        <f>VLOOKUP(Cover!$D$15, Country_list!$B$3:$C$44, 2, 0)</f>
        <v>RS</v>
      </c>
      <c r="DT6" s="32" t="s">
        <v>289</v>
      </c>
      <c r="DV6" s="32" t="s">
        <v>307</v>
      </c>
      <c r="EB6" s="32" t="s">
        <v>291</v>
      </c>
      <c r="ED6" s="32" t="s">
        <v>294</v>
      </c>
    </row>
    <row r="7" spans="1:134" ht="24" customHeight="1" x14ac:dyDescent="0.25">
      <c r="A7" s="166"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25">
      <c r="A8" s="166"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25">
      <c r="A9" s="166" t="s">
        <v>156</v>
      </c>
      <c r="B9" s="183"/>
      <c r="C9" s="9" t="s">
        <v>19</v>
      </c>
      <c r="D9" s="57"/>
      <c r="E9" s="54"/>
      <c r="F9" s="54"/>
      <c r="G9" s="54"/>
      <c r="H9" s="54"/>
      <c r="I9" s="54"/>
      <c r="J9" s="54"/>
      <c r="K9" s="54"/>
      <c r="L9" s="54"/>
      <c r="M9" s="54"/>
      <c r="N9" s="54"/>
      <c r="O9" s="54"/>
      <c r="DT9" s="32" t="s">
        <v>279</v>
      </c>
      <c r="EB9" s="32" t="s">
        <v>292</v>
      </c>
      <c r="ED9" s="32" t="s">
        <v>293</v>
      </c>
    </row>
    <row r="10" spans="1:134" ht="24" customHeight="1" x14ac:dyDescent="0.25">
      <c r="A10" s="166" t="s">
        <v>20</v>
      </c>
      <c r="B10" s="183"/>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baseColWidth="10"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194" t="s">
        <v>44</v>
      </c>
      <c r="C3" s="195"/>
      <c r="D3" s="196"/>
    </row>
    <row r="4" spans="2:4" ht="15.75" thickBot="1" x14ac:dyDescent="0.3"/>
    <row r="5" spans="2:4" ht="15" customHeight="1" x14ac:dyDescent="0.25">
      <c r="B5" s="38"/>
      <c r="C5" s="197"/>
      <c r="D5" s="90"/>
    </row>
    <row r="6" spans="2:4" x14ac:dyDescent="0.25">
      <c r="B6" s="39"/>
      <c r="C6" s="198"/>
      <c r="D6" s="40"/>
    </row>
    <row r="7" spans="2:4" x14ac:dyDescent="0.25">
      <c r="B7" s="39"/>
      <c r="C7" s="198"/>
      <c r="D7" s="40"/>
    </row>
    <row r="8" spans="2:4" x14ac:dyDescent="0.25">
      <c r="B8" s="39"/>
      <c r="C8" s="198"/>
      <c r="D8" s="40"/>
    </row>
    <row r="9" spans="2:4" x14ac:dyDescent="0.25">
      <c r="B9" s="39"/>
      <c r="C9" s="198"/>
      <c r="D9" s="40"/>
    </row>
    <row r="10" spans="2:4" x14ac:dyDescent="0.25">
      <c r="B10" s="39"/>
      <c r="C10" s="198"/>
      <c r="D10" s="40"/>
    </row>
    <row r="11" spans="2:4" x14ac:dyDescent="0.25">
      <c r="B11" s="39"/>
      <c r="C11" s="198"/>
      <c r="D11" s="40"/>
    </row>
    <row r="12" spans="2:4" x14ac:dyDescent="0.25">
      <c r="B12" s="39"/>
      <c r="C12" s="198"/>
      <c r="D12" s="40"/>
    </row>
    <row r="13" spans="2:4" x14ac:dyDescent="0.25">
      <c r="B13" s="39"/>
      <c r="C13" s="198"/>
      <c r="D13" s="40"/>
    </row>
    <row r="14" spans="2:4" x14ac:dyDescent="0.25">
      <c r="B14" s="39"/>
      <c r="C14" s="198"/>
      <c r="D14" s="40"/>
    </row>
    <row r="15" spans="2:4" x14ac:dyDescent="0.25">
      <c r="B15" s="39"/>
      <c r="C15" s="198"/>
      <c r="D15" s="40"/>
    </row>
    <row r="16" spans="2:4" x14ac:dyDescent="0.25">
      <c r="B16" s="39"/>
      <c r="C16" s="198"/>
      <c r="D16" s="40"/>
    </row>
    <row r="17" spans="2:4" x14ac:dyDescent="0.25">
      <c r="B17" s="39"/>
      <c r="C17" s="198"/>
      <c r="D17" s="40"/>
    </row>
    <row r="18" spans="2:4" x14ac:dyDescent="0.25">
      <c r="B18" s="39"/>
      <c r="C18" s="198"/>
      <c r="D18" s="40"/>
    </row>
    <row r="19" spans="2:4" x14ac:dyDescent="0.25">
      <c r="B19" s="39"/>
      <c r="C19" s="198"/>
      <c r="D19" s="40"/>
    </row>
    <row r="20" spans="2:4" x14ac:dyDescent="0.25">
      <c r="B20" s="39"/>
      <c r="C20" s="198"/>
      <c r="D20" s="40"/>
    </row>
    <row r="21" spans="2:4" x14ac:dyDescent="0.25">
      <c r="B21" s="39"/>
      <c r="C21" s="198"/>
      <c r="D21" s="40"/>
    </row>
    <row r="22" spans="2:4" x14ac:dyDescent="0.25">
      <c r="B22" s="39"/>
      <c r="C22" s="198"/>
      <c r="D22" s="40"/>
    </row>
    <row r="23" spans="2:4" x14ac:dyDescent="0.25">
      <c r="B23" s="39"/>
      <c r="C23" s="198"/>
      <c r="D23" s="40"/>
    </row>
    <row r="24" spans="2:4" x14ac:dyDescent="0.25">
      <c r="B24" s="39"/>
      <c r="C24" s="198"/>
      <c r="D24" s="40"/>
    </row>
    <row r="25" spans="2:4" x14ac:dyDescent="0.25">
      <c r="B25" s="39"/>
      <c r="C25" s="198"/>
      <c r="D25" s="40"/>
    </row>
    <row r="26" spans="2:4" x14ac:dyDescent="0.25">
      <c r="B26" s="39"/>
      <c r="C26" s="198"/>
      <c r="D26" s="40"/>
    </row>
    <row r="27" spans="2:4" x14ac:dyDescent="0.25">
      <c r="B27" s="39"/>
      <c r="C27" s="198"/>
      <c r="D27" s="40"/>
    </row>
    <row r="28" spans="2:4" x14ac:dyDescent="0.25">
      <c r="B28" s="39"/>
      <c r="C28" s="198"/>
      <c r="D28" s="40"/>
    </row>
    <row r="29" spans="2:4" x14ac:dyDescent="0.25">
      <c r="B29" s="39"/>
      <c r="C29" s="198"/>
      <c r="D29" s="40"/>
    </row>
    <row r="30" spans="2:4" x14ac:dyDescent="0.25">
      <c r="B30" s="39"/>
      <c r="C30" s="198"/>
      <c r="D30" s="40"/>
    </row>
    <row r="31" spans="2:4" x14ac:dyDescent="0.25">
      <c r="B31" s="39"/>
      <c r="C31" s="198"/>
      <c r="D31" s="40"/>
    </row>
    <row r="32" spans="2:4" x14ac:dyDescent="0.25">
      <c r="B32" s="39"/>
      <c r="C32" s="198"/>
      <c r="D32" s="40"/>
    </row>
    <row r="33" spans="2:4" x14ac:dyDescent="0.25">
      <c r="B33" s="39"/>
      <c r="C33" s="198"/>
      <c r="D33" s="40"/>
    </row>
    <row r="34" spans="2:4" x14ac:dyDescent="0.25">
      <c r="B34" s="39"/>
      <c r="C34" s="198"/>
      <c r="D34" s="40"/>
    </row>
    <row r="35" spans="2:4" x14ac:dyDescent="0.25">
      <c r="B35" s="39"/>
      <c r="C35" s="198"/>
      <c r="D35" s="40"/>
    </row>
    <row r="36" spans="2:4" x14ac:dyDescent="0.25">
      <c r="B36" s="39"/>
      <c r="C36" s="198"/>
      <c r="D36" s="40"/>
    </row>
    <row r="37" spans="2:4" x14ac:dyDescent="0.25">
      <c r="B37" s="39"/>
      <c r="C37" s="198"/>
      <c r="D37" s="40"/>
    </row>
    <row r="38" spans="2:4" x14ac:dyDescent="0.25">
      <c r="B38" s="39"/>
      <c r="C38" s="198"/>
      <c r="D38" s="40"/>
    </row>
    <row r="39" spans="2:4" x14ac:dyDescent="0.25">
      <c r="B39" s="39"/>
      <c r="C39" s="198"/>
      <c r="D39" s="40"/>
    </row>
    <row r="40" spans="2:4" x14ac:dyDescent="0.25">
      <c r="B40" s="39"/>
      <c r="C40" s="198"/>
      <c r="D40" s="40"/>
    </row>
    <row r="41" spans="2:4" x14ac:dyDescent="0.25">
      <c r="B41" s="39"/>
      <c r="C41" s="198"/>
      <c r="D41" s="40"/>
    </row>
    <row r="42" spans="2:4" x14ac:dyDescent="0.25">
      <c r="B42" s="39"/>
      <c r="C42" s="198"/>
      <c r="D42" s="40"/>
    </row>
    <row r="43" spans="2:4" ht="15.75" thickBot="1" x14ac:dyDescent="0.3">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baseColWidth="10"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E0240-3E5A-4A32-9CDA-47C6645D5C1C}">
  <sheetPr codeName="Sheet15">
    <pageSetUpPr fitToPage="1"/>
  </sheetPr>
  <dimension ref="A1:ED19"/>
  <sheetViews>
    <sheetView showGridLines="0" zoomScale="90" zoomScaleNormal="90" workbookViewId="0">
      <pane xSplit="3" topLeftCell="D1" activePane="topRight" state="frozen"/>
      <selection activeCell="L23" sqref="L23"/>
      <selection pane="topRight" activeCell="L23" sqref="L23"/>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30</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v>14645</v>
      </c>
      <c r="E6" s="56">
        <v>1789</v>
      </c>
      <c r="F6" s="56">
        <v>1771</v>
      </c>
      <c r="G6" s="56">
        <v>1726</v>
      </c>
      <c r="H6" s="56">
        <v>1684</v>
      </c>
      <c r="I6" s="56">
        <v>1716</v>
      </c>
      <c r="J6" s="56">
        <v>1700</v>
      </c>
      <c r="K6" s="56">
        <v>1685.431</v>
      </c>
      <c r="L6" s="56">
        <v>1636.577</v>
      </c>
      <c r="M6" s="56"/>
      <c r="N6" s="56"/>
      <c r="O6" s="56"/>
      <c r="DS6" s="4" t="str">
        <f>VLOOKUP(Cover!$D$15, Country_list!$B$3:$C$44, 2, 0)</f>
        <v>RS</v>
      </c>
      <c r="DT6" s="32" t="s">
        <v>289</v>
      </c>
      <c r="DV6" s="32" t="s">
        <v>302</v>
      </c>
      <c r="EB6" s="32" t="s">
        <v>291</v>
      </c>
      <c r="ED6" s="32" t="s">
        <v>294</v>
      </c>
    </row>
    <row r="7" spans="1:134" ht="24" customHeight="1" x14ac:dyDescent="0.25">
      <c r="A7" s="166" t="s">
        <v>15</v>
      </c>
      <c r="B7" s="183"/>
      <c r="C7" s="9" t="s">
        <v>25</v>
      </c>
      <c r="D7" s="57">
        <v>15947</v>
      </c>
      <c r="E7" s="54">
        <v>17519</v>
      </c>
      <c r="F7" s="54">
        <v>16477</v>
      </c>
      <c r="G7" s="54">
        <v>15356</v>
      </c>
      <c r="H7" s="54">
        <v>14601</v>
      </c>
      <c r="I7" s="54">
        <v>16376</v>
      </c>
      <c r="J7" s="54">
        <v>16489</v>
      </c>
      <c r="K7" s="54">
        <v>16101.782999999999</v>
      </c>
      <c r="L7" s="54">
        <v>16492.315999999999</v>
      </c>
      <c r="M7" s="54"/>
      <c r="N7" s="54"/>
      <c r="O7" s="54"/>
      <c r="DT7" s="32" t="s">
        <v>290</v>
      </c>
      <c r="EB7" s="32" t="s">
        <v>291</v>
      </c>
      <c r="ED7" s="32" t="s">
        <v>295</v>
      </c>
    </row>
    <row r="8" spans="1:134" ht="24" customHeight="1" x14ac:dyDescent="0.25">
      <c r="A8" s="166" t="s">
        <v>29</v>
      </c>
      <c r="B8" s="183"/>
      <c r="C8" s="9" t="s">
        <v>17</v>
      </c>
      <c r="D8" s="57">
        <v>10071</v>
      </c>
      <c r="E8" s="54">
        <v>9175</v>
      </c>
      <c r="F8" s="54">
        <v>8405</v>
      </c>
      <c r="G8" s="54">
        <v>7520</v>
      </c>
      <c r="H8" s="54">
        <v>6160</v>
      </c>
      <c r="I8" s="54">
        <v>6532</v>
      </c>
      <c r="J8" s="54">
        <v>7250</v>
      </c>
      <c r="K8" s="54">
        <v>8259.2729999999992</v>
      </c>
      <c r="L8" s="54">
        <v>8395.9120000000003</v>
      </c>
      <c r="M8" s="54"/>
      <c r="N8" s="54"/>
      <c r="O8" s="54"/>
      <c r="DT8" s="32" t="s">
        <v>231</v>
      </c>
      <c r="EB8" s="32" t="s">
        <v>291</v>
      </c>
      <c r="ED8" s="32" t="s">
        <v>296</v>
      </c>
    </row>
    <row r="9" spans="1:134" ht="24" customHeight="1" x14ac:dyDescent="0.25">
      <c r="A9" s="166" t="s">
        <v>156</v>
      </c>
      <c r="B9" s="183"/>
      <c r="C9" s="9" t="s">
        <v>19</v>
      </c>
      <c r="D9" s="57">
        <v>677</v>
      </c>
      <c r="E9" s="54">
        <v>767</v>
      </c>
      <c r="F9" s="54">
        <v>680</v>
      </c>
      <c r="G9" s="54">
        <v>615</v>
      </c>
      <c r="H9" s="54">
        <v>580</v>
      </c>
      <c r="I9" s="54">
        <v>459</v>
      </c>
      <c r="J9" s="54">
        <v>606</v>
      </c>
      <c r="K9" s="54">
        <v>737.47199999999998</v>
      </c>
      <c r="L9" s="54">
        <v>618.03300000000002</v>
      </c>
      <c r="M9" s="54"/>
      <c r="N9" s="54"/>
      <c r="O9" s="54"/>
      <c r="DT9" s="32" t="s">
        <v>279</v>
      </c>
      <c r="EB9" s="32" t="s">
        <v>292</v>
      </c>
      <c r="ED9" s="32" t="s">
        <v>293</v>
      </c>
    </row>
    <row r="10" spans="1:134" ht="24" customHeight="1" x14ac:dyDescent="0.25">
      <c r="A10" s="166" t="s">
        <v>20</v>
      </c>
      <c r="B10" s="183"/>
      <c r="C10" s="9" t="s">
        <v>19</v>
      </c>
      <c r="D10" s="57">
        <v>28</v>
      </c>
      <c r="E10" s="54">
        <v>48</v>
      </c>
      <c r="F10" s="54">
        <v>66</v>
      </c>
      <c r="G10" s="54">
        <v>51</v>
      </c>
      <c r="H10" s="54">
        <v>30</v>
      </c>
      <c r="I10" s="54">
        <v>34</v>
      </c>
      <c r="J10" s="54">
        <v>45</v>
      </c>
      <c r="K10" s="54">
        <v>32.634</v>
      </c>
      <c r="L10" s="54">
        <v>25.832000000000001</v>
      </c>
      <c r="M10" s="54"/>
      <c r="N10" s="54"/>
      <c r="O10" s="54"/>
      <c r="DT10" s="32" t="s">
        <v>280</v>
      </c>
      <c r="EB10" s="32" t="s">
        <v>292</v>
      </c>
      <c r="ED10" s="32" t="s">
        <v>293</v>
      </c>
    </row>
    <row r="11" spans="1:134" s="33" customFormat="1" ht="15" customHeight="1" x14ac:dyDescent="0.25">
      <c r="A11" s="165" t="s">
        <v>18</v>
      </c>
      <c r="B11" s="102" t="s">
        <v>21</v>
      </c>
      <c r="C11" s="103" t="s">
        <v>19</v>
      </c>
      <c r="D11" s="104">
        <v>27</v>
      </c>
      <c r="E11" s="105">
        <v>24</v>
      </c>
      <c r="F11" s="105">
        <v>29</v>
      </c>
      <c r="G11" s="105">
        <v>38</v>
      </c>
      <c r="H11" s="105">
        <v>22</v>
      </c>
      <c r="I11" s="105">
        <v>34</v>
      </c>
      <c r="J11" s="105">
        <v>45</v>
      </c>
      <c r="K11" s="105">
        <v>32.634</v>
      </c>
      <c r="L11" s="105">
        <v>25.832000000000001</v>
      </c>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v>40195</v>
      </c>
      <c r="E14" s="54">
        <v>33660</v>
      </c>
      <c r="F14" s="54">
        <v>36391</v>
      </c>
      <c r="G14" s="54">
        <v>30887</v>
      </c>
      <c r="H14" s="54">
        <v>32834</v>
      </c>
      <c r="I14" s="54">
        <v>32668</v>
      </c>
      <c r="J14" s="54">
        <v>33670</v>
      </c>
      <c r="K14" s="54">
        <v>30983.458999999999</v>
      </c>
      <c r="L14" s="54">
        <v>32427.483</v>
      </c>
      <c r="M14" s="54"/>
      <c r="N14" s="54"/>
      <c r="O14" s="54"/>
      <c r="DT14" s="32" t="s">
        <v>284</v>
      </c>
      <c r="EB14" s="32" t="s">
        <v>291</v>
      </c>
      <c r="ED14" s="32" t="s">
        <v>295</v>
      </c>
    </row>
    <row r="15" spans="1:134" s="33" customFormat="1" ht="15" customHeight="1" x14ac:dyDescent="0.25">
      <c r="A15" s="165"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65"/>
      <c r="B16" s="102" t="s">
        <v>27</v>
      </c>
      <c r="C16" s="103" t="s">
        <v>25</v>
      </c>
      <c r="D16" s="104">
        <v>40195</v>
      </c>
      <c r="E16" s="105">
        <v>33659</v>
      </c>
      <c r="F16" s="105">
        <v>36391</v>
      </c>
      <c r="G16" s="105">
        <v>30887</v>
      </c>
      <c r="H16" s="105">
        <v>32833</v>
      </c>
      <c r="I16" s="105">
        <v>32668</v>
      </c>
      <c r="J16" s="105">
        <v>33669</v>
      </c>
      <c r="K16" s="105">
        <v>30983.182000000001</v>
      </c>
      <c r="L16" s="105">
        <v>32427.289000000001</v>
      </c>
      <c r="M16" s="105"/>
      <c r="N16" s="105"/>
      <c r="O16" s="105"/>
      <c r="DT16" s="33" t="s">
        <v>286</v>
      </c>
      <c r="EB16" s="33" t="s">
        <v>291</v>
      </c>
      <c r="ED16" s="33" t="s">
        <v>295</v>
      </c>
    </row>
    <row r="17" spans="1:134" s="33" customFormat="1" ht="15" customHeight="1" x14ac:dyDescent="0.25">
      <c r="A17" s="165"/>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65"/>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2B1E7372-575F-45C5-9F32-6D30A108438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4C74A-56A8-49A7-B2A9-7517949B1517}">
  <sheetPr codeName="Sheet16">
    <pageSetUpPr fitToPage="1"/>
  </sheetPr>
  <dimension ref="A1:ED19"/>
  <sheetViews>
    <sheetView showGridLines="0" zoomScale="90" zoomScaleNormal="90" workbookViewId="0">
      <pane xSplit="3" topLeftCell="D1" activePane="topRight" state="frozen"/>
      <selection activeCell="L23" sqref="L23"/>
      <selection pane="topRight" activeCell="L23" sqref="L23"/>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31</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63"/>
      <c r="C6" s="8" t="s">
        <v>14</v>
      </c>
      <c r="D6" s="55">
        <v>176</v>
      </c>
      <c r="E6" s="56">
        <v>176</v>
      </c>
      <c r="F6" s="56">
        <v>174</v>
      </c>
      <c r="G6" s="56">
        <v>170</v>
      </c>
      <c r="H6" s="56">
        <v>166</v>
      </c>
      <c r="I6" s="56">
        <v>169</v>
      </c>
      <c r="J6" s="56">
        <v>167</v>
      </c>
      <c r="K6" s="56">
        <v>165.78</v>
      </c>
      <c r="L6" s="56">
        <v>160.97499999999999</v>
      </c>
      <c r="M6" s="56"/>
      <c r="N6" s="56"/>
      <c r="O6" s="56"/>
      <c r="DS6" s="4" t="str">
        <f>VLOOKUP(Cover!$D$15, Country_list!$B$3:$C$44, 2, 0)</f>
        <v>RS</v>
      </c>
      <c r="DT6" s="32" t="s">
        <v>289</v>
      </c>
      <c r="DV6" s="32" t="s">
        <v>303</v>
      </c>
      <c r="EB6" s="32" t="s">
        <v>291</v>
      </c>
      <c r="ED6" s="32" t="s">
        <v>294</v>
      </c>
    </row>
    <row r="7" spans="1:134" ht="24" customHeight="1" x14ac:dyDescent="0.25">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8C882F82-C821-431E-A40A-14B4313B1D4C}">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1089-E993-4375-B93F-F432BA4E89BD}">
  <sheetPr codeName="Sheet17">
    <pageSetUpPr fitToPage="1"/>
  </sheetPr>
  <dimension ref="A1:ED19"/>
  <sheetViews>
    <sheetView showGridLines="0" zoomScale="90" zoomScaleNormal="90" workbookViewId="0">
      <pane xSplit="3" topLeftCell="D1" activePane="topRight" state="frozen"/>
      <selection activeCell="L23" sqref="L23"/>
      <selection pane="topRight" activeCell="L23" sqref="L23"/>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8</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v>4817</v>
      </c>
      <c r="E6" s="56">
        <v>4825</v>
      </c>
      <c r="F6" s="56">
        <v>4776</v>
      </c>
      <c r="G6" s="56">
        <v>4653</v>
      </c>
      <c r="H6" s="56">
        <v>4540</v>
      </c>
      <c r="I6" s="56">
        <v>4625</v>
      </c>
      <c r="J6" s="56">
        <v>4583</v>
      </c>
      <c r="K6" s="56">
        <v>4545.1379999999999</v>
      </c>
      <c r="L6" s="56">
        <v>4413.3940000000002</v>
      </c>
      <c r="M6" s="56"/>
      <c r="N6" s="56"/>
      <c r="O6" s="56"/>
      <c r="DS6" s="4" t="str">
        <f>VLOOKUP(Cover!$D$15, Country_list!$B$3:$C$44, 2, 0)</f>
        <v>RS</v>
      </c>
      <c r="DT6" s="32" t="s">
        <v>289</v>
      </c>
      <c r="DV6" s="32" t="s">
        <v>304</v>
      </c>
      <c r="EB6" s="32" t="s">
        <v>291</v>
      </c>
      <c r="ED6" s="32" t="s">
        <v>294</v>
      </c>
    </row>
    <row r="7" spans="1:134" ht="24" customHeight="1" x14ac:dyDescent="0.25">
      <c r="A7" s="166" t="s">
        <v>15</v>
      </c>
      <c r="B7" s="183"/>
      <c r="C7" s="9" t="s">
        <v>25</v>
      </c>
      <c r="D7" s="57">
        <v>415</v>
      </c>
      <c r="E7" s="54">
        <v>468</v>
      </c>
      <c r="F7" s="54">
        <v>440</v>
      </c>
      <c r="G7" s="54">
        <v>410</v>
      </c>
      <c r="H7" s="54">
        <v>390</v>
      </c>
      <c r="I7" s="54">
        <v>437</v>
      </c>
      <c r="J7" s="54">
        <v>440</v>
      </c>
      <c r="K7" s="54">
        <v>429.822</v>
      </c>
      <c r="L7" s="54">
        <v>440.24700000000001</v>
      </c>
      <c r="M7" s="54"/>
      <c r="N7" s="54"/>
      <c r="O7" s="54"/>
      <c r="DT7" s="32" t="s">
        <v>290</v>
      </c>
      <c r="EB7" s="32" t="s">
        <v>291</v>
      </c>
      <c r="ED7" s="32" t="s">
        <v>295</v>
      </c>
    </row>
    <row r="8" spans="1:134" ht="24" customHeight="1" x14ac:dyDescent="0.25">
      <c r="A8" s="166" t="s">
        <v>29</v>
      </c>
      <c r="B8" s="183"/>
      <c r="C8" s="9" t="s">
        <v>17</v>
      </c>
      <c r="D8" s="57">
        <v>443</v>
      </c>
      <c r="E8" s="54">
        <v>435</v>
      </c>
      <c r="F8" s="54">
        <v>398</v>
      </c>
      <c r="G8" s="54">
        <v>356</v>
      </c>
      <c r="H8" s="54">
        <v>292</v>
      </c>
      <c r="I8" s="54">
        <v>309</v>
      </c>
      <c r="J8" s="54">
        <v>343</v>
      </c>
      <c r="K8" s="54">
        <v>391.18200000000002</v>
      </c>
      <c r="L8" s="54">
        <v>397.654</v>
      </c>
      <c r="M8" s="54"/>
      <c r="N8" s="54"/>
      <c r="O8" s="54"/>
      <c r="DT8" s="32" t="s">
        <v>231</v>
      </c>
      <c r="EB8" s="32" t="s">
        <v>291</v>
      </c>
      <c r="ED8" s="32" t="s">
        <v>296</v>
      </c>
    </row>
    <row r="9" spans="1:134" ht="24" customHeight="1" x14ac:dyDescent="0.25">
      <c r="A9" s="166" t="s">
        <v>156</v>
      </c>
      <c r="B9" s="183"/>
      <c r="C9" s="9" t="s">
        <v>19</v>
      </c>
      <c r="D9" s="57">
        <v>5</v>
      </c>
      <c r="E9" s="54">
        <v>6</v>
      </c>
      <c r="F9" s="54">
        <v>6</v>
      </c>
      <c r="G9" s="54">
        <v>5</v>
      </c>
      <c r="H9" s="54">
        <v>5</v>
      </c>
      <c r="I9" s="54">
        <v>4</v>
      </c>
      <c r="J9" s="54">
        <v>5</v>
      </c>
      <c r="K9" s="54">
        <v>6.0259999999999998</v>
      </c>
      <c r="L9" s="54">
        <v>5.05</v>
      </c>
      <c r="M9" s="54"/>
      <c r="N9" s="54"/>
      <c r="O9" s="54"/>
      <c r="DT9" s="32" t="s">
        <v>279</v>
      </c>
      <c r="EB9" s="32" t="s">
        <v>292</v>
      </c>
      <c r="ED9" s="32" t="s">
        <v>293</v>
      </c>
    </row>
    <row r="10" spans="1:134" ht="24" customHeight="1" x14ac:dyDescent="0.25">
      <c r="A10" s="166" t="s">
        <v>20</v>
      </c>
      <c r="B10" s="183"/>
      <c r="C10" s="9" t="s">
        <v>19</v>
      </c>
      <c r="D10" s="57">
        <v>0</v>
      </c>
      <c r="E10" s="54">
        <v>1</v>
      </c>
      <c r="F10" s="54">
        <v>1</v>
      </c>
      <c r="G10" s="54">
        <v>1</v>
      </c>
      <c r="H10" s="54">
        <v>0</v>
      </c>
      <c r="I10" s="54">
        <v>0</v>
      </c>
      <c r="J10" s="54">
        <v>0</v>
      </c>
      <c r="K10" s="54">
        <v>0.33700000000000002</v>
      </c>
      <c r="L10" s="54">
        <v>0.26700000000000002</v>
      </c>
      <c r="M10" s="54"/>
      <c r="N10" s="54"/>
      <c r="O10" s="54"/>
      <c r="DT10" s="32" t="s">
        <v>280</v>
      </c>
      <c r="EB10" s="32" t="s">
        <v>292</v>
      </c>
      <c r="ED10" s="32" t="s">
        <v>293</v>
      </c>
    </row>
    <row r="11" spans="1:134" s="33" customFormat="1" ht="15" customHeight="1" x14ac:dyDescent="0.25">
      <c r="A11" s="165" t="s">
        <v>18</v>
      </c>
      <c r="B11" s="102" t="s">
        <v>21</v>
      </c>
      <c r="C11" s="103" t="s">
        <v>19</v>
      </c>
      <c r="D11" s="104">
        <v>0</v>
      </c>
      <c r="E11" s="105">
        <v>0</v>
      </c>
      <c r="F11" s="105">
        <v>0</v>
      </c>
      <c r="G11" s="105">
        <v>1</v>
      </c>
      <c r="H11" s="105">
        <v>0</v>
      </c>
      <c r="I11" s="105">
        <v>0</v>
      </c>
      <c r="J11" s="105">
        <v>0</v>
      </c>
      <c r="K11" s="105">
        <v>0.33700000000000002</v>
      </c>
      <c r="L11" s="105">
        <v>0.26700000000000002</v>
      </c>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v>80</v>
      </c>
      <c r="E14" s="54">
        <v>73</v>
      </c>
      <c r="F14" s="54">
        <v>79</v>
      </c>
      <c r="G14" s="54">
        <v>67</v>
      </c>
      <c r="H14" s="54">
        <v>71</v>
      </c>
      <c r="I14" s="54">
        <v>71</v>
      </c>
      <c r="J14" s="54">
        <v>73</v>
      </c>
      <c r="K14" s="54">
        <v>67.281999999999996</v>
      </c>
      <c r="L14" s="54">
        <v>70.418000000000006</v>
      </c>
      <c r="M14" s="54"/>
      <c r="N14" s="54"/>
      <c r="O14" s="54"/>
      <c r="DT14" s="32" t="s">
        <v>284</v>
      </c>
      <c r="EB14" s="32" t="s">
        <v>291</v>
      </c>
      <c r="ED14" s="32" t="s">
        <v>295</v>
      </c>
    </row>
    <row r="15" spans="1:134" s="33" customFormat="1" ht="15" customHeight="1" x14ac:dyDescent="0.25">
      <c r="A15" s="165"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65"/>
      <c r="B16" s="102" t="s">
        <v>27</v>
      </c>
      <c r="C16" s="103" t="s">
        <v>25</v>
      </c>
      <c r="D16" s="104">
        <v>80</v>
      </c>
      <c r="E16" s="105">
        <v>73</v>
      </c>
      <c r="F16" s="105">
        <v>79</v>
      </c>
      <c r="G16" s="105">
        <v>67</v>
      </c>
      <c r="H16" s="105">
        <v>71</v>
      </c>
      <c r="I16" s="105">
        <v>71</v>
      </c>
      <c r="J16" s="105">
        <v>73</v>
      </c>
      <c r="K16" s="105">
        <v>67.281999999999996</v>
      </c>
      <c r="L16" s="105">
        <v>70.418000000000006</v>
      </c>
      <c r="M16" s="105"/>
      <c r="N16" s="105"/>
      <c r="O16" s="105"/>
      <c r="DT16" s="33" t="s">
        <v>286</v>
      </c>
      <c r="EB16" s="33" t="s">
        <v>291</v>
      </c>
      <c r="ED16" s="33" t="s">
        <v>295</v>
      </c>
    </row>
    <row r="17" spans="1:134" s="33" customFormat="1" ht="15" customHeight="1" x14ac:dyDescent="0.25">
      <c r="A17" s="165"/>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65"/>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C159AA40-DEBF-4A48-BF75-C7DFC2BF6C01}">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4A4F8-7B29-411A-9D77-D99FB28414CF}">
  <sheetPr codeName="Sheet18">
    <pageSetUpPr fitToPage="1"/>
  </sheetPr>
  <dimension ref="A1:ED19"/>
  <sheetViews>
    <sheetView showGridLines="0" zoomScale="90" zoomScaleNormal="90" workbookViewId="0">
      <pane xSplit="3" topLeftCell="D1" activePane="topRight" state="frozen"/>
      <selection activeCell="L23" sqref="L23"/>
      <selection pane="topRight" activeCell="L23" sqref="L23"/>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9</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v>1582</v>
      </c>
      <c r="E6" s="56">
        <v>1584</v>
      </c>
      <c r="F6" s="56">
        <v>1568</v>
      </c>
      <c r="G6" s="56">
        <v>1528</v>
      </c>
      <c r="H6" s="56">
        <v>1491</v>
      </c>
      <c r="I6" s="56">
        <v>1519</v>
      </c>
      <c r="J6" s="56">
        <v>1505</v>
      </c>
      <c r="K6" s="56">
        <v>1492.021</v>
      </c>
      <c r="L6" s="56">
        <v>1448.7739999999999</v>
      </c>
      <c r="M6" s="56"/>
      <c r="N6" s="56"/>
      <c r="O6" s="56"/>
      <c r="DS6" s="4" t="str">
        <f>VLOOKUP(Cover!$D$15, Country_list!$B$3:$C$44, 2, 0)</f>
        <v>RS</v>
      </c>
      <c r="DT6" s="32" t="s">
        <v>289</v>
      </c>
      <c r="DV6" s="32" t="s">
        <v>305</v>
      </c>
      <c r="EB6" s="32" t="s">
        <v>291</v>
      </c>
      <c r="ED6" s="32" t="s">
        <v>294</v>
      </c>
    </row>
    <row r="7" spans="1:134" ht="24" customHeight="1" x14ac:dyDescent="0.25">
      <c r="A7" s="166" t="s">
        <v>15</v>
      </c>
      <c r="B7" s="183"/>
      <c r="C7" s="9" t="s">
        <v>25</v>
      </c>
      <c r="D7" s="57"/>
      <c r="E7" s="54"/>
      <c r="F7" s="54"/>
      <c r="G7" s="54"/>
      <c r="H7" s="54"/>
      <c r="I7" s="54"/>
      <c r="J7" s="54"/>
      <c r="K7" s="54"/>
      <c r="L7" s="54"/>
      <c r="M7" s="54"/>
      <c r="N7" s="54"/>
      <c r="O7" s="54"/>
      <c r="DT7" s="32" t="s">
        <v>290</v>
      </c>
      <c r="EB7" s="32" t="s">
        <v>291</v>
      </c>
      <c r="ED7" s="32" t="s">
        <v>295</v>
      </c>
    </row>
    <row r="8" spans="1:134" ht="24" customHeight="1" x14ac:dyDescent="0.25">
      <c r="A8" s="166" t="s">
        <v>29</v>
      </c>
      <c r="B8" s="183"/>
      <c r="C8" s="9" t="s">
        <v>17</v>
      </c>
      <c r="D8" s="57">
        <v>272</v>
      </c>
      <c r="E8" s="54">
        <v>267</v>
      </c>
      <c r="F8" s="54">
        <v>244</v>
      </c>
      <c r="G8" s="54">
        <v>219</v>
      </c>
      <c r="H8" s="54">
        <v>179</v>
      </c>
      <c r="I8" s="54">
        <v>190</v>
      </c>
      <c r="J8" s="54">
        <v>211</v>
      </c>
      <c r="K8" s="54">
        <v>240.04300000000001</v>
      </c>
      <c r="L8" s="54">
        <v>244.01499999999999</v>
      </c>
      <c r="M8" s="54"/>
      <c r="N8" s="54"/>
      <c r="O8" s="54"/>
      <c r="DT8" s="32" t="s">
        <v>231</v>
      </c>
      <c r="EB8" s="32" t="s">
        <v>291</v>
      </c>
      <c r="ED8" s="32" t="s">
        <v>296</v>
      </c>
    </row>
    <row r="9" spans="1:134" ht="24" customHeight="1" x14ac:dyDescent="0.25">
      <c r="A9" s="166" t="s">
        <v>156</v>
      </c>
      <c r="B9" s="183"/>
      <c r="C9" s="9" t="s">
        <v>19</v>
      </c>
      <c r="D9" s="57">
        <v>9</v>
      </c>
      <c r="E9" s="54">
        <v>10</v>
      </c>
      <c r="F9" s="54">
        <v>9</v>
      </c>
      <c r="G9" s="54">
        <v>8</v>
      </c>
      <c r="H9" s="54">
        <v>8</v>
      </c>
      <c r="I9" s="54">
        <v>6</v>
      </c>
      <c r="J9" s="54">
        <v>8</v>
      </c>
      <c r="K9" s="54">
        <v>9.7929999999999993</v>
      </c>
      <c r="L9" s="54">
        <v>8.2070000000000007</v>
      </c>
      <c r="M9" s="54"/>
      <c r="N9" s="54"/>
      <c r="O9" s="54"/>
      <c r="DT9" s="32" t="s">
        <v>279</v>
      </c>
      <c r="EB9" s="32" t="s">
        <v>292</v>
      </c>
      <c r="ED9" s="32" t="s">
        <v>293</v>
      </c>
    </row>
    <row r="10" spans="1:134" ht="24" customHeight="1" x14ac:dyDescent="0.25">
      <c r="A10" s="166" t="s">
        <v>20</v>
      </c>
      <c r="B10" s="183"/>
      <c r="C10" s="9" t="s">
        <v>19</v>
      </c>
      <c r="D10" s="57">
        <v>6</v>
      </c>
      <c r="E10" s="54">
        <v>14</v>
      </c>
      <c r="F10" s="54">
        <v>19</v>
      </c>
      <c r="G10" s="54">
        <v>14</v>
      </c>
      <c r="H10" s="54">
        <v>9</v>
      </c>
      <c r="I10" s="54">
        <v>20</v>
      </c>
      <c r="J10" s="54">
        <v>13</v>
      </c>
      <c r="K10" s="54">
        <v>9.1920000000000002</v>
      </c>
      <c r="L10" s="54">
        <v>7.2759999999999998</v>
      </c>
      <c r="M10" s="54"/>
      <c r="N10" s="54"/>
      <c r="O10" s="54"/>
      <c r="DT10" s="32" t="s">
        <v>280</v>
      </c>
      <c r="EB10" s="32" t="s">
        <v>292</v>
      </c>
      <c r="ED10" s="32" t="s">
        <v>293</v>
      </c>
    </row>
    <row r="11" spans="1:134" s="33" customFormat="1" ht="15" customHeight="1" x14ac:dyDescent="0.25">
      <c r="A11" s="165" t="s">
        <v>18</v>
      </c>
      <c r="B11" s="102" t="s">
        <v>21</v>
      </c>
      <c r="C11" s="103" t="s">
        <v>19</v>
      </c>
      <c r="D11" s="104">
        <v>6</v>
      </c>
      <c r="E11" s="105">
        <v>14</v>
      </c>
      <c r="F11" s="105">
        <v>19</v>
      </c>
      <c r="G11" s="105">
        <v>14</v>
      </c>
      <c r="H11" s="105">
        <v>9</v>
      </c>
      <c r="I11" s="105">
        <v>20</v>
      </c>
      <c r="J11" s="105">
        <v>13</v>
      </c>
      <c r="K11" s="105">
        <v>9.1920000000000002</v>
      </c>
      <c r="L11" s="105">
        <v>7.2759999999999998</v>
      </c>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v>3095</v>
      </c>
      <c r="E14" s="54">
        <v>2814</v>
      </c>
      <c r="F14" s="54">
        <v>3043</v>
      </c>
      <c r="G14" s="54">
        <v>2582</v>
      </c>
      <c r="H14" s="54">
        <v>2745</v>
      </c>
      <c r="I14" s="54">
        <v>2731</v>
      </c>
      <c r="J14" s="54">
        <v>2815</v>
      </c>
      <c r="K14" s="54">
        <v>2590.3649999999998</v>
      </c>
      <c r="L14" s="54">
        <v>2711.0920000000001</v>
      </c>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v>3095</v>
      </c>
      <c r="E16" s="105">
        <v>2814</v>
      </c>
      <c r="F16" s="105">
        <v>3043</v>
      </c>
      <c r="G16" s="105">
        <v>2582</v>
      </c>
      <c r="H16" s="105">
        <v>2745</v>
      </c>
      <c r="I16" s="105">
        <v>2731</v>
      </c>
      <c r="J16" s="105">
        <v>2815</v>
      </c>
      <c r="K16" s="105">
        <v>2590.3420000000001</v>
      </c>
      <c r="L16" s="105">
        <v>2711.076</v>
      </c>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A3:B3 D6:O18" xr:uid="{A0B73E69-8AA0-4313-906A-70E8728FE63B}">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37025-B92C-4ED9-8693-078187E77C69}">
  <sheetPr codeName="Sheet19">
    <pageSetUpPr fitToPage="1"/>
  </sheetPr>
  <dimension ref="A1:ED7"/>
  <sheetViews>
    <sheetView showGridLines="0" zoomScale="90" zoomScaleNormal="90" workbookViewId="0">
      <pane xSplit="3" topLeftCell="D1" activePane="topRight" state="frozen"/>
      <selection activeCell="L23" sqref="L23"/>
      <selection pane="topRight" activeCell="L23" sqref="L23"/>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10</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v>6283</v>
      </c>
      <c r="E6" s="59">
        <v>6291</v>
      </c>
      <c r="F6" s="59">
        <v>6228</v>
      </c>
      <c r="G6" s="59">
        <v>6069</v>
      </c>
      <c r="H6" s="59">
        <v>5921</v>
      </c>
      <c r="I6" s="59">
        <v>6033</v>
      </c>
      <c r="J6" s="59">
        <v>5976</v>
      </c>
      <c r="K6" s="59">
        <v>5926.64</v>
      </c>
      <c r="L6" s="59">
        <v>5754.8509999999997</v>
      </c>
      <c r="M6" s="59"/>
      <c r="N6" s="59"/>
      <c r="O6" s="59"/>
      <c r="DS6" s="4" t="str">
        <f>VLOOKUP(Cover!$D$15, Country_list!$B$3:$C$44, 2, 0)</f>
        <v>RS</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mergeCells count="6">
    <mergeCell ref="A1:B1"/>
    <mergeCell ref="A2:B2"/>
    <mergeCell ref="A3:B3"/>
    <mergeCell ref="A4:B4"/>
    <mergeCell ref="A5:B5"/>
    <mergeCell ref="A6:B6"/>
  </mergeCells>
  <dataValidations count="1">
    <dataValidation type="decimal" operator="greaterThanOrEqual" allowBlank="1" showInputMessage="1" showErrorMessage="1" sqref="D6:O6" xr:uid="{7C2938BF-E419-49DC-B45F-2299B500456C}">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5857B-29F8-48CA-AF06-B5A5CE37DC63}">
  <sheetPr codeName="Sheet20">
    <pageSetUpPr fitToPage="1"/>
  </sheetPr>
  <dimension ref="A1:ED19"/>
  <sheetViews>
    <sheetView showGridLines="0" zoomScale="90" zoomScaleNormal="90" workbookViewId="0">
      <pane xSplit="3" topLeftCell="D1" activePane="topRight" state="frozen"/>
      <selection activeCell="L23" sqref="L23"/>
      <selection pane="topRight" activeCell="L23" sqref="L23"/>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11</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92"/>
      <c r="C6" s="8" t="s">
        <v>14</v>
      </c>
      <c r="D6" s="55"/>
      <c r="E6" s="56"/>
      <c r="F6" s="56"/>
      <c r="G6" s="56"/>
      <c r="H6" s="56"/>
      <c r="I6" s="56"/>
      <c r="J6" s="56"/>
      <c r="K6" s="56"/>
      <c r="L6" s="56"/>
      <c r="M6" s="56"/>
      <c r="N6" s="56"/>
      <c r="O6" s="56"/>
      <c r="DS6" s="4" t="str">
        <f>VLOOKUP(Cover!$D$15, Country_list!$B$3:$C$44, 2, 0)</f>
        <v>RS</v>
      </c>
      <c r="DT6" s="32" t="s">
        <v>289</v>
      </c>
      <c r="DV6" s="32" t="s">
        <v>307</v>
      </c>
      <c r="EB6" s="32" t="s">
        <v>291</v>
      </c>
      <c r="ED6" s="32" t="s">
        <v>294</v>
      </c>
    </row>
    <row r="7" spans="1:134" ht="24" customHeight="1" x14ac:dyDescent="0.25">
      <c r="A7" s="166"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25">
      <c r="A8" s="166"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25">
      <c r="A9" s="166" t="s">
        <v>156</v>
      </c>
      <c r="B9" s="183"/>
      <c r="C9" s="9" t="s">
        <v>19</v>
      </c>
      <c r="D9" s="57"/>
      <c r="E9" s="54"/>
      <c r="F9" s="54"/>
      <c r="G9" s="54"/>
      <c r="H9" s="54"/>
      <c r="I9" s="54"/>
      <c r="J9" s="54"/>
      <c r="K9" s="54"/>
      <c r="L9" s="54"/>
      <c r="M9" s="54"/>
      <c r="N9" s="54"/>
      <c r="O9" s="54"/>
      <c r="DT9" s="32" t="s">
        <v>279</v>
      </c>
      <c r="EB9" s="32" t="s">
        <v>292</v>
      </c>
      <c r="ED9" s="32" t="s">
        <v>293</v>
      </c>
    </row>
    <row r="10" spans="1:134" ht="24" customHeight="1" x14ac:dyDescent="0.25">
      <c r="A10" s="166" t="s">
        <v>20</v>
      </c>
      <c r="B10" s="183"/>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A3:B3 D18:O18" xr:uid="{D1138232-611F-4774-BD43-8521D063ECA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topLeftCell="A16" zoomScale="90" zoomScaleNormal="90" workbookViewId="0"/>
  </sheetViews>
  <sheetFormatPr baseColWidth="10" defaultColWidth="9.140625" defaultRowHeight="15" x14ac:dyDescent="0.25"/>
  <cols>
    <col min="1" max="1" width="18.7109375" customWidth="1"/>
    <col min="2" max="2" width="123.7109375" customWidth="1"/>
    <col min="3" max="14" width="9.140625" style="91"/>
  </cols>
  <sheetData>
    <row r="1" spans="1:14" ht="15.75" x14ac:dyDescent="0.25">
      <c r="A1" s="97" t="s">
        <v>170</v>
      </c>
    </row>
    <row r="4" spans="1:14" ht="15.75" x14ac:dyDescent="0.25">
      <c r="B4" s="98" t="s">
        <v>149</v>
      </c>
      <c r="C4" s="99" t="b">
        <f>COUNTIF(C7:J46, FALSE) = 0</f>
        <v>1</v>
      </c>
    </row>
    <row r="6" spans="1:14" x14ac:dyDescent="0.25">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25">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25">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25">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25">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25">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25">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25">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25">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25">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25">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25">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25">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25">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25">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25">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25">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25">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25">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25">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25">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25">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25">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25">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25">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25">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25">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25">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25">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25">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25">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25">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25">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25">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25">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25">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25">
      <c r="A42" t="s">
        <v>158</v>
      </c>
      <c r="B42" t="s">
        <v>173</v>
      </c>
      <c r="C42" s="91" t="str">
        <f>IF(Calorific_Values!D9&lt;&gt;0,IF(AND(5000&lt;=Calorific_Values!D9,Calorific_Values!D9&lt;=30000),"TRUE","FALSE"),"")</f>
        <v>TRUE</v>
      </c>
      <c r="D42" s="91" t="str">
        <f>IF(Calorific_Values!E9&lt;&gt;0,IF(AND(5000&lt;=Calorific_Values!E9,Calorific_Values!E9&lt;=30000),"TRUE","FALSE"),"")</f>
        <v>TRUE</v>
      </c>
      <c r="E42" s="91" t="str">
        <f>IF(Calorific_Values!F9&lt;&gt;0,IF(AND(5000&lt;=Calorific_Values!F9,Calorific_Values!F9&lt;=30000),"TRUE","FALSE"),"")</f>
        <v>TRUE</v>
      </c>
      <c r="F42" s="91" t="str">
        <f>IF(Calorific_Values!G9&lt;&gt;0,IF(AND(5000&lt;=Calorific_Values!G9,Calorific_Values!G9&lt;=30000),"TRUE","FALSE"),"")</f>
        <v>TRUE</v>
      </c>
      <c r="G42" s="91" t="str">
        <f>IF(Calorific_Values!H9&lt;&gt;0,IF(AND(5000&lt;=Calorific_Values!H9,Calorific_Values!H9&lt;=30000),"TRUE","FALSE"),"")</f>
        <v>TRUE</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25">
      <c r="A43" t="s">
        <v>158</v>
      </c>
      <c r="B43" t="s">
        <v>174</v>
      </c>
      <c r="C43" s="91" t="str">
        <f>IF(Calorific_Values!D10&lt;&gt;0,IF(AND(40000&lt;=Calorific_Values!D10,Calorific_Values!D10&lt;=50000),"TRUE","FALSE"),"")</f>
        <v>TRUE</v>
      </c>
      <c r="D43" s="91" t="str">
        <f>IF(Calorific_Values!E10&lt;&gt;0,IF(AND(40000&lt;=Calorific_Values!E10,Calorific_Values!E10&lt;=50000),"TRUE","FALSE"),"")</f>
        <v>TRUE</v>
      </c>
      <c r="E43" s="91" t="str">
        <f>IF(Calorific_Values!F10&lt;&gt;0,IF(AND(40000&lt;=Calorific_Values!F10,Calorific_Values!F10&lt;=50000),"TRUE","FALSE"),"")</f>
        <v>TRUE</v>
      </c>
      <c r="F43" s="91" t="str">
        <f>IF(Calorific_Values!G10&lt;&gt;0,IF(AND(40000&lt;=Calorific_Values!G10,Calorific_Values!G10&lt;=50000),"TRUE","FALSE"),"")</f>
        <v>TRUE</v>
      </c>
      <c r="G43" s="91" t="str">
        <f>IF(Calorific_Values!H10&lt;&gt;0,IF(AND(40000&lt;=Calorific_Values!H10,Calorific_Values!H10&lt;=50000),"TRUE","FALSE"),"")</f>
        <v>TRUE</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25">
      <c r="A44" t="s">
        <v>158</v>
      </c>
      <c r="B44" t="s">
        <v>175</v>
      </c>
      <c r="C44" s="91" t="str">
        <f>IF(Calorific_Values!D11&lt;&gt;0,IF(AND(40000&lt;=Calorific_Values!D11,Calorific_Values!D11&lt;=50000),"TRUE","FALSE"),"")</f>
        <v>TRUE</v>
      </c>
      <c r="D44" s="91" t="str">
        <f>IF(Calorific_Values!E11&lt;&gt;0,IF(AND(40000&lt;=Calorific_Values!E11,Calorific_Values!E11&lt;=50000),"TRUE","FALSE"),"")</f>
        <v>TRUE</v>
      </c>
      <c r="E44" s="91" t="str">
        <f>IF(Calorific_Values!F11&lt;&gt;0,IF(AND(40000&lt;=Calorific_Values!F11,Calorific_Values!F11&lt;=50000),"TRUE","FALSE"),"")</f>
        <v>TRUE</v>
      </c>
      <c r="F44" s="91" t="str">
        <f>IF(Calorific_Values!G11&lt;&gt;0,IF(AND(40000&lt;=Calorific_Values!G11,Calorific_Values!G11&lt;=50000),"TRUE","FALSE"),"")</f>
        <v>TRUE</v>
      </c>
      <c r="G44" s="91" t="str">
        <f>IF(Calorific_Values!H11&lt;&gt;0,IF(AND(40000&lt;=Calorific_Values!H11,Calorific_Values!H11&lt;=50000),"TRUE","FALSE"),"")</f>
        <v>TRUE</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25">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25">
      <c r="A46" t="s">
        <v>158</v>
      </c>
      <c r="B46" t="s">
        <v>177</v>
      </c>
      <c r="C46" s="91" t="str">
        <f>IF(Calorific_Values!D13&lt;&gt;0,IF(AND(40000&lt;=Calorific_Values!D13,Calorific_Values!D13&lt;=45000),"TRUE","FALSE"),"")</f>
        <v/>
      </c>
      <c r="D46" s="91" t="str">
        <f>IF(Calorific_Values!E13&lt;&gt;0,IF(AND(40000&lt;=Calorific_Values!E13,Calorific_Values!E13&lt;=45000),"TRUE","FALSE"),"")</f>
        <v/>
      </c>
      <c r="E46" s="91" t="str">
        <f>IF(Calorific_Values!F13&lt;&gt;0,IF(AND(40000&lt;=Calorific_Values!F13,Calorific_Values!F13&lt;=45000),"TRUE","FALSE"),"")</f>
        <v/>
      </c>
      <c r="F46" s="91" t="str">
        <f>IF(Calorific_Values!G13&lt;&gt;0,IF(AND(40000&lt;=Calorific_Values!G13,Calorific_Values!G13&lt;=45000),"TRUE","FALSE"),"")</f>
        <v/>
      </c>
      <c r="G46" s="91" t="str">
        <f>IF(Calorific_Values!H13&lt;&gt;0,IF(AND(40000&lt;=Calorific_Values!H13,Calorific_Values!H13&lt;=45000),"TRUE","FALSE"),"")</f>
        <v/>
      </c>
      <c r="H46" s="91" t="str">
        <f>IF(Calorific_Values!I13&lt;&gt;0,IF(AND(40000&lt;=Calorific_Values!I13,Calorific_Values!I13&lt;=45000),"TRUE","FALSE"),"")</f>
        <v/>
      </c>
      <c r="I46" s="91" t="str">
        <f>IF(Calorific_Values!J13&lt;&gt;0,IF(AND(40000&lt;=Calorific_Values!J13,Calorific_Values!J13&lt;=45000),"TRUE","FALSE"),"")</f>
        <v/>
      </c>
      <c r="J46" s="91" t="str">
        <f>IF(Calorific_Values!K13&lt;&gt;0,IF(AND(40000&lt;=Calorific_Values!K13,Calorific_Values!K13&lt;=45000),"TRUE","FALSE"),"")</f>
        <v/>
      </c>
      <c r="K46" s="91" t="str">
        <f>IF(Calorific_Values!L13&lt;&gt;0,IF(AND(40000&lt;=Calorific_Values!L13,Calorific_Values!L13&lt;=45000),"TRUE","FALSE"),"")</f>
        <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baseColWidth="10" defaultColWidth="9.140625" defaultRowHeight="12.75" x14ac:dyDescent="0.2"/>
  <cols>
    <col min="1" max="1" width="27.140625" style="128" customWidth="1"/>
    <col min="2" max="2" width="27.85546875" style="128" customWidth="1"/>
    <col min="3" max="3" width="9.140625" style="128" customWidth="1"/>
    <col min="4" max="52" width="9.140625" style="128"/>
    <col min="53" max="156" width="9.140625" style="128" customWidth="1"/>
    <col min="157" max="16384" width="9.140625" style="128"/>
  </cols>
  <sheetData>
    <row r="1" spans="1:2" x14ac:dyDescent="0.2">
      <c r="A1" s="127" t="s">
        <v>187</v>
      </c>
      <c r="B1" s="127" t="s">
        <v>188</v>
      </c>
    </row>
    <row r="2" spans="1:2" x14ac:dyDescent="0.2">
      <c r="A2" s="129" t="s">
        <v>158</v>
      </c>
      <c r="B2" s="129" t="s">
        <v>189</v>
      </c>
    </row>
    <row r="3" spans="1:2" x14ac:dyDescent="0.2">
      <c r="A3" s="129" t="s">
        <v>152</v>
      </c>
      <c r="B3" s="129" t="s">
        <v>189</v>
      </c>
    </row>
    <row r="4" spans="1:2" x14ac:dyDescent="0.2">
      <c r="A4" s="129" t="s">
        <v>169</v>
      </c>
      <c r="B4" s="129" t="s">
        <v>189</v>
      </c>
    </row>
    <row r="5" spans="1:2" x14ac:dyDescent="0.2">
      <c r="A5" s="129" t="s">
        <v>153</v>
      </c>
      <c r="B5" s="129" t="s">
        <v>189</v>
      </c>
    </row>
    <row r="6" spans="1:2" x14ac:dyDescent="0.2">
      <c r="A6" s="129" t="s">
        <v>154</v>
      </c>
      <c r="B6" s="129" t="s">
        <v>189</v>
      </c>
    </row>
    <row r="7" spans="1:2" x14ac:dyDescent="0.2">
      <c r="A7" s="129" t="s">
        <v>228</v>
      </c>
      <c r="B7" s="129" t="s">
        <v>189</v>
      </c>
    </row>
    <row r="8" spans="1:2" x14ac:dyDescent="0.2">
      <c r="A8" s="129" t="s">
        <v>155</v>
      </c>
      <c r="B8" s="129" t="s">
        <v>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baseColWidth="10" defaultColWidth="9" defaultRowHeight="12.75" x14ac:dyDescent="0.2"/>
  <cols>
    <col min="1" max="1" width="22" style="128" customWidth="1"/>
    <col min="2" max="3" width="9" style="128" customWidth="1"/>
    <col min="4" max="5" width="9" style="128"/>
    <col min="6" max="6" width="25.28515625" style="128" customWidth="1"/>
    <col min="7" max="52" width="9" style="128"/>
    <col min="53" max="156" width="9" style="128" customWidth="1"/>
    <col min="157" max="16384" width="9" style="128"/>
  </cols>
  <sheetData>
    <row r="1" spans="1:7" ht="15" x14ac:dyDescent="0.25">
      <c r="A1" s="130" t="s">
        <v>190</v>
      </c>
      <c r="B1" s="130" t="s">
        <v>191</v>
      </c>
      <c r="C1" s="130" t="s">
        <v>192</v>
      </c>
      <c r="D1" s="130" t="s">
        <v>193</v>
      </c>
      <c r="E1" s="131"/>
      <c r="F1" s="130" t="s">
        <v>194</v>
      </c>
      <c r="G1" s="136" t="s">
        <v>233</v>
      </c>
    </row>
    <row r="2" spans="1:7" ht="15" x14ac:dyDescent="0.25">
      <c r="A2" s="131" t="s">
        <v>195</v>
      </c>
      <c r="B2" s="131" t="s">
        <v>196</v>
      </c>
      <c r="C2" s="131" t="s">
        <v>197</v>
      </c>
      <c r="D2" s="137" t="s">
        <v>278</v>
      </c>
      <c r="E2" s="131"/>
      <c r="F2" s="130" t="s">
        <v>198</v>
      </c>
      <c r="G2" s="136" t="s">
        <v>234</v>
      </c>
    </row>
    <row r="3" spans="1:7" ht="15" x14ac:dyDescent="0.25">
      <c r="A3" s="131" t="s">
        <v>199</v>
      </c>
      <c r="B3" s="131" t="s">
        <v>196</v>
      </c>
      <c r="C3" s="131" t="s">
        <v>197</v>
      </c>
      <c r="D3" s="131" t="s">
        <v>200</v>
      </c>
      <c r="E3" s="131"/>
      <c r="F3" s="130" t="s">
        <v>201</v>
      </c>
      <c r="G3" s="132" t="s">
        <v>202</v>
      </c>
    </row>
    <row r="4" spans="1:7" ht="15" x14ac:dyDescent="0.25">
      <c r="A4" s="131" t="s">
        <v>203</v>
      </c>
      <c r="B4" s="131" t="s">
        <v>196</v>
      </c>
      <c r="C4" s="137" t="s">
        <v>235</v>
      </c>
      <c r="D4" s="137" t="s">
        <v>236</v>
      </c>
      <c r="E4" s="131"/>
      <c r="F4" s="130"/>
      <c r="G4" s="133"/>
    </row>
    <row r="5" spans="1:7" ht="15" x14ac:dyDescent="0.25">
      <c r="A5" s="131" t="s">
        <v>205</v>
      </c>
      <c r="B5" s="131" t="s">
        <v>196</v>
      </c>
      <c r="C5" s="131" t="s">
        <v>204</v>
      </c>
      <c r="D5" s="131" t="s">
        <v>206</v>
      </c>
      <c r="E5" s="131"/>
      <c r="F5" s="127"/>
      <c r="G5" s="134"/>
    </row>
    <row r="6" spans="1:7" ht="15" x14ac:dyDescent="0.25">
      <c r="A6" s="131" t="s">
        <v>207</v>
      </c>
      <c r="B6" s="131" t="s">
        <v>196</v>
      </c>
      <c r="C6" s="137" t="s">
        <v>197</v>
      </c>
      <c r="D6" s="137" t="s">
        <v>297</v>
      </c>
      <c r="E6" s="131"/>
      <c r="F6" s="130"/>
      <c r="G6" s="133"/>
    </row>
    <row r="7" spans="1:7" ht="15" x14ac:dyDescent="0.25">
      <c r="A7" s="131" t="s">
        <v>208</v>
      </c>
      <c r="B7" s="131" t="s">
        <v>196</v>
      </c>
      <c r="C7" s="137" t="s">
        <v>235</v>
      </c>
      <c r="D7" s="137" t="s">
        <v>299</v>
      </c>
      <c r="E7" s="131"/>
      <c r="F7" s="130"/>
      <c r="G7" s="133"/>
    </row>
    <row r="8" spans="1:7" ht="15" x14ac:dyDescent="0.25">
      <c r="A8" s="131" t="s">
        <v>209</v>
      </c>
      <c r="B8" s="131" t="s">
        <v>196</v>
      </c>
      <c r="C8" s="137" t="s">
        <v>197</v>
      </c>
      <c r="D8" s="137" t="s">
        <v>232</v>
      </c>
      <c r="E8" s="131"/>
      <c r="F8" s="130"/>
      <c r="G8" s="133"/>
    </row>
    <row r="9" spans="1:7" ht="15" x14ac:dyDescent="0.25">
      <c r="A9" s="131" t="s">
        <v>210</v>
      </c>
      <c r="B9" s="131" t="s">
        <v>196</v>
      </c>
      <c r="C9" s="137" t="s">
        <v>197</v>
      </c>
      <c r="D9" s="137" t="s">
        <v>232</v>
      </c>
      <c r="E9" s="131"/>
      <c r="F9" s="130"/>
      <c r="G9" s="133"/>
    </row>
    <row r="10" spans="1:7" ht="15" x14ac:dyDescent="0.25">
      <c r="A10" s="131" t="s">
        <v>211</v>
      </c>
      <c r="B10" s="131" t="s">
        <v>196</v>
      </c>
      <c r="C10" s="137" t="s">
        <v>197</v>
      </c>
      <c r="D10" s="137" t="s">
        <v>232</v>
      </c>
      <c r="E10" s="131"/>
      <c r="F10" s="130"/>
      <c r="G10" s="133"/>
    </row>
    <row r="11" spans="1:7" ht="15" x14ac:dyDescent="0.25">
      <c r="A11" s="131" t="s">
        <v>212</v>
      </c>
      <c r="B11" s="131" t="s">
        <v>196</v>
      </c>
      <c r="C11" s="137" t="s">
        <v>197</v>
      </c>
      <c r="D11" s="137" t="s">
        <v>232</v>
      </c>
      <c r="E11" s="131"/>
      <c r="F11" s="130"/>
      <c r="G11" s="133"/>
    </row>
    <row r="12" spans="1:7" ht="15" x14ac:dyDescent="0.25">
      <c r="A12" s="131" t="s">
        <v>213</v>
      </c>
      <c r="B12" s="131" t="s">
        <v>196</v>
      </c>
      <c r="C12" s="137" t="s">
        <v>197</v>
      </c>
      <c r="D12" s="137" t="s">
        <v>232</v>
      </c>
      <c r="E12" s="131"/>
      <c r="F12" s="130"/>
      <c r="G12" s="133"/>
    </row>
    <row r="13" spans="1:7" ht="15" x14ac:dyDescent="0.25">
      <c r="A13" s="131" t="s">
        <v>214</v>
      </c>
      <c r="B13" s="131" t="s">
        <v>196</v>
      </c>
      <c r="C13" s="131" t="s">
        <v>204</v>
      </c>
      <c r="D13" s="131" t="s">
        <v>215</v>
      </c>
      <c r="E13" s="131"/>
      <c r="F13" s="130"/>
      <c r="G13" s="133"/>
    </row>
    <row r="14" spans="1:7" ht="15" x14ac:dyDescent="0.25">
      <c r="A14" s="131" t="s">
        <v>216</v>
      </c>
      <c r="B14" s="131" t="s">
        <v>196</v>
      </c>
      <c r="C14" s="131" t="s">
        <v>217</v>
      </c>
      <c r="D14" s="131">
        <v>5</v>
      </c>
      <c r="E14" s="131"/>
      <c r="F14" s="130"/>
      <c r="G14" s="133"/>
    </row>
    <row r="15" spans="1:7" ht="15" x14ac:dyDescent="0.25">
      <c r="A15" s="131" t="s">
        <v>218</v>
      </c>
      <c r="B15" s="131" t="s">
        <v>196</v>
      </c>
      <c r="C15" s="137" t="s">
        <v>197</v>
      </c>
      <c r="D15" s="137" t="s">
        <v>232</v>
      </c>
      <c r="E15" s="131"/>
      <c r="F15" s="130"/>
      <c r="G15" s="133"/>
    </row>
    <row r="16" spans="1:7" ht="15" x14ac:dyDescent="0.25">
      <c r="A16" s="131" t="s">
        <v>219</v>
      </c>
      <c r="B16" s="131" t="s">
        <v>220</v>
      </c>
      <c r="C16" s="131" t="s">
        <v>204</v>
      </c>
      <c r="D16" s="131" t="s">
        <v>221</v>
      </c>
      <c r="E16" s="131"/>
      <c r="F16" s="130"/>
      <c r="G16" s="133"/>
    </row>
    <row r="17" spans="1:7" ht="15" x14ac:dyDescent="0.25">
      <c r="A17" s="131" t="s">
        <v>222</v>
      </c>
      <c r="B17" s="131" t="s">
        <v>220</v>
      </c>
      <c r="C17" s="131" t="s">
        <v>223</v>
      </c>
      <c r="D17" s="131"/>
      <c r="E17" s="131"/>
      <c r="F17" s="130"/>
      <c r="G17" s="133"/>
    </row>
    <row r="18" spans="1:7" ht="15" x14ac:dyDescent="0.25">
      <c r="A18" s="131" t="s">
        <v>224</v>
      </c>
      <c r="B18" s="131" t="s">
        <v>220</v>
      </c>
      <c r="C18" s="131" t="s">
        <v>223</v>
      </c>
      <c r="D18" s="131"/>
      <c r="E18" s="131"/>
      <c r="F18" s="130"/>
      <c r="G18" s="133"/>
    </row>
    <row r="19" spans="1:7" ht="15" x14ac:dyDescent="0.25">
      <c r="A19" s="131" t="s">
        <v>225</v>
      </c>
      <c r="B19" s="131" t="s">
        <v>220</v>
      </c>
      <c r="C19" s="131" t="s">
        <v>223</v>
      </c>
      <c r="D19" s="131"/>
      <c r="E19" s="131"/>
      <c r="F19" s="130"/>
      <c r="G19" s="133"/>
    </row>
    <row r="20" spans="1:7" ht="15" x14ac:dyDescent="0.25">
      <c r="A20" s="131" t="s">
        <v>226</v>
      </c>
      <c r="B20" s="131" t="s">
        <v>220</v>
      </c>
      <c r="C20" s="131" t="s">
        <v>223</v>
      </c>
      <c r="D20" s="131"/>
      <c r="E20" s="131"/>
      <c r="F20" s="130"/>
      <c r="G20" s="133"/>
    </row>
    <row r="21" spans="1:7" ht="15" x14ac:dyDescent="0.25">
      <c r="A21" s="131" t="s">
        <v>227</v>
      </c>
      <c r="B21" s="131" t="s">
        <v>220</v>
      </c>
      <c r="C21" s="131" t="s">
        <v>223</v>
      </c>
      <c r="D21" s="131"/>
      <c r="E21" s="131"/>
      <c r="F21" s="130"/>
      <c r="G21" s="133"/>
    </row>
    <row r="22" spans="1:7" x14ac:dyDescent="0.2">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22</vt:i4>
      </vt:variant>
      <vt:variant>
        <vt:lpstr>Benannte Bereiche</vt:lpstr>
      </vt:variant>
      <vt:variant>
        <vt:i4>20</vt:i4>
      </vt:variant>
    </vt:vector>
  </HeadingPairs>
  <TitlesOfParts>
    <vt:vector size="42"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1a_SpaceHeating (2)</vt:lpstr>
      <vt:lpstr>1b_SpaceCooling (2)</vt:lpstr>
      <vt:lpstr>1c_WaterHeating (2)</vt:lpstr>
      <vt:lpstr>1d_Cooking (2)</vt:lpstr>
      <vt:lpstr>1e_LightingAndAppliances (2)</vt:lpstr>
      <vt:lpstr>1f_OtherEndUses (2)</vt:lpstr>
      <vt:lpstr>Validation</vt:lpstr>
      <vt:lpstr>Parameter_mapping</vt:lpstr>
      <vt:lpstr>Parameters</vt:lpstr>
      <vt:lpstr>'1a_SpaceHeating'!Druckbereich</vt:lpstr>
      <vt:lpstr>'1a_SpaceHeating (2)'!Druckbereich</vt:lpstr>
      <vt:lpstr>'1b_SpaceCooling'!Druckbereich</vt:lpstr>
      <vt:lpstr>'1b_SpaceCooling (2)'!Druckbereich</vt:lpstr>
      <vt:lpstr>'1c_WaterHeating'!Druckbereich</vt:lpstr>
      <vt:lpstr>'1c_WaterHeating (2)'!Druckbereich</vt:lpstr>
      <vt:lpstr>'1d_Cooking'!Druckbereich</vt:lpstr>
      <vt:lpstr>'1d_Cooking (2)'!Druckbereich</vt:lpstr>
      <vt:lpstr>'1e_LightingAndAppliances'!Druckbereich</vt:lpstr>
      <vt:lpstr>'1e_LightingAndAppliances (2)'!Druckbereich</vt:lpstr>
      <vt:lpstr>'1f_OtherEndUses'!Druckbereich</vt:lpstr>
      <vt:lpstr>'1f_OtherEndUses (2)'!Druckbereich</vt:lpstr>
      <vt:lpstr>Calorific_Values!Druckbereich</vt:lpstr>
      <vt:lpstr>Cover!Druckbereich</vt:lpstr>
      <vt:lpstr>Definitions!Druckbereich</vt:lpstr>
      <vt:lpstr>Remarks!Druckbereich</vt:lpstr>
      <vt:lpstr>Table1_Totals!Druckbereich</vt:lpstr>
      <vt:lpstr>Table2_Energy_Totals!Druckbereich</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Kerekes, Andelka</cp:lastModifiedBy>
  <cp:lastPrinted>2019-10-23T08:08:08Z</cp:lastPrinted>
  <dcterms:created xsi:type="dcterms:W3CDTF">2014-09-17T09:30:01Z</dcterms:created>
  <dcterms:modified xsi:type="dcterms:W3CDTF">2023-09-20T12:41:39Z</dcterms:modified>
  <cp:category>Annual questionnaires</cp:category>
</cp:coreProperties>
</file>