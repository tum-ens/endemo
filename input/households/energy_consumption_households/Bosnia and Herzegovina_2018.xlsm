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0" yWindow="0" windowWidth="23010" windowHeight="9165" tabRatio="872"/>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J17" i="5"/>
  <c r="E17" i="5"/>
  <c r="G17" i="5"/>
  <c r="H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3" i="5"/>
  <c r="K12" i="5"/>
  <c r="K11"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E8" i="5"/>
  <c r="G13" i="5"/>
  <c r="J13" i="5"/>
  <c r="J7" i="5"/>
  <c r="H16" i="5"/>
  <c r="G8" i="5"/>
  <c r="J11" i="5"/>
  <c r="G18" i="5"/>
  <c r="H12" i="5"/>
  <c r="G14" i="5"/>
  <c r="H13" i="5"/>
  <c r="E15" i="5"/>
  <c r="J14" i="5"/>
  <c r="E13" i="5"/>
  <c r="J18" i="5"/>
  <c r="E16" i="5"/>
  <c r="J16" i="5"/>
  <c r="H15" i="5"/>
  <c r="E14" i="5"/>
  <c r="J9" i="5"/>
  <c r="H6" i="5"/>
  <c r="I6" i="5"/>
  <c r="J12" i="5"/>
  <c r="G15" i="5"/>
  <c r="E6" i="5"/>
  <c r="H9" i="5"/>
  <c r="F6" i="5"/>
  <c r="J6" i="5"/>
  <c r="H14" i="5"/>
  <c r="H18" i="5"/>
  <c r="G9" i="5"/>
  <c r="H10" i="5"/>
  <c r="E12" i="5"/>
  <c r="E7" i="5"/>
  <c r="H7" i="5"/>
  <c r="J10" i="5"/>
  <c r="E11" i="5"/>
  <c r="G10" i="5"/>
  <c r="E9" i="5"/>
  <c r="H8" i="5"/>
  <c r="J15" i="5"/>
  <c r="E18" i="5"/>
  <c r="K9" i="5"/>
  <c r="G11" i="5"/>
  <c r="G12" i="5"/>
  <c r="G6" i="5"/>
  <c r="G7" i="5"/>
  <c r="H11" i="5"/>
  <c r="G16" i="5"/>
  <c r="J8"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<sst xmlns="http://schemas.openxmlformats.org/spreadsheetml/2006/main" count="952" uniqueCount="315">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</sst>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17">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Border="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4"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9" fillId="12" borderId="27" xfId="11" applyFill="1" applyBorder="1"/>
    <xf numFmtId="0" fontId="49" fillId="0" borderId="27" xfId="11" applyFill="1" applyBorder="1"/>
    <xf numFmtId="0" fontId="49" fillId="0" borderId="27" xfId="11" applyFont="1" applyFill="1" applyBorder="1"/>
    <xf numFmtId="0" fontId="49" fillId="12" borderId="27" xfId="11" applyFont="1" applyFill="1" applyBorder="1"/>
    <xf numFmtId="49" fontId="49" fillId="0" borderId="27" xfId="11" applyNumberFormat="1" applyFont="1" applyFill="1" applyBorder="1" applyAlignment="1">
      <alignment horizontal="center" vertical="center"/>
    </xf>
    <xf numFmtId="0" fontId="49"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cell r="AB19"/>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cell r="AB24"/>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zoomScale="90" zoomScaleNormal="90" workbookViewId="0">
      <selection activeCell="C21" sqref="C21:D21"/>
    </sheetView>
  </sheetViews>
  <sheetFormatPr defaultColWidth="9.140625"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79</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thickBot="1" x14ac:dyDescent="0.3">
      <c r="A20" s="23"/>
      <c r="B20" s="27"/>
      <c r="C20" s="24"/>
      <c r="D20" s="24"/>
      <c r="E20" s="23"/>
    </row>
    <row r="21" spans="1:5" ht="21" customHeight="1" thickBot="1" x14ac:dyDescent="0.3">
      <c r="A21" s="23"/>
      <c r="B21" s="27" t="s">
        <v>35</v>
      </c>
      <c r="C21" s="161"/>
      <c r="D21" s="160"/>
      <c r="E21" s="23"/>
    </row>
    <row r="22" spans="1:5" ht="15" customHeight="1" thickBot="1" x14ac:dyDescent="0.3">
      <c r="A22" s="23"/>
      <c r="B22" s="27"/>
      <c r="C22" s="24"/>
      <c r="D22" s="24"/>
      <c r="E22" s="23"/>
    </row>
    <row r="23" spans="1:5" ht="21" customHeight="1" thickBot="1" x14ac:dyDescent="0.3">
      <c r="A23" s="23"/>
      <c r="B23" s="27" t="s">
        <v>36</v>
      </c>
      <c r="C23" s="159"/>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START">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zoomScale="90" zoomScaleNormal="90" workbookViewId="0"/>
  </sheetViews>
  <sheetFormatPr defaultColWidth="9.140625"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2" t="s">
        <v>145</v>
      </c>
      <c r="C2" s="163"/>
    </row>
    <row r="3" spans="2:3" ht="9.75" customHeight="1" x14ac:dyDescent="0.25">
      <c r="B3" s="64"/>
      <c r="C3" s="65"/>
    </row>
    <row r="4" spans="2:3" ht="36" customHeight="1" x14ac:dyDescent="0.25">
      <c r="B4" s="164" t="s">
        <v>82</v>
      </c>
      <c r="C4" s="66" t="s">
        <v>83</v>
      </c>
    </row>
    <row r="5" spans="2:3" ht="36" customHeight="1" x14ac:dyDescent="0.25">
      <c r="B5" s="165"/>
      <c r="C5" s="67" t="s">
        <v>134</v>
      </c>
    </row>
    <row r="6" spans="2:3" ht="36" customHeight="1" x14ac:dyDescent="0.25">
      <c r="B6" s="165"/>
      <c r="C6" s="67" t="s">
        <v>146</v>
      </c>
    </row>
    <row r="7" spans="2:3" ht="45" customHeight="1" x14ac:dyDescent="0.25">
      <c r="B7" s="166"/>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7" t="s">
        <v>29</v>
      </c>
      <c r="C15" s="67" t="s">
        <v>312</v>
      </c>
    </row>
    <row r="16" spans="2:3" ht="63" customHeight="1" x14ac:dyDescent="0.25">
      <c r="B16" s="168"/>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9" t="s">
        <v>115</v>
      </c>
      <c r="C31" s="67" t="s">
        <v>311</v>
      </c>
    </row>
    <row r="32" spans="2:3" ht="105" customHeight="1" x14ac:dyDescent="0.25">
      <c r="B32" s="170"/>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9" t="s">
        <v>117</v>
      </c>
      <c r="C41" s="67" t="s">
        <v>127</v>
      </c>
    </row>
    <row r="42" spans="1:3" ht="59.25" customHeight="1" x14ac:dyDescent="0.25">
      <c r="B42" s="170"/>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L12" sqref="L12"/>
    </sheetView>
  </sheetViews>
  <sheetFormatPr defaultColWidth="9.140625"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6" t="s">
        <v>0</v>
      </c>
      <c r="B1" s="177"/>
      <c r="C1" s="20"/>
      <c r="D1" s="1"/>
      <c r="E1" s="2"/>
      <c r="F1" s="2"/>
      <c r="G1" s="2"/>
      <c r="H1" s="2"/>
      <c r="I1" s="2"/>
      <c r="J1" s="2"/>
      <c r="K1" s="2"/>
      <c r="L1" s="2"/>
      <c r="M1" s="2"/>
      <c r="N1" s="2"/>
      <c r="O1" s="2"/>
    </row>
    <row r="2" spans="1:134" ht="18" customHeight="1" x14ac:dyDescent="0.25">
      <c r="A2" s="178"/>
      <c r="B2" s="179"/>
      <c r="C2" s="1"/>
      <c r="D2" s="1"/>
      <c r="E2" s="5"/>
      <c r="F2" s="3"/>
      <c r="G2" s="3"/>
      <c r="H2" s="3"/>
      <c r="I2" s="3"/>
      <c r="J2" s="3"/>
      <c r="K2" s="3"/>
      <c r="L2" s="3"/>
      <c r="M2" s="3"/>
      <c r="N2" s="3"/>
      <c r="O2" s="3"/>
    </row>
    <row r="3" spans="1:134" ht="18" customHeight="1" x14ac:dyDescent="0.3">
      <c r="A3" s="180" t="s">
        <v>12</v>
      </c>
      <c r="B3" s="181"/>
      <c r="C3" s="1"/>
      <c r="D3" s="1"/>
      <c r="E3" s="5"/>
      <c r="F3" s="3"/>
      <c r="G3" s="3"/>
      <c r="H3" s="3"/>
      <c r="I3" s="3"/>
      <c r="J3" s="3"/>
      <c r="K3" s="3"/>
      <c r="L3" s="3"/>
      <c r="M3" s="3"/>
      <c r="N3" s="3"/>
      <c r="O3" s="3"/>
      <c r="DS3" s="4" t="s">
        <v>229</v>
      </c>
    </row>
    <row r="4" spans="1:134" ht="18" customHeight="1" x14ac:dyDescent="0.25">
      <c r="A4" s="182"/>
      <c r="B4" s="179"/>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83" t="s">
        <v>3</v>
      </c>
      <c r="B5" s="184"/>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72"/>
      <c r="C6" s="47"/>
      <c r="D6" s="48"/>
      <c r="E6" s="49"/>
      <c r="F6" s="49"/>
      <c r="G6" s="49"/>
      <c r="H6" s="49"/>
      <c r="I6" s="49"/>
      <c r="J6" s="49"/>
      <c r="K6" s="49"/>
      <c r="L6" s="49"/>
      <c r="M6" s="49"/>
      <c r="N6" s="49"/>
      <c r="O6" s="49"/>
      <c r="DS6" s="4" t="str">
        <f>VLOOKUP(Cover!$D$15, Country_list!$B$3:$C$44, 2, 0)</f>
        <v>RS</v>
      </c>
      <c r="DV6" s="4" t="s">
        <v>298</v>
      </c>
    </row>
    <row r="7" spans="1:134" ht="24" customHeight="1" x14ac:dyDescent="0.2">
      <c r="A7" s="174" t="s">
        <v>15</v>
      </c>
      <c r="B7" s="175"/>
      <c r="C7" s="45"/>
      <c r="D7" s="15"/>
      <c r="E7" s="46"/>
      <c r="F7" s="46"/>
      <c r="G7" s="46"/>
      <c r="H7" s="46"/>
      <c r="I7" s="46"/>
      <c r="J7" s="46"/>
      <c r="K7" s="46"/>
      <c r="L7" s="46"/>
      <c r="M7" s="46"/>
      <c r="N7" s="46"/>
      <c r="O7" s="46"/>
    </row>
    <row r="8" spans="1:134" ht="24" customHeight="1" x14ac:dyDescent="0.2">
      <c r="A8" s="174" t="s">
        <v>29</v>
      </c>
      <c r="B8" s="175"/>
      <c r="C8" s="45"/>
      <c r="D8" s="15"/>
      <c r="E8" s="46"/>
      <c r="F8" s="46"/>
      <c r="G8" s="46"/>
      <c r="H8" s="46"/>
      <c r="I8" s="46"/>
      <c r="J8" s="46"/>
      <c r="K8" s="46"/>
      <c r="L8" s="46"/>
      <c r="M8" s="46"/>
      <c r="N8" s="46"/>
      <c r="O8" s="46"/>
    </row>
    <row r="9" spans="1:134" ht="24" customHeight="1" x14ac:dyDescent="0.2">
      <c r="A9" s="174" t="s">
        <v>156</v>
      </c>
      <c r="B9" s="175"/>
      <c r="C9" s="9" t="s">
        <v>132</v>
      </c>
      <c r="D9" s="93">
        <v>18352</v>
      </c>
      <c r="E9" s="94">
        <v>20749</v>
      </c>
      <c r="F9" s="94">
        <v>18503</v>
      </c>
      <c r="G9" s="94">
        <v>17258</v>
      </c>
      <c r="H9" s="94">
        <v>14028</v>
      </c>
      <c r="I9" s="94">
        <v>18571</v>
      </c>
      <c r="J9" s="94">
        <v>18199</v>
      </c>
      <c r="K9" s="94">
        <v>14261</v>
      </c>
      <c r="L9" s="94">
        <v>15967</v>
      </c>
      <c r="M9" s="94"/>
      <c r="N9" s="94"/>
      <c r="O9" s="94"/>
      <c r="DT9" s="4" t="s">
        <v>279</v>
      </c>
      <c r="EB9" s="4" t="s">
        <v>300</v>
      </c>
      <c r="ED9" s="4" t="s">
        <v>301</v>
      </c>
    </row>
    <row r="10" spans="1:134" ht="24" customHeight="1" x14ac:dyDescent="0.2">
      <c r="A10" s="174" t="s">
        <v>20</v>
      </c>
      <c r="B10" s="175"/>
      <c r="C10" s="9" t="s">
        <v>132</v>
      </c>
      <c r="D10" s="93">
        <v>47264</v>
      </c>
      <c r="E10" s="94">
        <v>46253</v>
      </c>
      <c r="F10" s="94">
        <v>45788</v>
      </c>
      <c r="G10" s="94">
        <v>47903</v>
      </c>
      <c r="H10" s="94">
        <v>46853</v>
      </c>
      <c r="I10" s="94">
        <v>47300</v>
      </c>
      <c r="J10" s="94">
        <v>47306</v>
      </c>
      <c r="K10" s="94">
        <v>47311</v>
      </c>
      <c r="L10" s="94">
        <v>47311</v>
      </c>
      <c r="M10" s="94"/>
      <c r="N10" s="94"/>
      <c r="O10" s="94"/>
      <c r="DT10" s="4" t="s">
        <v>280</v>
      </c>
      <c r="EB10" s="4" t="s">
        <v>300</v>
      </c>
      <c r="ED10" s="4" t="s">
        <v>301</v>
      </c>
    </row>
    <row r="11" spans="1:134" s="13" customFormat="1" ht="15" customHeight="1" x14ac:dyDescent="0.2">
      <c r="A11" s="173" t="s">
        <v>18</v>
      </c>
      <c r="B11" s="110" t="s">
        <v>21</v>
      </c>
      <c r="C11" s="111" t="s">
        <v>132</v>
      </c>
      <c r="D11" s="115">
        <v>47313</v>
      </c>
      <c r="E11" s="115">
        <v>47306</v>
      </c>
      <c r="F11" s="116">
        <v>47301</v>
      </c>
      <c r="G11" s="116">
        <v>47312</v>
      </c>
      <c r="H11" s="116">
        <v>47318</v>
      </c>
      <c r="I11" s="116">
        <v>47300</v>
      </c>
      <c r="J11" s="116">
        <v>47306</v>
      </c>
      <c r="K11" s="116">
        <v>47311</v>
      </c>
      <c r="L11" s="116">
        <v>47311</v>
      </c>
      <c r="M11" s="116"/>
      <c r="N11" s="116"/>
      <c r="O11" s="116"/>
      <c r="DT11" s="13" t="s">
        <v>281</v>
      </c>
      <c r="EB11" s="13" t="s">
        <v>300</v>
      </c>
      <c r="ED11" s="13" t="s">
        <v>301</v>
      </c>
    </row>
    <row r="12" spans="1:134" s="13" customFormat="1" ht="15" customHeight="1" x14ac:dyDescent="0.2">
      <c r="A12" s="173"/>
      <c r="B12" s="110" t="s">
        <v>22</v>
      </c>
      <c r="C12" s="111" t="s">
        <v>132</v>
      </c>
      <c r="D12" s="115"/>
      <c r="E12" s="115"/>
      <c r="F12" s="115"/>
      <c r="G12" s="115"/>
      <c r="H12" s="115"/>
      <c r="I12" s="115"/>
      <c r="J12" s="115"/>
      <c r="K12" s="115"/>
      <c r="L12" s="115"/>
      <c r="M12" s="115"/>
      <c r="N12" s="115"/>
      <c r="O12" s="115"/>
      <c r="DT12" s="13" t="s">
        <v>282</v>
      </c>
      <c r="EB12" s="13" t="s">
        <v>300</v>
      </c>
      <c r="ED12" s="13" t="s">
        <v>301</v>
      </c>
    </row>
    <row r="13" spans="1:134" s="13" customFormat="1" ht="15" customHeight="1" x14ac:dyDescent="0.2">
      <c r="A13" s="173"/>
      <c r="B13" s="110" t="s">
        <v>23</v>
      </c>
      <c r="C13" s="111" t="s">
        <v>132</v>
      </c>
      <c r="D13" s="115"/>
      <c r="E13" s="115"/>
      <c r="F13" s="115"/>
      <c r="G13" s="115"/>
      <c r="H13" s="115"/>
      <c r="I13" s="115"/>
      <c r="J13" s="115"/>
      <c r="K13" s="115"/>
      <c r="L13" s="115"/>
      <c r="M13" s="115"/>
      <c r="N13" s="115"/>
      <c r="O13" s="115"/>
      <c r="DT13" s="13" t="s">
        <v>283</v>
      </c>
      <c r="EB13" s="13" t="s">
        <v>300</v>
      </c>
      <c r="ED13" s="13" t="s">
        <v>301</v>
      </c>
    </row>
    <row r="14" spans="1:134" ht="24" customHeight="1" x14ac:dyDescent="0.2">
      <c r="A14" s="174" t="s">
        <v>24</v>
      </c>
      <c r="B14" s="175"/>
      <c r="C14" s="45"/>
      <c r="D14" s="15"/>
      <c r="E14" s="46"/>
      <c r="F14" s="46"/>
      <c r="G14" s="46"/>
      <c r="H14" s="46"/>
      <c r="I14" s="46"/>
      <c r="J14" s="46"/>
      <c r="K14" s="46"/>
      <c r="L14" s="46"/>
      <c r="M14" s="46"/>
      <c r="N14" s="46"/>
      <c r="O14" s="46"/>
    </row>
    <row r="15" spans="1:134" s="13" customFormat="1" ht="15" customHeight="1" x14ac:dyDescent="0.2">
      <c r="A15" s="173" t="s">
        <v>18</v>
      </c>
      <c r="B15" s="110" t="s">
        <v>26</v>
      </c>
      <c r="C15" s="14"/>
      <c r="D15" s="15"/>
      <c r="E15" s="12"/>
      <c r="F15" s="12"/>
      <c r="G15" s="12"/>
      <c r="H15" s="12"/>
      <c r="I15" s="12"/>
      <c r="J15" s="12"/>
      <c r="K15" s="12"/>
      <c r="L15" s="12"/>
      <c r="M15" s="12"/>
      <c r="N15" s="12"/>
      <c r="O15" s="12"/>
    </row>
    <row r="16" spans="1:134" s="13" customFormat="1" ht="15" customHeight="1" x14ac:dyDescent="0.2">
      <c r="A16" s="173"/>
      <c r="B16" s="110" t="s">
        <v>27</v>
      </c>
      <c r="C16" s="14"/>
      <c r="D16" s="15"/>
      <c r="E16" s="12"/>
      <c r="F16" s="12"/>
      <c r="G16" s="12"/>
      <c r="H16" s="12"/>
      <c r="I16" s="12"/>
      <c r="J16" s="12"/>
      <c r="K16" s="12"/>
      <c r="L16" s="12"/>
      <c r="M16" s="12"/>
      <c r="N16" s="12"/>
      <c r="O16" s="12"/>
    </row>
    <row r="17" spans="1:15" s="13" customFormat="1" ht="15" customHeight="1" x14ac:dyDescent="0.2">
      <c r="A17" s="173"/>
      <c r="B17" s="110" t="s">
        <v>28</v>
      </c>
      <c r="C17" s="14"/>
      <c r="D17" s="15"/>
      <c r="E17" s="12"/>
      <c r="F17" s="12"/>
      <c r="G17" s="12"/>
      <c r="H17" s="12"/>
      <c r="I17" s="12"/>
      <c r="J17" s="12"/>
      <c r="K17" s="12"/>
      <c r="L17" s="12"/>
      <c r="M17" s="12"/>
      <c r="N17" s="12"/>
      <c r="O17" s="12"/>
    </row>
    <row r="18" spans="1:15" s="13" customFormat="1" ht="15" customHeight="1" x14ac:dyDescent="0.2">
      <c r="A18" s="173"/>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L20" sqref="L20"/>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6" t="s">
        <v>0</v>
      </c>
      <c r="B1" s="187"/>
      <c r="C1" s="31"/>
      <c r="D1" s="1"/>
      <c r="E1" s="2"/>
      <c r="F1" s="2"/>
      <c r="G1" s="2"/>
      <c r="H1" s="2"/>
      <c r="I1" s="2"/>
      <c r="J1" s="2"/>
      <c r="K1" s="3"/>
    </row>
    <row r="2" spans="1:11" ht="18" customHeight="1" x14ac:dyDescent="0.25">
      <c r="A2" s="188" t="s">
        <v>1</v>
      </c>
      <c r="B2" s="189"/>
      <c r="C2" s="1" t="str">
        <f>Cover!D15</f>
        <v>Serbia</v>
      </c>
      <c r="D2" s="1"/>
      <c r="E2" s="5"/>
      <c r="F2" s="3"/>
      <c r="G2" s="3"/>
      <c r="H2" s="3"/>
      <c r="I2" s="3"/>
      <c r="J2" s="3"/>
      <c r="K2" s="3"/>
    </row>
    <row r="3" spans="1:11" ht="18" customHeight="1" x14ac:dyDescent="0.25">
      <c r="A3" s="188" t="s">
        <v>2</v>
      </c>
      <c r="B3" s="190"/>
      <c r="C3" s="114">
        <v>2018</v>
      </c>
      <c r="D3" s="1"/>
      <c r="E3" s="5"/>
      <c r="F3" s="3"/>
      <c r="G3" s="3"/>
      <c r="H3" s="3"/>
      <c r="I3" s="3"/>
      <c r="J3" s="3"/>
      <c r="K3" s="3"/>
    </row>
    <row r="4" spans="1:11" ht="18" customHeight="1" x14ac:dyDescent="0.25">
      <c r="A4" s="191"/>
      <c r="B4" s="192"/>
      <c r="C4" s="31"/>
      <c r="D4" s="1"/>
      <c r="E4" s="5"/>
      <c r="F4" s="3"/>
      <c r="G4" s="3"/>
      <c r="H4" s="3"/>
      <c r="I4" s="3"/>
      <c r="J4" s="3"/>
      <c r="K4" s="3"/>
    </row>
    <row r="5" spans="1:11" ht="37.5" customHeight="1" x14ac:dyDescent="0.25">
      <c r="A5" s="183" t="s">
        <v>3</v>
      </c>
      <c r="B5" s="193"/>
      <c r="C5" s="6" t="s">
        <v>4</v>
      </c>
      <c r="D5" s="7" t="s">
        <v>5</v>
      </c>
      <c r="E5" s="6" t="s">
        <v>6</v>
      </c>
      <c r="F5" s="6" t="s">
        <v>7</v>
      </c>
      <c r="G5" s="6" t="s">
        <v>8</v>
      </c>
      <c r="H5" s="6" t="s">
        <v>9</v>
      </c>
      <c r="I5" s="6" t="s">
        <v>10</v>
      </c>
      <c r="J5" s="6" t="s">
        <v>11</v>
      </c>
      <c r="K5" s="7" t="s">
        <v>12</v>
      </c>
    </row>
    <row r="6" spans="1:11" ht="24" customHeight="1" x14ac:dyDescent="0.25">
      <c r="A6" s="185" t="s">
        <v>13</v>
      </c>
      <c r="B6" s="186"/>
      <c r="C6" s="108" t="s">
        <v>14</v>
      </c>
      <c r="D6" s="120">
        <f ca="1">SUM(E6:J6)</f>
        <v>13414.571</v>
      </c>
      <c r="E6" s="121">
        <f ca="1">INDIRECT(ADDRESS(ROW(K6),$C$3 -2010 + 4,,,"1a_SpaceHeating"))</f>
        <v>1636.577</v>
      </c>
      <c r="F6" s="121">
        <f ca="1">INDIRECT(ADDRESS(ROW(K6),$C$3-2010+4,,,"1b_SpaceCooling"))</f>
        <v>160.97499999999999</v>
      </c>
      <c r="G6" s="121">
        <f ca="1">INDIRECT(ADDRESS(ROW(K6),$C$3-2010+4,,,"1c_WaterHeating"))</f>
        <v>4413.3940000000002</v>
      </c>
      <c r="H6" s="121">
        <f ca="1">INDIRECT(ADDRESS(ROW(K6),$C$3-2010+4,,,"1d_Cooking"))</f>
        <v>1448.7739999999999</v>
      </c>
      <c r="I6" s="121">
        <f ca="1">INDIRECT(ADDRESS(ROW(K6),$C$3-2010+4,,,"1e_LightingAndAppliances"))</f>
        <v>5754.8509999999997</v>
      </c>
      <c r="J6" s="121">
        <f ca="1">INDIRECT(ADDRESS(ROW(K6),$C$3-2010+4,,,"1f_OtherEndUses"))</f>
        <v>0</v>
      </c>
      <c r="K6" s="122"/>
    </row>
    <row r="7" spans="1:11" ht="24" customHeight="1" x14ac:dyDescent="0.25">
      <c r="A7" s="195" t="s">
        <v>15</v>
      </c>
      <c r="B7" s="196"/>
      <c r="C7" s="109" t="s">
        <v>16</v>
      </c>
      <c r="D7" s="123">
        <f t="shared" ref="D7:D16" ca="1" si="0">SUM(E7:J7)</f>
        <v>16932.562999999998</v>
      </c>
      <c r="E7" s="124">
        <f t="shared" ref="E7:E16" ca="1" si="1">INDIRECT(ADDRESS(ROW(K7),$C$3 -2010 + 4,,,"1a_SpaceHeating"))</f>
        <v>16492.315999999999</v>
      </c>
      <c r="F7" s="125"/>
      <c r="G7" s="124">
        <f t="shared" ref="G7:G16" ca="1" si="2">INDIRECT(ADDRESS(ROW(K7),$C$3-2010+4,,,"1c_WaterHeating"))</f>
        <v>440.24700000000001</v>
      </c>
      <c r="H7" s="124">
        <f t="shared" ref="H7:H16" ca="1" si="3">INDIRECT(ADDRESS(ROW(K7),$C$3-2010+4,,,"1d_Cooking"))</f>
        <v>0</v>
      </c>
      <c r="I7" s="125"/>
      <c r="J7" s="124">
        <f t="shared" ref="J7:J17" ca="1" si="4">INDIRECT(ADDRESS(ROW(K7),$C$3-2010+4,,,"1f_OtherEndUses"))</f>
        <v>0</v>
      </c>
      <c r="K7" s="125"/>
    </row>
    <row r="8" spans="1:11" ht="24" customHeight="1" x14ac:dyDescent="0.25">
      <c r="A8" s="195" t="s">
        <v>29</v>
      </c>
      <c r="B8" s="196"/>
      <c r="C8" s="109" t="s">
        <v>17</v>
      </c>
      <c r="D8" s="123">
        <f t="shared" ca="1" si="0"/>
        <v>9037.5810000000001</v>
      </c>
      <c r="E8" s="124">
        <f t="shared" ca="1" si="1"/>
        <v>8395.9120000000003</v>
      </c>
      <c r="F8" s="125"/>
      <c r="G8" s="124">
        <f t="shared" ca="1" si="2"/>
        <v>397.654</v>
      </c>
      <c r="H8" s="124">
        <f t="shared" ca="1" si="3"/>
        <v>244.01499999999999</v>
      </c>
      <c r="I8" s="125"/>
      <c r="J8" s="124">
        <f t="shared" ca="1" si="4"/>
        <v>0</v>
      </c>
      <c r="K8" s="125"/>
    </row>
    <row r="9" spans="1:11" ht="24" customHeight="1" x14ac:dyDescent="0.25">
      <c r="A9" s="195" t="s">
        <v>156</v>
      </c>
      <c r="B9" s="196"/>
      <c r="C9" s="109" t="s">
        <v>19</v>
      </c>
      <c r="D9" s="123">
        <f t="shared" ca="1" si="0"/>
        <v>631.29</v>
      </c>
      <c r="E9" s="124">
        <f t="shared" ca="1" si="1"/>
        <v>618.03300000000002</v>
      </c>
      <c r="F9" s="125"/>
      <c r="G9" s="124">
        <f t="shared" ca="1" si="2"/>
        <v>5.05</v>
      </c>
      <c r="H9" s="124">
        <f t="shared" ca="1" si="3"/>
        <v>8.2070000000000007</v>
      </c>
      <c r="I9" s="125"/>
      <c r="J9" s="124">
        <f t="shared" ca="1" si="4"/>
        <v>0</v>
      </c>
      <c r="K9" s="126">
        <f ca="1">INDIRECT(ADDRESS(ROW(K9),$C$3-2010+4,,,"Calorific_Values"))</f>
        <v>15967</v>
      </c>
    </row>
    <row r="10" spans="1:11" ht="24" customHeight="1" x14ac:dyDescent="0.25">
      <c r="A10" s="195" t="s">
        <v>42</v>
      </c>
      <c r="B10" s="196"/>
      <c r="C10" s="109" t="s">
        <v>19</v>
      </c>
      <c r="D10" s="123">
        <f t="shared" ca="1" si="0"/>
        <v>33.375</v>
      </c>
      <c r="E10" s="124">
        <f t="shared" ca="1" si="1"/>
        <v>25.832000000000001</v>
      </c>
      <c r="F10" s="125"/>
      <c r="G10" s="124">
        <f t="shared" ca="1" si="2"/>
        <v>0.26700000000000002</v>
      </c>
      <c r="H10" s="124">
        <f t="shared" ca="1" si="3"/>
        <v>7.2759999999999998</v>
      </c>
      <c r="I10" s="125"/>
      <c r="J10" s="124">
        <f t="shared" ca="1" si="4"/>
        <v>0</v>
      </c>
      <c r="K10" s="126">
        <f ca="1">INDIRECT(ADDRESS(ROW(K10),$C$3-2010+4,,,"Calorific_Values"))</f>
        <v>47311</v>
      </c>
    </row>
    <row r="11" spans="1:11" s="34" customFormat="1" ht="15" customHeight="1" x14ac:dyDescent="0.25">
      <c r="A11" s="194" t="s">
        <v>18</v>
      </c>
      <c r="B11" s="10" t="s">
        <v>21</v>
      </c>
      <c r="C11" s="11" t="s">
        <v>19</v>
      </c>
      <c r="D11" s="127">
        <f t="shared" ca="1" si="0"/>
        <v>33.375</v>
      </c>
      <c r="E11" s="128">
        <f t="shared" ca="1" si="1"/>
        <v>25.832000000000001</v>
      </c>
      <c r="F11" s="129"/>
      <c r="G11" s="128">
        <f t="shared" ca="1" si="2"/>
        <v>0.26700000000000002</v>
      </c>
      <c r="H11" s="128">
        <f t="shared" ca="1" si="3"/>
        <v>7.2759999999999998</v>
      </c>
      <c r="I11" s="129"/>
      <c r="J11" s="128">
        <f t="shared" ca="1" si="4"/>
        <v>0</v>
      </c>
      <c r="K11" s="130">
        <f t="shared" ref="K11:K13" ca="1" si="5">INDIRECT(ADDRESS(ROW(K11),$C$3-2010+4,,,"Calorific_Values"))</f>
        <v>47311</v>
      </c>
    </row>
    <row r="12" spans="1:11" s="34" customFormat="1" ht="15" customHeight="1" x14ac:dyDescent="0.25">
      <c r="A12" s="194"/>
      <c r="B12" s="10" t="s">
        <v>22</v>
      </c>
      <c r="C12" s="11" t="s">
        <v>19</v>
      </c>
      <c r="D12" s="127">
        <f t="shared" ca="1" si="0"/>
        <v>0</v>
      </c>
      <c r="E12" s="128">
        <f t="shared" ca="1" si="1"/>
        <v>0</v>
      </c>
      <c r="F12" s="129"/>
      <c r="G12" s="128">
        <f t="shared" ca="1" si="2"/>
        <v>0</v>
      </c>
      <c r="H12" s="128">
        <f t="shared" ca="1" si="3"/>
        <v>0</v>
      </c>
      <c r="I12" s="129"/>
      <c r="J12" s="128">
        <f t="shared" ca="1" si="4"/>
        <v>0</v>
      </c>
      <c r="K12" s="130">
        <f t="shared" ca="1" si="5"/>
        <v>0</v>
      </c>
    </row>
    <row r="13" spans="1:11" s="34" customFormat="1" ht="15" customHeight="1" x14ac:dyDescent="0.25">
      <c r="A13" s="194"/>
      <c r="B13" s="10" t="s">
        <v>23</v>
      </c>
      <c r="C13" s="11" t="s">
        <v>19</v>
      </c>
      <c r="D13" s="127">
        <f t="shared" ca="1" si="0"/>
        <v>0</v>
      </c>
      <c r="E13" s="128">
        <f t="shared" ca="1" si="1"/>
        <v>0</v>
      </c>
      <c r="F13" s="129"/>
      <c r="G13" s="128">
        <f t="shared" ca="1" si="2"/>
        <v>0</v>
      </c>
      <c r="H13" s="128">
        <f t="shared" ca="1" si="3"/>
        <v>0</v>
      </c>
      <c r="I13" s="129"/>
      <c r="J13" s="128">
        <f t="shared" ca="1" si="4"/>
        <v>0</v>
      </c>
      <c r="K13" s="130">
        <f t="shared" ca="1" si="5"/>
        <v>0</v>
      </c>
    </row>
    <row r="14" spans="1:11" ht="24" customHeight="1" x14ac:dyDescent="0.25">
      <c r="A14" s="195" t="s">
        <v>43</v>
      </c>
      <c r="B14" s="196"/>
      <c r="C14" s="109" t="s">
        <v>16</v>
      </c>
      <c r="D14" s="123">
        <f t="shared" ca="1" si="0"/>
        <v>35208.993000000002</v>
      </c>
      <c r="E14" s="124">
        <f t="shared" ca="1" si="1"/>
        <v>32427.483</v>
      </c>
      <c r="F14" s="125"/>
      <c r="G14" s="124">
        <f t="shared" ca="1" si="2"/>
        <v>70.418000000000006</v>
      </c>
      <c r="H14" s="124">
        <f t="shared" ca="1" si="3"/>
        <v>2711.0920000000001</v>
      </c>
      <c r="I14" s="125"/>
      <c r="J14" s="124">
        <f t="shared" ca="1" si="4"/>
        <v>0</v>
      </c>
      <c r="K14" s="125"/>
    </row>
    <row r="15" spans="1:11" s="34" customFormat="1" ht="15" customHeight="1" x14ac:dyDescent="0.25">
      <c r="A15" s="194" t="s">
        <v>18</v>
      </c>
      <c r="B15" s="10" t="s">
        <v>26</v>
      </c>
      <c r="C15" s="11" t="s">
        <v>16</v>
      </c>
      <c r="D15" s="127">
        <f t="shared" ca="1" si="0"/>
        <v>0</v>
      </c>
      <c r="E15" s="128">
        <f t="shared" ca="1" si="1"/>
        <v>0</v>
      </c>
      <c r="F15" s="129"/>
      <c r="G15" s="128">
        <f t="shared" ca="1" si="2"/>
        <v>0</v>
      </c>
      <c r="H15" s="128">
        <f t="shared" ca="1" si="3"/>
        <v>0</v>
      </c>
      <c r="I15" s="129"/>
      <c r="J15" s="128">
        <f t="shared" ca="1" si="4"/>
        <v>0</v>
      </c>
      <c r="K15" s="129"/>
    </row>
    <row r="16" spans="1:11" s="34" customFormat="1" ht="15" customHeight="1" x14ac:dyDescent="0.25">
      <c r="A16" s="194"/>
      <c r="B16" s="10" t="s">
        <v>27</v>
      </c>
      <c r="C16" s="11" t="s">
        <v>16</v>
      </c>
      <c r="D16" s="127">
        <f t="shared" ca="1" si="0"/>
        <v>35208.783000000003</v>
      </c>
      <c r="E16" s="128">
        <f t="shared" ca="1" si="1"/>
        <v>32427.289000000001</v>
      </c>
      <c r="F16" s="129"/>
      <c r="G16" s="128">
        <f t="shared" ca="1" si="2"/>
        <v>70.418000000000006</v>
      </c>
      <c r="H16" s="128">
        <f t="shared" ca="1" si="3"/>
        <v>2711.076</v>
      </c>
      <c r="I16" s="129"/>
      <c r="J16" s="128">
        <f t="shared" ca="1" si="4"/>
        <v>0</v>
      </c>
      <c r="K16" s="129"/>
    </row>
    <row r="17" spans="1:11" s="34" customFormat="1" ht="15" customHeight="1" x14ac:dyDescent="0.25">
      <c r="A17" s="194"/>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194"/>
      <c r="B18" s="34" t="s">
        <v>184</v>
      </c>
      <c r="C18" s="11" t="s">
        <v>16</v>
      </c>
      <c r="D18" s="127">
        <f ca="1">SUM(E18:J18)</f>
        <v>0</v>
      </c>
      <c r="E18" s="128">
        <f ca="1">INDIRECT(ADDRESS(ROW(K18),$C$3 -2010 + 4,,,"1a_SpaceHeating"))</f>
        <v>0</v>
      </c>
      <c r="F18" s="129"/>
      <c r="G18" s="128">
        <f ca="1">INDIRECT(ADDRESS(ROW(K18),$C$3-2010+4,,,"1c_WaterHeating"))</f>
        <v>0</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11:A13"/>
    <mergeCell ref="A14:B14"/>
    <mergeCell ref="A15:A18"/>
    <mergeCell ref="A7:B7"/>
    <mergeCell ref="A8:B8"/>
    <mergeCell ref="A9:B9"/>
    <mergeCell ref="A10:B10"/>
    <mergeCell ref="A6:B6"/>
    <mergeCell ref="A1:B1"/>
    <mergeCell ref="A2:B2"/>
    <mergeCell ref="A3:B3"/>
    <mergeCell ref="A4:B4"/>
    <mergeCell ref="A5:B5"/>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D1" sqref="D1"/>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6" t="s">
        <v>0</v>
      </c>
      <c r="B1" s="187"/>
      <c r="C1" s="31"/>
      <c r="D1" s="1"/>
      <c r="E1" s="2"/>
      <c r="F1" s="2"/>
      <c r="G1" s="2"/>
      <c r="H1" s="2"/>
      <c r="I1" s="2"/>
      <c r="J1" s="2"/>
      <c r="K1" s="3"/>
    </row>
    <row r="2" spans="1:11" ht="18" customHeight="1" x14ac:dyDescent="0.25">
      <c r="A2" s="188" t="s">
        <v>1</v>
      </c>
      <c r="B2" s="189"/>
      <c r="C2" s="1" t="str">
        <f>Cover!D15</f>
        <v>Serbia</v>
      </c>
      <c r="D2" s="1"/>
      <c r="E2" s="5"/>
      <c r="F2" s="3"/>
      <c r="G2" s="3"/>
      <c r="H2" s="3"/>
      <c r="I2" s="3"/>
      <c r="J2" s="3"/>
      <c r="K2" s="3"/>
    </row>
    <row r="3" spans="1:11" ht="18" customHeight="1" x14ac:dyDescent="0.25">
      <c r="A3" s="188" t="s">
        <v>2</v>
      </c>
      <c r="B3" s="189"/>
      <c r="C3" s="1">
        <f>Table1_Totals!C3</f>
        <v>2018</v>
      </c>
      <c r="D3" s="1"/>
      <c r="E3" s="5"/>
      <c r="F3" s="3"/>
      <c r="G3" s="3"/>
      <c r="H3" s="3"/>
      <c r="I3" s="3"/>
      <c r="J3" s="3"/>
      <c r="K3" s="3"/>
    </row>
    <row r="4" spans="1:11" ht="18" customHeight="1" x14ac:dyDescent="0.25">
      <c r="A4" s="191"/>
      <c r="B4" s="192"/>
      <c r="C4" s="31"/>
      <c r="D4" s="1"/>
      <c r="E4" s="5"/>
      <c r="F4" s="3"/>
      <c r="G4" s="3"/>
      <c r="H4" s="3"/>
      <c r="I4" s="3"/>
      <c r="J4" s="3"/>
      <c r="K4" s="3"/>
    </row>
    <row r="5" spans="1:11" ht="37.5" customHeight="1" x14ac:dyDescent="0.25">
      <c r="A5" s="183" t="s">
        <v>3</v>
      </c>
      <c r="B5" s="193"/>
      <c r="C5" s="6" t="s">
        <v>4</v>
      </c>
      <c r="D5" s="7" t="s">
        <v>5</v>
      </c>
      <c r="E5" s="6" t="s">
        <v>6</v>
      </c>
      <c r="F5" s="6" t="s">
        <v>7</v>
      </c>
      <c r="G5" s="6" t="s">
        <v>8</v>
      </c>
      <c r="H5" s="6" t="s">
        <v>9</v>
      </c>
      <c r="I5" s="6" t="s">
        <v>10</v>
      </c>
      <c r="J5" s="6" t="s">
        <v>11</v>
      </c>
      <c r="K5" s="7" t="s">
        <v>12</v>
      </c>
    </row>
    <row r="6" spans="1:11" ht="24" customHeight="1" x14ac:dyDescent="0.25">
      <c r="A6" s="185" t="s">
        <v>13</v>
      </c>
      <c r="B6" s="186"/>
      <c r="C6" s="108" t="s">
        <v>16</v>
      </c>
      <c r="D6" s="120">
        <f ca="1">SUM(E6:J6)</f>
        <v>48292.455600000001</v>
      </c>
      <c r="E6" s="121">
        <f ca="1">Table1_Totals!E6*3.6</f>
        <v>5891.6772000000001</v>
      </c>
      <c r="F6" s="121">
        <f ca="1">Table1_Totals!F6*3.6</f>
        <v>579.51</v>
      </c>
      <c r="G6" s="121">
        <f ca="1">Table1_Totals!G6*3.6</f>
        <v>15888.218400000002</v>
      </c>
      <c r="H6" s="121">
        <f ca="1">Table1_Totals!H6*3.6</f>
        <v>5215.5864000000001</v>
      </c>
      <c r="I6" s="121">
        <f ca="1">Table1_Totals!I6*3.6</f>
        <v>20717.463599999999</v>
      </c>
      <c r="J6" s="121">
        <f ca="1">Table1_Totals!J6*3.6</f>
        <v>0</v>
      </c>
      <c r="K6" s="122"/>
    </row>
    <row r="7" spans="1:11" ht="24" customHeight="1" x14ac:dyDescent="0.25">
      <c r="A7" s="195" t="s">
        <v>15</v>
      </c>
      <c r="B7" s="196"/>
      <c r="C7" s="109" t="s">
        <v>16</v>
      </c>
      <c r="D7" s="123">
        <f t="shared" ref="D7:D18" ca="1" si="0">SUM(E7:J7)</f>
        <v>16932.562999999998</v>
      </c>
      <c r="E7" s="124">
        <f ca="1">Table1_Totals!E7</f>
        <v>16492.315999999999</v>
      </c>
      <c r="F7" s="125"/>
      <c r="G7" s="124">
        <f ca="1">Table1_Totals!G7</f>
        <v>440.24700000000001</v>
      </c>
      <c r="H7" s="124">
        <f ca="1">Table1_Totals!H7</f>
        <v>0</v>
      </c>
      <c r="I7" s="125"/>
      <c r="J7" s="124">
        <f ca="1">Table1_Totals!J7</f>
        <v>0</v>
      </c>
      <c r="K7" s="125"/>
    </row>
    <row r="8" spans="1:11" ht="24" customHeight="1" x14ac:dyDescent="0.25">
      <c r="A8" s="195" t="s">
        <v>29</v>
      </c>
      <c r="B8" s="196"/>
      <c r="C8" s="109" t="s">
        <v>16</v>
      </c>
      <c r="D8" s="123">
        <f t="shared" ca="1" si="0"/>
        <v>8133.822900000001</v>
      </c>
      <c r="E8" s="124">
        <f ca="1">Table1_Totals!E8*0.9</f>
        <v>7556.3208000000004</v>
      </c>
      <c r="F8" s="125"/>
      <c r="G8" s="124">
        <f ca="1">Table1_Totals!G8*0.9</f>
        <v>357.8886</v>
      </c>
      <c r="H8" s="124">
        <f ca="1">Table1_Totals!H8*0.9</f>
        <v>219.61349999999999</v>
      </c>
      <c r="I8" s="125"/>
      <c r="J8" s="124">
        <f ca="1">Table1_Totals!J8*0.9</f>
        <v>0</v>
      </c>
      <c r="K8" s="125"/>
    </row>
    <row r="9" spans="1:11" ht="24" customHeight="1" x14ac:dyDescent="0.25">
      <c r="A9" s="195" t="s">
        <v>156</v>
      </c>
      <c r="B9" s="196"/>
      <c r="C9" s="109" t="s">
        <v>16</v>
      </c>
      <c r="D9" s="123">
        <f t="shared" ca="1" si="0"/>
        <v>10079.807430000001</v>
      </c>
      <c r="E9" s="124">
        <f ca="1">IF(Table1_Totals!E9&lt;&gt;0,IF(Table1_Totals!$K9&lt;&gt;0,Table1_Totals!E9*Table1_Totals!$K9/1000,"Please check CV"),"0,000")</f>
        <v>9868.1329110000006</v>
      </c>
      <c r="F9" s="125"/>
      <c r="G9" s="124">
        <f ca="1">IF(Table1_Totals!G9&lt;&gt;0,IF(Table1_Totals!$K9&lt;&gt;0,Table1_Totals!G9*Table1_Totals!$K$9/1000,"Please check CV"),"0,000")</f>
        <v>80.633349999999993</v>
      </c>
      <c r="H9" s="124">
        <f ca="1">IF(Table1_Totals!H9&lt;&gt;0,IF(Table1_Totals!$K9&lt;&gt;0,Table1_Totals!H9*Table1_Totals!$K$9/1000,"Please check CV"),"0,000")</f>
        <v>131.041169</v>
      </c>
      <c r="I9" s="125"/>
      <c r="J9" s="124" t="str">
        <f ca="1">IF(Table1_Totals!J9&lt;&gt;0,IF(Table1_Totals!$K9&lt;&gt;0,Table1_Totals!J9*Table1_Totals!$K$9/1000,"Please check CV"),"0,000")</f>
        <v>0,000</v>
      </c>
      <c r="K9" s="126">
        <f ca="1">Table1_Totals!K9</f>
        <v>15967</v>
      </c>
    </row>
    <row r="10" spans="1:11" ht="24" customHeight="1" x14ac:dyDescent="0.25">
      <c r="A10" s="195" t="s">
        <v>42</v>
      </c>
      <c r="B10" s="196"/>
      <c r="C10" s="109" t="s">
        <v>16</v>
      </c>
      <c r="D10" s="123">
        <f t="shared" ca="1" si="0"/>
        <v>1579.0046250000003</v>
      </c>
      <c r="E10" s="124">
        <f ca="1">IF(Table1_Totals!E10&lt;&gt;0,IF(Table1_Totals!$K10&lt;&gt;0,Table1_Totals!E10*Table1_Totals!$K10/1000,"Please check CV"),"0,000")</f>
        <v>1222.1377520000001</v>
      </c>
      <c r="F10" s="125"/>
      <c r="G10" s="124">
        <f ca="1">IF(Table1_Totals!G10&lt;&gt;0,IF(Table1_Totals!$K10&lt;&gt;0,Table1_Totals!G10*Table1_Totals!$K10/1000,"Please check CV"),"0,000")</f>
        <v>12.632037</v>
      </c>
      <c r="H10" s="124">
        <f ca="1">IF(Table1_Totals!H10&lt;&gt;0,IF(Table1_Totals!$K10&lt;&gt;0,Table1_Totals!H10*Table1_Totals!$K10/1000,"Please check CV"),"0,000")</f>
        <v>344.23483600000003</v>
      </c>
      <c r="I10" s="125"/>
      <c r="J10" s="124" t="str">
        <f ca="1">IF(Table1_Totals!J10&lt;&gt;0,IF(Table1_Totals!$K10&lt;&gt;0,Table1_Totals!J10*Table1_Totals!$K10/1000,"Please check CV"),"0,000")</f>
        <v>0,000</v>
      </c>
      <c r="K10" s="126">
        <f ca="1">Table1_Totals!K10</f>
        <v>47311</v>
      </c>
    </row>
    <row r="11" spans="1:11" s="34" customFormat="1" ht="15" customHeight="1" x14ac:dyDescent="0.25">
      <c r="A11" s="194" t="s">
        <v>18</v>
      </c>
      <c r="B11" s="10" t="s">
        <v>21</v>
      </c>
      <c r="C11" s="11" t="s">
        <v>16</v>
      </c>
      <c r="D11" s="127">
        <f t="shared" ca="1" si="0"/>
        <v>1579.0046250000003</v>
      </c>
      <c r="E11" s="128">
        <f ca="1">IF(Table1_Totals!E11&lt;&gt;0,IF(Table1_Totals!$K11&lt;&gt;0,Table1_Totals!E11*Table1_Totals!$K11/1000,"Please check CV"),"0,000")</f>
        <v>1222.1377520000001</v>
      </c>
      <c r="F11" s="129"/>
      <c r="G11" s="128">
        <f ca="1">IF(Table1_Totals!G11&lt;&gt;0,IF(Table1_Totals!$K11&lt;&gt;0,Table1_Totals!G11*Table1_Totals!$K11/1000,"Please check CV"),"0,000")</f>
        <v>12.632037</v>
      </c>
      <c r="H11" s="128">
        <f ca="1">IF(Table1_Totals!H11&lt;&gt;0,IF(Table1_Totals!$K11&lt;&gt;0,Table1_Totals!H11*Table1_Totals!$K11/1000,"Please check CV"),"0,000")</f>
        <v>344.23483600000003</v>
      </c>
      <c r="I11" s="129"/>
      <c r="J11" s="128" t="str">
        <f ca="1">IF(Table1_Totals!J11&lt;&gt;0,IF(Table1_Totals!$K11&lt;&gt;0,Table1_Totals!J11*Table1_Totals!$K11/1000,"Please check CV"),"0,000")</f>
        <v>0,000</v>
      </c>
      <c r="K11" s="130">
        <f ca="1">Table1_Totals!K11</f>
        <v>47311</v>
      </c>
    </row>
    <row r="12" spans="1:11" s="34" customFormat="1" ht="15" customHeight="1" x14ac:dyDescent="0.25">
      <c r="A12" s="194"/>
      <c r="B12" s="10" t="s">
        <v>22</v>
      </c>
      <c r="C12" s="11" t="s">
        <v>16</v>
      </c>
      <c r="D12" s="127">
        <f t="shared" ca="1" si="0"/>
        <v>0</v>
      </c>
      <c r="E12" s="128" t="str">
        <f ca="1">IF(Table1_Totals!E12&lt;&gt;0,IF(Table1_Totals!$K12&lt;&gt;0,Table1_Totals!E12*Table1_Totals!$K12/1000,"Please check CV"),"0,000")</f>
        <v>0,000</v>
      </c>
      <c r="F12" s="129"/>
      <c r="G12" s="128" t="str">
        <f ca="1">IF(Table1_Totals!G12&lt;&gt;0,IF(Table1_Totals!$K12&lt;&gt;0,Table1_Totals!G12*Table1_Totals!$K12/1000,"Please check CV"),"0,000")</f>
        <v>0,000</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0</v>
      </c>
    </row>
    <row r="13" spans="1:11" s="34" customFormat="1" ht="15" customHeight="1" x14ac:dyDescent="0.25">
      <c r="A13" s="194"/>
      <c r="B13" s="10" t="s">
        <v>23</v>
      </c>
      <c r="C13" s="11" t="s">
        <v>16</v>
      </c>
      <c r="D13" s="127">
        <f t="shared" ca="1" si="0"/>
        <v>0</v>
      </c>
      <c r="E13" s="128" t="str">
        <f ca="1">IF(Table1_Totals!E13&lt;&gt;0,IF(Table1_Totals!$K13&lt;&gt;0,Table1_Totals!E13*Table1_Totals!$K13/1000,"Please check CV"),"0,000")</f>
        <v>0,000</v>
      </c>
      <c r="F13" s="129"/>
      <c r="G13" s="128" t="str">
        <f ca="1">IF(Table1_Totals!G13&lt;&gt;0,IF(Table1_Totals!$K13&lt;&gt;0,Table1_Totals!G13*Table1_Totals!$K13/1000,"Please check CV"),"0,000")</f>
        <v>0,000</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0</v>
      </c>
    </row>
    <row r="14" spans="1:11" ht="24" customHeight="1" x14ac:dyDescent="0.25">
      <c r="A14" s="195" t="s">
        <v>43</v>
      </c>
      <c r="B14" s="196"/>
      <c r="C14" s="109" t="s">
        <v>16</v>
      </c>
      <c r="D14" s="123">
        <f t="shared" ca="1" si="0"/>
        <v>35208.993000000002</v>
      </c>
      <c r="E14" s="124">
        <f ca="1">Table1_Totals!E14</f>
        <v>32427.483</v>
      </c>
      <c r="F14" s="125"/>
      <c r="G14" s="124">
        <f ca="1">Table1_Totals!G14</f>
        <v>70.418000000000006</v>
      </c>
      <c r="H14" s="124">
        <f ca="1">Table1_Totals!H14</f>
        <v>2711.0920000000001</v>
      </c>
      <c r="I14" s="125"/>
      <c r="J14" s="124">
        <f ca="1">Table1_Totals!J14</f>
        <v>0</v>
      </c>
      <c r="K14" s="125"/>
    </row>
    <row r="15" spans="1:11" s="34" customFormat="1" ht="15" customHeight="1" x14ac:dyDescent="0.25">
      <c r="A15" s="194" t="s">
        <v>18</v>
      </c>
      <c r="B15" s="10" t="s">
        <v>26</v>
      </c>
      <c r="C15" s="11" t="s">
        <v>16</v>
      </c>
      <c r="D15" s="127">
        <f t="shared" ca="1" si="0"/>
        <v>0</v>
      </c>
      <c r="E15" s="128">
        <f ca="1">Table1_Totals!E15</f>
        <v>0</v>
      </c>
      <c r="F15" s="129"/>
      <c r="G15" s="128">
        <f ca="1">Table1_Totals!G15</f>
        <v>0</v>
      </c>
      <c r="H15" s="128">
        <f ca="1">Table1_Totals!H15</f>
        <v>0</v>
      </c>
      <c r="I15" s="129"/>
      <c r="J15" s="128">
        <f ca="1">Table1_Totals!J15</f>
        <v>0</v>
      </c>
      <c r="K15" s="129"/>
    </row>
    <row r="16" spans="1:11" s="34" customFormat="1" ht="15" customHeight="1" x14ac:dyDescent="0.25">
      <c r="A16" s="194"/>
      <c r="B16" s="10" t="s">
        <v>27</v>
      </c>
      <c r="C16" s="11" t="s">
        <v>16</v>
      </c>
      <c r="D16" s="127">
        <f t="shared" ca="1" si="0"/>
        <v>35208.783000000003</v>
      </c>
      <c r="E16" s="128">
        <f ca="1">Table1_Totals!E16</f>
        <v>32427.289000000001</v>
      </c>
      <c r="F16" s="129"/>
      <c r="G16" s="128">
        <f ca="1">Table1_Totals!G16</f>
        <v>70.418000000000006</v>
      </c>
      <c r="H16" s="128">
        <f ca="1">Table1_Totals!H16</f>
        <v>2711.076</v>
      </c>
      <c r="I16" s="129"/>
      <c r="J16" s="128">
        <f ca="1">Table1_Totals!J16</f>
        <v>0</v>
      </c>
      <c r="K16" s="129"/>
    </row>
    <row r="17" spans="1:11" s="34" customFormat="1" ht="15" customHeight="1" x14ac:dyDescent="0.25">
      <c r="A17" s="194"/>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194"/>
      <c r="B18" s="34" t="s">
        <v>184</v>
      </c>
      <c r="C18" s="11" t="s">
        <v>16</v>
      </c>
      <c r="D18" s="127">
        <f t="shared" ca="1" si="0"/>
        <v>0</v>
      </c>
      <c r="E18" s="128">
        <f ca="1">Table1_Totals!E18</f>
        <v>0</v>
      </c>
      <c r="F18" s="129"/>
      <c r="G18" s="128">
        <f ca="1">Table1_Totals!G18</f>
        <v>0</v>
      </c>
      <c r="H18" s="128">
        <f ca="1">Table1_Totals!H18</f>
        <v>0</v>
      </c>
      <c r="I18" s="129"/>
      <c r="J18" s="128">
        <f ca="1">Table1_Totals!J18</f>
        <v>0</v>
      </c>
      <c r="K18" s="129"/>
    </row>
    <row r="19" spans="1:11" ht="24" customHeight="1" x14ac:dyDescent="0.25">
      <c r="A19" s="195" t="s">
        <v>171</v>
      </c>
      <c r="B19" s="196"/>
      <c r="C19" s="109" t="s">
        <v>16</v>
      </c>
      <c r="D19" s="123">
        <f t="shared" ref="D19" ca="1" si="2">SUM(E19:J19)</f>
        <v>120226.646555</v>
      </c>
      <c r="E19" s="124">
        <f ca="1">SUM(E6:E10,E14)</f>
        <v>73458.067662999994</v>
      </c>
      <c r="F19" s="124">
        <f t="shared" ref="F19:J19" ca="1" si="3">SUM(F6:F10,F14)</f>
        <v>579.51</v>
      </c>
      <c r="G19" s="124">
        <f t="shared" ca="1" si="3"/>
        <v>16850.037387</v>
      </c>
      <c r="H19" s="124">
        <f t="shared" ca="1" si="3"/>
        <v>8621.5679049999999</v>
      </c>
      <c r="I19" s="124">
        <f t="shared" ca="1" si="3"/>
        <v>20717.463599999999</v>
      </c>
      <c r="J19" s="124">
        <f t="shared" ca="1" si="3"/>
        <v>0</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15:A18"/>
    <mergeCell ref="A19:B19"/>
    <mergeCell ref="A7:B7"/>
    <mergeCell ref="A8:B8"/>
    <mergeCell ref="A9:B9"/>
    <mergeCell ref="A10:B10"/>
    <mergeCell ref="A11:A13"/>
    <mergeCell ref="A14:B14"/>
    <mergeCell ref="A6:B6"/>
    <mergeCell ref="A1:B1"/>
    <mergeCell ref="A2:B2"/>
    <mergeCell ref="A3:B3"/>
    <mergeCell ref="A4:B4"/>
    <mergeCell ref="A5:B5"/>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E1" activePane="topRight" state="frozen"/>
      <selection activeCell="DS1" sqref="DS1:ED1048576"/>
      <selection pane="topRight" activeCell="L23" sqref="L23"/>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30</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v>14645</v>
      </c>
      <c r="E6" s="60">
        <v>1789</v>
      </c>
      <c r="F6" s="60">
        <v>1771</v>
      </c>
      <c r="G6" s="60">
        <v>1726</v>
      </c>
      <c r="H6" s="60">
        <v>1684</v>
      </c>
      <c r="I6" s="60">
        <v>1716</v>
      </c>
      <c r="J6" s="60">
        <v>1700</v>
      </c>
      <c r="K6" s="60">
        <v>1685.431</v>
      </c>
      <c r="L6" s="60">
        <v>1636.577</v>
      </c>
      <c r="M6" s="60"/>
      <c r="N6" s="60"/>
      <c r="O6" s="60"/>
      <c r="DS6" s="4" t="str">
        <f>VLOOKUP(Cover!$D$15, Country_list!$B$3:$C$44, 2, 0)</f>
        <v>RS</v>
      </c>
      <c r="DT6" s="33" t="s">
        <v>289</v>
      </c>
      <c r="DV6" s="33" t="s">
        <v>302</v>
      </c>
      <c r="EB6" s="33" t="s">
        <v>291</v>
      </c>
      <c r="ED6" s="33" t="s">
        <v>294</v>
      </c>
    </row>
    <row r="7" spans="1:134" ht="24" customHeight="1" x14ac:dyDescent="0.25">
      <c r="A7" s="174" t="s">
        <v>15</v>
      </c>
      <c r="B7" s="198"/>
      <c r="C7" s="9" t="s">
        <v>25</v>
      </c>
      <c r="D7" s="61">
        <v>15947</v>
      </c>
      <c r="E7" s="58">
        <v>17519</v>
      </c>
      <c r="F7" s="58">
        <v>16477</v>
      </c>
      <c r="G7" s="58">
        <v>15356</v>
      </c>
      <c r="H7" s="58">
        <v>14601</v>
      </c>
      <c r="I7" s="58">
        <v>16376</v>
      </c>
      <c r="J7" s="58">
        <v>16489</v>
      </c>
      <c r="K7" s="58">
        <v>16101.782999999999</v>
      </c>
      <c r="L7" s="58">
        <v>16492.315999999999</v>
      </c>
      <c r="M7" s="58"/>
      <c r="N7" s="58"/>
      <c r="O7" s="58"/>
      <c r="DT7" s="33" t="s">
        <v>290</v>
      </c>
      <c r="EB7" s="33" t="s">
        <v>291</v>
      </c>
      <c r="ED7" s="33" t="s">
        <v>295</v>
      </c>
    </row>
    <row r="8" spans="1:134" ht="24" customHeight="1" x14ac:dyDescent="0.25">
      <c r="A8" s="174" t="s">
        <v>29</v>
      </c>
      <c r="B8" s="198"/>
      <c r="C8" s="9" t="s">
        <v>17</v>
      </c>
      <c r="D8" s="61">
        <v>10071</v>
      </c>
      <c r="E8" s="58">
        <v>9175</v>
      </c>
      <c r="F8" s="58">
        <v>8405</v>
      </c>
      <c r="G8" s="58">
        <v>7520</v>
      </c>
      <c r="H8" s="58">
        <v>6160</v>
      </c>
      <c r="I8" s="58">
        <v>6532</v>
      </c>
      <c r="J8" s="58">
        <v>7250</v>
      </c>
      <c r="K8" s="58">
        <v>8259.2729999999992</v>
      </c>
      <c r="L8" s="58">
        <v>8395.9120000000003</v>
      </c>
      <c r="M8" s="58"/>
      <c r="N8" s="58"/>
      <c r="O8" s="58"/>
      <c r="DT8" s="33" t="s">
        <v>231</v>
      </c>
      <c r="EB8" s="33" t="s">
        <v>291</v>
      </c>
      <c r="ED8" s="33" t="s">
        <v>296</v>
      </c>
    </row>
    <row r="9" spans="1:134" ht="24" customHeight="1" x14ac:dyDescent="0.25">
      <c r="A9" s="174" t="s">
        <v>156</v>
      </c>
      <c r="B9" s="198"/>
      <c r="C9" s="9" t="s">
        <v>19</v>
      </c>
      <c r="D9" s="61">
        <v>677</v>
      </c>
      <c r="E9" s="58">
        <v>767</v>
      </c>
      <c r="F9" s="58">
        <v>680</v>
      </c>
      <c r="G9" s="58">
        <v>615</v>
      </c>
      <c r="H9" s="58">
        <v>580</v>
      </c>
      <c r="I9" s="58">
        <v>459</v>
      </c>
      <c r="J9" s="58">
        <v>606</v>
      </c>
      <c r="K9" s="58">
        <v>737.47199999999998</v>
      </c>
      <c r="L9" s="58">
        <v>618.03300000000002</v>
      </c>
      <c r="M9" s="58"/>
      <c r="N9" s="58"/>
      <c r="O9" s="58"/>
      <c r="DT9" s="33" t="s">
        <v>279</v>
      </c>
      <c r="EB9" s="33" t="s">
        <v>292</v>
      </c>
      <c r="ED9" s="33" t="s">
        <v>293</v>
      </c>
    </row>
    <row r="10" spans="1:134" ht="24" customHeight="1" x14ac:dyDescent="0.25">
      <c r="A10" s="174" t="s">
        <v>20</v>
      </c>
      <c r="B10" s="198"/>
      <c r="C10" s="9" t="s">
        <v>19</v>
      </c>
      <c r="D10" s="61">
        <v>28</v>
      </c>
      <c r="E10" s="58">
        <v>48</v>
      </c>
      <c r="F10" s="58">
        <v>66</v>
      </c>
      <c r="G10" s="58">
        <v>51</v>
      </c>
      <c r="H10" s="58">
        <v>30</v>
      </c>
      <c r="I10" s="58">
        <v>34</v>
      </c>
      <c r="J10" s="58">
        <v>45</v>
      </c>
      <c r="K10" s="58">
        <v>32.634</v>
      </c>
      <c r="L10" s="58">
        <v>25.832000000000001</v>
      </c>
      <c r="M10" s="58"/>
      <c r="N10" s="58"/>
      <c r="O10" s="58"/>
      <c r="DT10" s="139" t="s">
        <v>280</v>
      </c>
      <c r="EB10" s="33" t="s">
        <v>292</v>
      </c>
      <c r="ED10" s="33" t="s">
        <v>293</v>
      </c>
    </row>
    <row r="11" spans="1:134" s="34" customFormat="1" ht="15" customHeight="1" x14ac:dyDescent="0.25">
      <c r="A11" s="173" t="s">
        <v>18</v>
      </c>
      <c r="B11" s="110" t="s">
        <v>21</v>
      </c>
      <c r="C11" s="111" t="s">
        <v>19</v>
      </c>
      <c r="D11" s="112">
        <v>27</v>
      </c>
      <c r="E11" s="113">
        <v>24</v>
      </c>
      <c r="F11" s="113">
        <v>29</v>
      </c>
      <c r="G11" s="113">
        <v>38</v>
      </c>
      <c r="H11" s="113">
        <v>22</v>
      </c>
      <c r="I11" s="113">
        <v>34</v>
      </c>
      <c r="J11" s="113">
        <v>45</v>
      </c>
      <c r="K11" s="113">
        <v>32.634</v>
      </c>
      <c r="L11" s="113">
        <v>25.832000000000001</v>
      </c>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4" t="s">
        <v>24</v>
      </c>
      <c r="B14" s="198"/>
      <c r="C14" s="9" t="s">
        <v>25</v>
      </c>
      <c r="D14" s="61">
        <v>40195</v>
      </c>
      <c r="E14" s="58">
        <v>33660</v>
      </c>
      <c r="F14" s="58">
        <v>36391</v>
      </c>
      <c r="G14" s="58">
        <v>30887</v>
      </c>
      <c r="H14" s="58">
        <v>32834</v>
      </c>
      <c r="I14" s="58">
        <v>32668</v>
      </c>
      <c r="J14" s="58">
        <v>33670</v>
      </c>
      <c r="K14" s="58">
        <v>30983.458999999999</v>
      </c>
      <c r="L14" s="58">
        <v>32427.483</v>
      </c>
      <c r="M14" s="58"/>
      <c r="N14" s="58"/>
      <c r="O14" s="58"/>
      <c r="DT14" s="139" t="s">
        <v>284</v>
      </c>
      <c r="EB14" s="33" t="s">
        <v>291</v>
      </c>
      <c r="ED14" s="33" t="s">
        <v>295</v>
      </c>
    </row>
    <row r="15" spans="1:134" s="34" customFormat="1" ht="15" customHeight="1" x14ac:dyDescent="0.25">
      <c r="A15" s="173"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173"/>
      <c r="B16" s="110" t="s">
        <v>27</v>
      </c>
      <c r="C16" s="111" t="s">
        <v>25</v>
      </c>
      <c r="D16" s="112">
        <v>40195</v>
      </c>
      <c r="E16" s="113">
        <v>33659</v>
      </c>
      <c r="F16" s="113">
        <v>36391</v>
      </c>
      <c r="G16" s="113">
        <v>30887</v>
      </c>
      <c r="H16" s="113">
        <v>32833</v>
      </c>
      <c r="I16" s="113">
        <v>32668</v>
      </c>
      <c r="J16" s="113">
        <v>33669</v>
      </c>
      <c r="K16" s="113">
        <v>30983.182000000001</v>
      </c>
      <c r="L16" s="113">
        <v>32427.289000000001</v>
      </c>
      <c r="M16" s="113"/>
      <c r="N16" s="113"/>
      <c r="O16" s="113"/>
      <c r="DT16" s="34" t="s">
        <v>286</v>
      </c>
      <c r="EB16" s="34" t="s">
        <v>291</v>
      </c>
      <c r="ED16" s="34" t="s">
        <v>295</v>
      </c>
    </row>
    <row r="17" spans="1:134" s="34" customFormat="1" ht="15" customHeight="1" x14ac:dyDescent="0.25">
      <c r="A17" s="173"/>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73"/>
      <c r="B18" s="110" t="s">
        <v>184</v>
      </c>
      <c r="C18" s="111" t="s">
        <v>25</v>
      </c>
      <c r="D18" s="112"/>
      <c r="E18" s="112"/>
      <c r="F18" s="112"/>
      <c r="G18" s="112"/>
      <c r="H18" s="112"/>
      <c r="I18" s="112"/>
      <c r="J18" s="112"/>
      <c r="K18" s="112"/>
      <c r="L18" s="112"/>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D1" activePane="topRight" state="frozen"/>
      <selection activeCell="DS1" sqref="DS1:ED1048576"/>
      <selection pane="topRight" activeCell="L7" sqref="L7"/>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31</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71"/>
      <c r="C6" s="8" t="s">
        <v>14</v>
      </c>
      <c r="D6" s="59">
        <v>176</v>
      </c>
      <c r="E6" s="60">
        <v>176</v>
      </c>
      <c r="F6" s="60">
        <v>174</v>
      </c>
      <c r="G6" s="60">
        <v>170</v>
      </c>
      <c r="H6" s="60">
        <v>166</v>
      </c>
      <c r="I6" s="60">
        <v>169</v>
      </c>
      <c r="J6" s="60">
        <v>167</v>
      </c>
      <c r="K6" s="60">
        <v>165.78</v>
      </c>
      <c r="L6" s="60">
        <v>160.97499999999999</v>
      </c>
      <c r="M6" s="60"/>
      <c r="N6" s="60"/>
      <c r="O6" s="60"/>
      <c r="DS6" s="4" t="str">
        <f>VLOOKUP(Cover!$D$15, Country_list!$B$3:$C$44, 2, 0)</f>
        <v>RS</v>
      </c>
      <c r="DT6" s="33" t="s">
        <v>289</v>
      </c>
      <c r="DV6" s="33" t="s">
        <v>303</v>
      </c>
      <c r="EB6" s="33" t="s">
        <v>291</v>
      </c>
      <c r="ED6" s="33" t="s">
        <v>294</v>
      </c>
    </row>
    <row r="7" spans="1:134" s="119" customFormat="1" ht="24" customHeight="1" x14ac:dyDescent="0.25">
      <c r="A7" s="201" t="s">
        <v>15</v>
      </c>
      <c r="B7" s="202"/>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01" t="s">
        <v>29</v>
      </c>
      <c r="B8" s="202"/>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01" t="s">
        <v>156</v>
      </c>
      <c r="B9" s="202"/>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01" t="s">
        <v>20</v>
      </c>
      <c r="B10" s="202"/>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03"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3"/>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3"/>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1" t="s">
        <v>24</v>
      </c>
      <c r="B14" s="202"/>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03"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3"/>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3"/>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3"/>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4:B14"/>
    <mergeCell ref="A15:A18"/>
    <mergeCell ref="A7:B7"/>
    <mergeCell ref="A8:B8"/>
    <mergeCell ref="A9:B9"/>
    <mergeCell ref="A10:B10"/>
    <mergeCell ref="A11:A13"/>
    <mergeCell ref="A6:B6"/>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E1" activePane="topRight" state="frozen"/>
      <selection activeCell="DS1" sqref="DS1:ED1048576"/>
      <selection pane="topRight" activeCell="L19" sqref="L19"/>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8</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v>4817</v>
      </c>
      <c r="E6" s="60">
        <v>4825</v>
      </c>
      <c r="F6" s="60">
        <v>4776</v>
      </c>
      <c r="G6" s="60">
        <v>4653</v>
      </c>
      <c r="H6" s="60">
        <v>4540</v>
      </c>
      <c r="I6" s="60">
        <v>4625</v>
      </c>
      <c r="J6" s="60">
        <v>4583</v>
      </c>
      <c r="K6" s="60">
        <v>4545.1379999999999</v>
      </c>
      <c r="L6" s="60">
        <v>4413.3940000000002</v>
      </c>
      <c r="M6" s="60"/>
      <c r="N6" s="60"/>
      <c r="O6" s="60"/>
      <c r="DS6" s="4" t="str">
        <f>VLOOKUP(Cover!$D$15, Country_list!$B$3:$C$44, 2, 0)</f>
        <v>RS</v>
      </c>
      <c r="DT6" s="33" t="s">
        <v>289</v>
      </c>
      <c r="DV6" s="33" t="s">
        <v>304</v>
      </c>
      <c r="EB6" s="33" t="s">
        <v>291</v>
      </c>
      <c r="ED6" s="33" t="s">
        <v>294</v>
      </c>
    </row>
    <row r="7" spans="1:134" ht="24" customHeight="1" x14ac:dyDescent="0.25">
      <c r="A7" s="174" t="s">
        <v>15</v>
      </c>
      <c r="B7" s="198"/>
      <c r="C7" s="9" t="s">
        <v>25</v>
      </c>
      <c r="D7" s="61">
        <v>415</v>
      </c>
      <c r="E7" s="58">
        <v>468</v>
      </c>
      <c r="F7" s="58">
        <v>440</v>
      </c>
      <c r="G7" s="58">
        <v>410</v>
      </c>
      <c r="H7" s="58">
        <v>390</v>
      </c>
      <c r="I7" s="58">
        <v>437</v>
      </c>
      <c r="J7" s="58">
        <v>440</v>
      </c>
      <c r="K7" s="58">
        <v>429.822</v>
      </c>
      <c r="L7" s="58">
        <v>440.24700000000001</v>
      </c>
      <c r="M7" s="58"/>
      <c r="N7" s="58"/>
      <c r="O7" s="58"/>
      <c r="DT7" s="33" t="s">
        <v>290</v>
      </c>
      <c r="EB7" s="33" t="s">
        <v>291</v>
      </c>
      <c r="ED7" s="33" t="s">
        <v>295</v>
      </c>
    </row>
    <row r="8" spans="1:134" ht="24" customHeight="1" x14ac:dyDescent="0.25">
      <c r="A8" s="174" t="s">
        <v>29</v>
      </c>
      <c r="B8" s="198"/>
      <c r="C8" s="9" t="s">
        <v>17</v>
      </c>
      <c r="D8" s="61">
        <v>443</v>
      </c>
      <c r="E8" s="58">
        <v>435</v>
      </c>
      <c r="F8" s="58">
        <v>398</v>
      </c>
      <c r="G8" s="58">
        <v>356</v>
      </c>
      <c r="H8" s="58">
        <v>292</v>
      </c>
      <c r="I8" s="58">
        <v>309</v>
      </c>
      <c r="J8" s="58">
        <v>343</v>
      </c>
      <c r="K8" s="58">
        <v>391.18200000000002</v>
      </c>
      <c r="L8" s="58">
        <v>397.654</v>
      </c>
      <c r="M8" s="58"/>
      <c r="N8" s="58"/>
      <c r="O8" s="58"/>
      <c r="DT8" s="33" t="s">
        <v>231</v>
      </c>
      <c r="EB8" s="33" t="s">
        <v>291</v>
      </c>
      <c r="ED8" s="33" t="s">
        <v>296</v>
      </c>
    </row>
    <row r="9" spans="1:134" ht="24" customHeight="1" x14ac:dyDescent="0.25">
      <c r="A9" s="174" t="s">
        <v>156</v>
      </c>
      <c r="B9" s="198"/>
      <c r="C9" s="9" t="s">
        <v>19</v>
      </c>
      <c r="D9" s="61">
        <v>5</v>
      </c>
      <c r="E9" s="58">
        <v>6</v>
      </c>
      <c r="F9" s="58">
        <v>6</v>
      </c>
      <c r="G9" s="58">
        <v>5</v>
      </c>
      <c r="H9" s="58">
        <v>5</v>
      </c>
      <c r="I9" s="58">
        <v>4</v>
      </c>
      <c r="J9" s="58">
        <v>5</v>
      </c>
      <c r="K9" s="58">
        <v>6.0259999999999998</v>
      </c>
      <c r="L9" s="58">
        <v>5.05</v>
      </c>
      <c r="M9" s="58"/>
      <c r="N9" s="58"/>
      <c r="O9" s="58"/>
      <c r="DT9" s="33" t="s">
        <v>279</v>
      </c>
      <c r="EB9" s="33" t="s">
        <v>292</v>
      </c>
      <c r="ED9" s="33" t="s">
        <v>293</v>
      </c>
    </row>
    <row r="10" spans="1:134" ht="24" customHeight="1" x14ac:dyDescent="0.25">
      <c r="A10" s="174" t="s">
        <v>20</v>
      </c>
      <c r="B10" s="198"/>
      <c r="C10" s="9" t="s">
        <v>19</v>
      </c>
      <c r="D10" s="61">
        <v>0</v>
      </c>
      <c r="E10" s="58">
        <v>1</v>
      </c>
      <c r="F10" s="58">
        <v>1</v>
      </c>
      <c r="G10" s="58">
        <v>1</v>
      </c>
      <c r="H10" s="58">
        <v>0</v>
      </c>
      <c r="I10" s="58">
        <v>0</v>
      </c>
      <c r="J10" s="58">
        <v>0</v>
      </c>
      <c r="K10" s="58">
        <v>0.33700000000000002</v>
      </c>
      <c r="L10" s="58">
        <v>0.26700000000000002</v>
      </c>
      <c r="M10" s="58"/>
      <c r="N10" s="58"/>
      <c r="O10" s="58"/>
      <c r="DT10" s="139" t="s">
        <v>280</v>
      </c>
      <c r="EB10" s="33" t="s">
        <v>292</v>
      </c>
      <c r="ED10" s="33" t="s">
        <v>293</v>
      </c>
    </row>
    <row r="11" spans="1:134" s="34" customFormat="1" ht="15" customHeight="1" x14ac:dyDescent="0.25">
      <c r="A11" s="173" t="s">
        <v>18</v>
      </c>
      <c r="B11" s="110" t="s">
        <v>21</v>
      </c>
      <c r="C11" s="111" t="s">
        <v>19</v>
      </c>
      <c r="D11" s="112">
        <v>0</v>
      </c>
      <c r="E11" s="113">
        <v>0</v>
      </c>
      <c r="F11" s="113">
        <v>0</v>
      </c>
      <c r="G11" s="113">
        <v>1</v>
      </c>
      <c r="H11" s="113">
        <v>0</v>
      </c>
      <c r="I11" s="113">
        <v>0</v>
      </c>
      <c r="J11" s="113">
        <v>0</v>
      </c>
      <c r="K11" s="113">
        <v>0.33700000000000002</v>
      </c>
      <c r="L11" s="113">
        <v>0.26700000000000002</v>
      </c>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4" t="s">
        <v>24</v>
      </c>
      <c r="B14" s="198"/>
      <c r="C14" s="9" t="s">
        <v>25</v>
      </c>
      <c r="D14" s="61">
        <v>80</v>
      </c>
      <c r="E14" s="58">
        <v>73</v>
      </c>
      <c r="F14" s="58">
        <v>79</v>
      </c>
      <c r="G14" s="58">
        <v>67</v>
      </c>
      <c r="H14" s="58">
        <v>71</v>
      </c>
      <c r="I14" s="58">
        <v>71</v>
      </c>
      <c r="J14" s="58">
        <v>73</v>
      </c>
      <c r="K14" s="58">
        <v>67.281999999999996</v>
      </c>
      <c r="L14" s="58">
        <v>70.418000000000006</v>
      </c>
      <c r="M14" s="58"/>
      <c r="N14" s="58"/>
      <c r="O14" s="58"/>
      <c r="DT14" s="139" t="s">
        <v>284</v>
      </c>
      <c r="EB14" s="33" t="s">
        <v>291</v>
      </c>
      <c r="ED14" s="33" t="s">
        <v>295</v>
      </c>
    </row>
    <row r="15" spans="1:134" s="34" customFormat="1" ht="15" customHeight="1" x14ac:dyDescent="0.25">
      <c r="A15" s="173"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173"/>
      <c r="B16" s="110" t="s">
        <v>27</v>
      </c>
      <c r="C16" s="111" t="s">
        <v>25</v>
      </c>
      <c r="D16" s="112">
        <v>80</v>
      </c>
      <c r="E16" s="113">
        <v>73</v>
      </c>
      <c r="F16" s="113">
        <v>79</v>
      </c>
      <c r="G16" s="113">
        <v>67</v>
      </c>
      <c r="H16" s="113">
        <v>71</v>
      </c>
      <c r="I16" s="113">
        <v>71</v>
      </c>
      <c r="J16" s="113">
        <v>73</v>
      </c>
      <c r="K16" s="113">
        <v>67.281999999999996</v>
      </c>
      <c r="L16" s="113">
        <v>70.418000000000006</v>
      </c>
      <c r="M16" s="113"/>
      <c r="N16" s="113"/>
      <c r="O16" s="113"/>
      <c r="DT16" s="34" t="s">
        <v>286</v>
      </c>
      <c r="EB16" s="34" t="s">
        <v>291</v>
      </c>
      <c r="ED16" s="34" t="s">
        <v>295</v>
      </c>
    </row>
    <row r="17" spans="1:134" s="34" customFormat="1" ht="15" customHeight="1" x14ac:dyDescent="0.25">
      <c r="A17" s="173"/>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73"/>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E1" activePane="topRight" state="frozen"/>
      <selection activeCell="DS1" sqref="DS1:ED1048576"/>
      <selection pane="topRight" activeCell="L17" sqref="L17"/>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9</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v>1582</v>
      </c>
      <c r="E6" s="60">
        <v>1584</v>
      </c>
      <c r="F6" s="60">
        <v>1568</v>
      </c>
      <c r="G6" s="60">
        <v>1528</v>
      </c>
      <c r="H6" s="60">
        <v>1491</v>
      </c>
      <c r="I6" s="60">
        <v>1519</v>
      </c>
      <c r="J6" s="60">
        <v>1505</v>
      </c>
      <c r="K6" s="60">
        <v>1492.021</v>
      </c>
      <c r="L6" s="60">
        <v>1448.7739999999999</v>
      </c>
      <c r="M6" s="60"/>
      <c r="N6" s="60"/>
      <c r="O6" s="60"/>
      <c r="DS6" s="4" t="str">
        <f>VLOOKUP(Cover!$D$15, Country_list!$B$3:$C$44, 2, 0)</f>
        <v>RS</v>
      </c>
      <c r="DT6" s="33" t="s">
        <v>289</v>
      </c>
      <c r="DV6" s="33" t="s">
        <v>305</v>
      </c>
      <c r="EB6" s="33" t="s">
        <v>291</v>
      </c>
      <c r="ED6" s="33" t="s">
        <v>294</v>
      </c>
    </row>
    <row r="7" spans="1:134" ht="24" customHeight="1" x14ac:dyDescent="0.25">
      <c r="A7" s="174" t="s">
        <v>15</v>
      </c>
      <c r="B7" s="198"/>
      <c r="C7" s="9" t="s">
        <v>25</v>
      </c>
      <c r="D7" s="61"/>
      <c r="E7" s="58"/>
      <c r="F7" s="58"/>
      <c r="G7" s="58"/>
      <c r="H7" s="58"/>
      <c r="I7" s="58"/>
      <c r="J7" s="58"/>
      <c r="K7" s="58"/>
      <c r="L7" s="58"/>
      <c r="M7" s="58"/>
      <c r="N7" s="58"/>
      <c r="O7" s="58"/>
      <c r="DT7" s="33" t="s">
        <v>290</v>
      </c>
      <c r="EB7" s="33" t="s">
        <v>291</v>
      </c>
      <c r="ED7" s="33" t="s">
        <v>295</v>
      </c>
    </row>
    <row r="8" spans="1:134" ht="24" customHeight="1" x14ac:dyDescent="0.25">
      <c r="A8" s="174" t="s">
        <v>29</v>
      </c>
      <c r="B8" s="198"/>
      <c r="C8" s="9" t="s">
        <v>17</v>
      </c>
      <c r="D8" s="61">
        <v>272</v>
      </c>
      <c r="E8" s="58">
        <v>267</v>
      </c>
      <c r="F8" s="58">
        <v>244</v>
      </c>
      <c r="G8" s="58">
        <v>219</v>
      </c>
      <c r="H8" s="58">
        <v>179</v>
      </c>
      <c r="I8" s="58">
        <v>190</v>
      </c>
      <c r="J8" s="58">
        <v>211</v>
      </c>
      <c r="K8" s="58">
        <v>240.04300000000001</v>
      </c>
      <c r="L8" s="58">
        <v>244.01499999999999</v>
      </c>
      <c r="M8" s="58"/>
      <c r="N8" s="58"/>
      <c r="O8" s="58"/>
      <c r="DT8" s="33" t="s">
        <v>231</v>
      </c>
      <c r="EB8" s="33" t="s">
        <v>291</v>
      </c>
      <c r="ED8" s="33" t="s">
        <v>296</v>
      </c>
    </row>
    <row r="9" spans="1:134" ht="24" customHeight="1" x14ac:dyDescent="0.25">
      <c r="A9" s="174" t="s">
        <v>156</v>
      </c>
      <c r="B9" s="198"/>
      <c r="C9" s="9" t="s">
        <v>19</v>
      </c>
      <c r="D9" s="61">
        <v>9</v>
      </c>
      <c r="E9" s="58">
        <v>10</v>
      </c>
      <c r="F9" s="58">
        <v>9</v>
      </c>
      <c r="G9" s="58">
        <v>8</v>
      </c>
      <c r="H9" s="58">
        <v>8</v>
      </c>
      <c r="I9" s="58">
        <v>6</v>
      </c>
      <c r="J9" s="58">
        <v>8</v>
      </c>
      <c r="K9" s="58">
        <v>9.7929999999999993</v>
      </c>
      <c r="L9" s="58">
        <v>8.2070000000000007</v>
      </c>
      <c r="M9" s="58"/>
      <c r="N9" s="58"/>
      <c r="O9" s="58"/>
      <c r="DT9" s="33" t="s">
        <v>279</v>
      </c>
      <c r="EB9" s="33" t="s">
        <v>292</v>
      </c>
      <c r="ED9" s="33" t="s">
        <v>293</v>
      </c>
    </row>
    <row r="10" spans="1:134" ht="24" customHeight="1" x14ac:dyDescent="0.25">
      <c r="A10" s="174" t="s">
        <v>20</v>
      </c>
      <c r="B10" s="198"/>
      <c r="C10" s="9" t="s">
        <v>19</v>
      </c>
      <c r="D10" s="61">
        <v>6</v>
      </c>
      <c r="E10" s="58">
        <v>14</v>
      </c>
      <c r="F10" s="58">
        <v>19</v>
      </c>
      <c r="G10" s="58">
        <v>14</v>
      </c>
      <c r="H10" s="58">
        <v>9</v>
      </c>
      <c r="I10" s="58">
        <v>20</v>
      </c>
      <c r="J10" s="58">
        <v>13</v>
      </c>
      <c r="K10" s="58">
        <v>9.1920000000000002</v>
      </c>
      <c r="L10" s="58">
        <v>7.2759999999999998</v>
      </c>
      <c r="M10" s="58"/>
      <c r="N10" s="58"/>
      <c r="O10" s="58"/>
      <c r="DT10" s="139" t="s">
        <v>280</v>
      </c>
      <c r="EB10" s="33" t="s">
        <v>292</v>
      </c>
      <c r="ED10" s="33" t="s">
        <v>293</v>
      </c>
    </row>
    <row r="11" spans="1:134" s="34" customFormat="1" ht="15" customHeight="1" x14ac:dyDescent="0.25">
      <c r="A11" s="173" t="s">
        <v>18</v>
      </c>
      <c r="B11" s="110" t="s">
        <v>21</v>
      </c>
      <c r="C11" s="111" t="s">
        <v>19</v>
      </c>
      <c r="D11" s="112">
        <v>6</v>
      </c>
      <c r="E11" s="113">
        <v>14</v>
      </c>
      <c r="F11" s="113">
        <v>19</v>
      </c>
      <c r="G11" s="113">
        <v>14</v>
      </c>
      <c r="H11" s="113">
        <v>9</v>
      </c>
      <c r="I11" s="113">
        <v>20</v>
      </c>
      <c r="J11" s="113">
        <v>13</v>
      </c>
      <c r="K11" s="113">
        <v>9.1920000000000002</v>
      </c>
      <c r="L11" s="113">
        <v>7.2759999999999998</v>
      </c>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4" t="s">
        <v>24</v>
      </c>
      <c r="B14" s="198"/>
      <c r="C14" s="9" t="s">
        <v>25</v>
      </c>
      <c r="D14" s="61">
        <v>3095</v>
      </c>
      <c r="E14" s="58">
        <v>2814</v>
      </c>
      <c r="F14" s="58">
        <v>3043</v>
      </c>
      <c r="G14" s="58">
        <v>2582</v>
      </c>
      <c r="H14" s="58">
        <v>2745</v>
      </c>
      <c r="I14" s="58">
        <v>2731</v>
      </c>
      <c r="J14" s="58">
        <v>2815</v>
      </c>
      <c r="K14" s="58">
        <v>2590.3649999999998</v>
      </c>
      <c r="L14" s="58">
        <v>2711.0920000000001</v>
      </c>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v>3095</v>
      </c>
      <c r="E16" s="113">
        <v>2814</v>
      </c>
      <c r="F16" s="113">
        <v>3043</v>
      </c>
      <c r="G16" s="113">
        <v>2582</v>
      </c>
      <c r="H16" s="113">
        <v>2745</v>
      </c>
      <c r="I16" s="113">
        <v>2731</v>
      </c>
      <c r="J16" s="113">
        <v>2815</v>
      </c>
      <c r="K16" s="113">
        <v>2590.3420000000001</v>
      </c>
      <c r="L16" s="113">
        <v>2711.076</v>
      </c>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D1" activePane="topRight" state="frozen"/>
      <selection activeCell="DS1" sqref="DS1:ED1048576"/>
      <selection pane="topRight" activeCell="L7" sqref="L7"/>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10</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7" t="s">
        <v>13</v>
      </c>
      <c r="B6" s="208"/>
      <c r="C6" s="32" t="s">
        <v>14</v>
      </c>
      <c r="D6" s="62">
        <v>6283</v>
      </c>
      <c r="E6" s="63">
        <v>6291</v>
      </c>
      <c r="F6" s="63">
        <v>6228</v>
      </c>
      <c r="G6" s="63">
        <v>6069</v>
      </c>
      <c r="H6" s="63">
        <v>5921</v>
      </c>
      <c r="I6" s="63">
        <v>6033</v>
      </c>
      <c r="J6" s="63">
        <v>5976</v>
      </c>
      <c r="K6" s="63">
        <v>5926.64</v>
      </c>
      <c r="L6" s="63">
        <v>5754.8509999999997</v>
      </c>
      <c r="M6" s="63"/>
      <c r="N6" s="63"/>
      <c r="O6" s="63"/>
      <c r="DS6" s="4" t="str">
        <f>VLOOKUP(Cover!$D$15, Country_list!$B$3:$C$44, 2, 0)</f>
        <v>RS</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D1" sqref="D1"/>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11</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209"/>
      <c r="C6" s="8" t="s">
        <v>14</v>
      </c>
      <c r="D6" s="59"/>
      <c r="E6" s="60"/>
      <c r="F6" s="60"/>
      <c r="G6" s="60"/>
      <c r="H6" s="60"/>
      <c r="I6" s="60"/>
      <c r="J6" s="60"/>
      <c r="K6" s="60"/>
      <c r="L6" s="60"/>
      <c r="M6" s="60"/>
      <c r="N6" s="60"/>
      <c r="O6" s="60"/>
      <c r="DS6" s="4" t="str">
        <f>VLOOKUP(Cover!$D$15, Country_list!$B$3:$C$44, 2, 0)</f>
        <v>RS</v>
      </c>
      <c r="DT6" s="33" t="s">
        <v>289</v>
      </c>
      <c r="DV6" s="33" t="s">
        <v>307</v>
      </c>
      <c r="EB6" s="33" t="s">
        <v>291</v>
      </c>
      <c r="ED6" s="33" t="s">
        <v>294</v>
      </c>
    </row>
    <row r="7" spans="1:134" ht="24" customHeight="1" x14ac:dyDescent="0.25">
      <c r="A7" s="174" t="s">
        <v>15</v>
      </c>
      <c r="B7" s="210"/>
      <c r="C7" s="9" t="s">
        <v>25</v>
      </c>
      <c r="D7" s="61"/>
      <c r="E7" s="58"/>
      <c r="F7" s="58"/>
      <c r="G7" s="58"/>
      <c r="H7" s="58"/>
      <c r="I7" s="58"/>
      <c r="J7" s="58"/>
      <c r="K7" s="58"/>
      <c r="L7" s="58"/>
      <c r="M7" s="58"/>
      <c r="N7" s="58"/>
      <c r="O7" s="58"/>
      <c r="DT7" s="33" t="s">
        <v>290</v>
      </c>
      <c r="EB7" s="33" t="s">
        <v>291</v>
      </c>
      <c r="ED7" s="33" t="s">
        <v>295</v>
      </c>
    </row>
    <row r="8" spans="1:134" ht="24" customHeight="1" x14ac:dyDescent="0.25">
      <c r="A8" s="174" t="s">
        <v>29</v>
      </c>
      <c r="B8" s="210"/>
      <c r="C8" s="9" t="s">
        <v>17</v>
      </c>
      <c r="D8" s="61"/>
      <c r="E8" s="58"/>
      <c r="F8" s="58"/>
      <c r="G8" s="58"/>
      <c r="H8" s="58"/>
      <c r="I8" s="58"/>
      <c r="J8" s="58"/>
      <c r="K8" s="58"/>
      <c r="L8" s="58"/>
      <c r="M8" s="58"/>
      <c r="N8" s="58"/>
      <c r="O8" s="58"/>
      <c r="DT8" s="33" t="s">
        <v>231</v>
      </c>
      <c r="EB8" s="33" t="s">
        <v>291</v>
      </c>
      <c r="ED8" s="33" t="s">
        <v>296</v>
      </c>
    </row>
    <row r="9" spans="1:134" ht="24" customHeight="1" x14ac:dyDescent="0.25">
      <c r="A9" s="174" t="s">
        <v>156</v>
      </c>
      <c r="B9" s="198"/>
      <c r="C9" s="9" t="s">
        <v>19</v>
      </c>
      <c r="D9" s="61"/>
      <c r="E9" s="58"/>
      <c r="F9" s="58"/>
      <c r="G9" s="58"/>
      <c r="H9" s="58"/>
      <c r="I9" s="58"/>
      <c r="J9" s="58"/>
      <c r="K9" s="58"/>
      <c r="L9" s="58"/>
      <c r="M9" s="58"/>
      <c r="N9" s="58"/>
      <c r="O9" s="58"/>
      <c r="DT9" s="33" t="s">
        <v>279</v>
      </c>
      <c r="EB9" s="33" t="s">
        <v>292</v>
      </c>
      <c r="ED9" s="33" t="s">
        <v>293</v>
      </c>
    </row>
    <row r="10" spans="1:134" ht="24" customHeight="1" x14ac:dyDescent="0.25">
      <c r="A10" s="174" t="s">
        <v>20</v>
      </c>
      <c r="B10" s="198"/>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73"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4" t="s">
        <v>24</v>
      </c>
      <c r="B14" s="198"/>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election activeCell="C5" sqref="C5:C43"/>
    </sheetView>
  </sheetViews>
  <sheetFormatPr defaultColWidth="9.140625"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1" t="s">
        <v>44</v>
      </c>
      <c r="C3" s="212"/>
      <c r="D3" s="213"/>
    </row>
    <row r="4" spans="2:4" ht="15.75" thickBot="1" x14ac:dyDescent="0.3"/>
    <row r="5" spans="2:4" ht="15" customHeight="1" x14ac:dyDescent="0.25">
      <c r="B5" s="39"/>
      <c r="C5" s="214"/>
      <c r="D5" s="95"/>
    </row>
    <row r="6" spans="2:4" x14ac:dyDescent="0.25">
      <c r="B6" s="40"/>
      <c r="C6" s="215"/>
      <c r="D6" s="41"/>
    </row>
    <row r="7" spans="2:4" x14ac:dyDescent="0.25">
      <c r="B7" s="40"/>
      <c r="C7" s="215"/>
      <c r="D7" s="41"/>
    </row>
    <row r="8" spans="2:4" x14ac:dyDescent="0.25">
      <c r="B8" s="40"/>
      <c r="C8" s="215"/>
      <c r="D8" s="41"/>
    </row>
    <row r="9" spans="2:4" x14ac:dyDescent="0.25">
      <c r="B9" s="40"/>
      <c r="C9" s="215"/>
      <c r="D9" s="41"/>
    </row>
    <row r="10" spans="2:4" x14ac:dyDescent="0.25">
      <c r="B10" s="40"/>
      <c r="C10" s="215"/>
      <c r="D10" s="41"/>
    </row>
    <row r="11" spans="2:4" x14ac:dyDescent="0.25">
      <c r="B11" s="40"/>
      <c r="C11" s="215"/>
      <c r="D11" s="41"/>
    </row>
    <row r="12" spans="2:4" x14ac:dyDescent="0.25">
      <c r="B12" s="40"/>
      <c r="C12" s="215"/>
      <c r="D12" s="41"/>
    </row>
    <row r="13" spans="2:4" x14ac:dyDescent="0.25">
      <c r="B13" s="40"/>
      <c r="C13" s="215"/>
      <c r="D13" s="41"/>
    </row>
    <row r="14" spans="2:4" x14ac:dyDescent="0.25">
      <c r="B14" s="40"/>
      <c r="C14" s="215"/>
      <c r="D14" s="41"/>
    </row>
    <row r="15" spans="2:4" x14ac:dyDescent="0.25">
      <c r="B15" s="40"/>
      <c r="C15" s="215"/>
      <c r="D15" s="41"/>
    </row>
    <row r="16" spans="2:4" x14ac:dyDescent="0.25">
      <c r="B16" s="40"/>
      <c r="C16" s="215"/>
      <c r="D16" s="41"/>
    </row>
    <row r="17" spans="2:4" x14ac:dyDescent="0.25">
      <c r="B17" s="40"/>
      <c r="C17" s="215"/>
      <c r="D17" s="41"/>
    </row>
    <row r="18" spans="2:4" x14ac:dyDescent="0.25">
      <c r="B18" s="40"/>
      <c r="C18" s="215"/>
      <c r="D18" s="41"/>
    </row>
    <row r="19" spans="2:4" x14ac:dyDescent="0.25">
      <c r="B19" s="40"/>
      <c r="C19" s="215"/>
      <c r="D19" s="41"/>
    </row>
    <row r="20" spans="2:4" x14ac:dyDescent="0.25">
      <c r="B20" s="40"/>
      <c r="C20" s="215"/>
      <c r="D20" s="41"/>
    </row>
    <row r="21" spans="2:4" x14ac:dyDescent="0.25">
      <c r="B21" s="40"/>
      <c r="C21" s="215"/>
      <c r="D21" s="41"/>
    </row>
    <row r="22" spans="2:4" x14ac:dyDescent="0.25">
      <c r="B22" s="40"/>
      <c r="C22" s="215"/>
      <c r="D22" s="41"/>
    </row>
    <row r="23" spans="2:4" x14ac:dyDescent="0.25">
      <c r="B23" s="40"/>
      <c r="C23" s="215"/>
      <c r="D23" s="41"/>
    </row>
    <row r="24" spans="2:4" x14ac:dyDescent="0.25">
      <c r="B24" s="40"/>
      <c r="C24" s="215"/>
      <c r="D24" s="41"/>
    </row>
    <row r="25" spans="2:4" x14ac:dyDescent="0.25">
      <c r="B25" s="40"/>
      <c r="C25" s="215"/>
      <c r="D25" s="41"/>
    </row>
    <row r="26" spans="2:4" x14ac:dyDescent="0.25">
      <c r="B26" s="40"/>
      <c r="C26" s="215"/>
      <c r="D26" s="41"/>
    </row>
    <row r="27" spans="2:4" x14ac:dyDescent="0.25">
      <c r="B27" s="40"/>
      <c r="C27" s="215"/>
      <c r="D27" s="41"/>
    </row>
    <row r="28" spans="2:4" x14ac:dyDescent="0.25">
      <c r="B28" s="40"/>
      <c r="C28" s="215"/>
      <c r="D28" s="41"/>
    </row>
    <row r="29" spans="2:4" x14ac:dyDescent="0.25">
      <c r="B29" s="40"/>
      <c r="C29" s="215"/>
      <c r="D29" s="41"/>
    </row>
    <row r="30" spans="2:4" x14ac:dyDescent="0.25">
      <c r="B30" s="40"/>
      <c r="C30" s="215"/>
      <c r="D30" s="41"/>
    </row>
    <row r="31" spans="2:4" x14ac:dyDescent="0.25">
      <c r="B31" s="40"/>
      <c r="C31" s="215"/>
      <c r="D31" s="41"/>
    </row>
    <row r="32" spans="2:4" x14ac:dyDescent="0.25">
      <c r="B32" s="40"/>
      <c r="C32" s="215"/>
      <c r="D32" s="41"/>
    </row>
    <row r="33" spans="2:4" x14ac:dyDescent="0.25">
      <c r="B33" s="40"/>
      <c r="C33" s="215"/>
      <c r="D33" s="41"/>
    </row>
    <row r="34" spans="2:4" x14ac:dyDescent="0.25">
      <c r="B34" s="40"/>
      <c r="C34" s="215"/>
      <c r="D34" s="41"/>
    </row>
    <row r="35" spans="2:4" x14ac:dyDescent="0.25">
      <c r="B35" s="40"/>
      <c r="C35" s="215"/>
      <c r="D35" s="41"/>
    </row>
    <row r="36" spans="2:4" x14ac:dyDescent="0.25">
      <c r="B36" s="40"/>
      <c r="C36" s="215"/>
      <c r="D36" s="41"/>
    </row>
    <row r="37" spans="2:4" x14ac:dyDescent="0.25">
      <c r="B37" s="40"/>
      <c r="C37" s="215"/>
      <c r="D37" s="41"/>
    </row>
    <row r="38" spans="2:4" x14ac:dyDescent="0.25">
      <c r="B38" s="40"/>
      <c r="C38" s="215"/>
      <c r="D38" s="41"/>
    </row>
    <row r="39" spans="2:4" x14ac:dyDescent="0.25">
      <c r="B39" s="40"/>
      <c r="C39" s="215"/>
      <c r="D39" s="41"/>
    </row>
    <row r="40" spans="2:4" x14ac:dyDescent="0.25">
      <c r="B40" s="40"/>
      <c r="C40" s="215"/>
      <c r="D40" s="41"/>
    </row>
    <row r="41" spans="2:4" x14ac:dyDescent="0.25">
      <c r="B41" s="40"/>
      <c r="C41" s="215"/>
      <c r="D41" s="41"/>
    </row>
    <row r="42" spans="2:4" x14ac:dyDescent="0.25">
      <c r="B42" s="40"/>
      <c r="C42" s="215"/>
      <c r="D42" s="41"/>
    </row>
    <row r="43" spans="2:4" ht="15.75" thickBot="1" x14ac:dyDescent="0.3">
      <c r="B43" s="42"/>
      <c r="C43" s="216"/>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topLeftCell="A16" zoomScale="90" zoomScaleNormal="90" workbookViewId="0"/>
  </sheetViews>
  <sheetFormatPr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TRUE</v>
      </c>
      <c r="D42" s="99" t="str">
        <f>IF(Calorific_Values!E9&lt;&gt;0,IF(AND(5000&lt;=Calorific_Values!E9,Calorific_Values!E9&lt;=30000),"TRUE","FALSE"),"")</f>
        <v>TRUE</v>
      </c>
      <c r="E42" s="99" t="str">
        <f>IF(Calorific_Values!F9&lt;&gt;0,IF(AND(5000&lt;=Calorific_Values!F9,Calorific_Values!F9&lt;=30000),"TRUE","FALSE"),"")</f>
        <v>TRUE</v>
      </c>
      <c r="F42" s="99" t="str">
        <f>IF(Calorific_Values!G9&lt;&gt;0,IF(AND(5000&lt;=Calorific_Values!G9,Calorific_Values!G9&lt;=30000),"TRUE","FALSE"),"")</f>
        <v>TRUE</v>
      </c>
      <c r="G42" s="99" t="str">
        <f>IF(Calorific_Values!H9&lt;&gt;0,IF(AND(5000&lt;=Calorific_Values!H9,Calorific_Values!H9&lt;=30000),"TRUE","FALSE"),"")</f>
        <v>TRUE</v>
      </c>
      <c r="H42" s="99" t="str">
        <f>IF(Calorific_Values!I9&lt;&gt;0,IF(AND(5000&lt;=Calorific_Values!I9,Calorific_Values!I9&lt;=30000),"TRUE","FALSE"),"")</f>
        <v>TRUE</v>
      </c>
      <c r="I42" s="99" t="str">
        <f>IF(Calorific_Values!J9&lt;&gt;0,IF(AND(5000&lt;=Calorific_Values!J9,Calorific_Values!J9&lt;=30000),"TRUE","FALSE"),"")</f>
        <v>TRUE</v>
      </c>
      <c r="J42" s="99" t="str">
        <f>IF(Calorific_Values!K9&lt;&gt;0,IF(AND(5000&lt;=Calorific_Values!K9,Calorific_Values!K9&lt;=30000),"TRUE","FALSE"),"")</f>
        <v>TRUE</v>
      </c>
      <c r="K42" s="99" t="str">
        <f>IF(Calorific_Values!L9&lt;&gt;0,IF(AND(5000&lt;=Calorific_Values!L9,Calorific_Values!L9&lt;=30000),"TRUE","FALSE"),"")</f>
        <v>TRUE</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TRUE</v>
      </c>
      <c r="D43" s="99" t="str">
        <f>IF(Calorific_Values!E10&lt;&gt;0,IF(AND(40000&lt;=Calorific_Values!E10,Calorific_Values!E10&lt;=50000),"TRUE","FALSE"),"")</f>
        <v>TRUE</v>
      </c>
      <c r="E43" s="99" t="str">
        <f>IF(Calorific_Values!F10&lt;&gt;0,IF(AND(40000&lt;=Calorific_Values!F10,Calorific_Values!F10&lt;=50000),"TRUE","FALSE"),"")</f>
        <v>TRUE</v>
      </c>
      <c r="F43" s="99" t="str">
        <f>IF(Calorific_Values!G10&lt;&gt;0,IF(AND(40000&lt;=Calorific_Values!G10,Calorific_Values!G10&lt;=50000),"TRUE","FALSE"),"")</f>
        <v>TRUE</v>
      </c>
      <c r="G43" s="99" t="str">
        <f>IF(Calorific_Values!H10&lt;&gt;0,IF(AND(40000&lt;=Calorific_Values!H10,Calorific_Values!H10&lt;=50000),"TRUE","FALSE"),"")</f>
        <v>TRUE</v>
      </c>
      <c r="H43" s="99" t="str">
        <f>IF(Calorific_Values!I10&lt;&gt;0,IF(AND(40000&lt;=Calorific_Values!I10,Calorific_Values!I10&lt;=50000),"TRUE","FALSE"),"")</f>
        <v>TRUE</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TRUE</v>
      </c>
      <c r="D44" s="99" t="str">
        <f>IF(Calorific_Values!E11&lt;&gt;0,IF(AND(40000&lt;=Calorific_Values!E11,Calorific_Values!E11&lt;=50000),"TRUE","FALSE"),"")</f>
        <v>TRUE</v>
      </c>
      <c r="E44" s="99" t="str">
        <f>IF(Calorific_Values!F11&lt;&gt;0,IF(AND(40000&lt;=Calorific_Values!F11,Calorific_Values!F11&lt;=50000),"TRUE","FALSE"),"")</f>
        <v>TRUE</v>
      </c>
      <c r="F44" s="99" t="str">
        <f>IF(Calorific_Values!G11&lt;&gt;0,IF(AND(40000&lt;=Calorific_Values!G11,Calorific_Values!G11&lt;=50000),"TRUE","FALSE"),"")</f>
        <v>TRUE</v>
      </c>
      <c r="G44" s="99" t="str">
        <f>IF(Calorific_Values!H11&lt;&gt;0,IF(AND(40000&lt;=Calorific_Values!H11,Calorific_Values!H11&lt;=50000),"TRUE","FALSE"),"")</f>
        <v>TRUE</v>
      </c>
      <c r="H44" s="99" t="str">
        <f>IF(Calorific_Values!I11&lt;&gt;0,IF(AND(40000&lt;=Calorific_Values!I11,Calorific_Values!I11&lt;=50000),"TRUE","FALSE"),"")</f>
        <v>TRUE</v>
      </c>
      <c r="I44" s="99" t="str">
        <f>IF(Calorific_Values!J11&lt;&gt;0,IF(AND(40000&lt;=Calorific_Values!J11,Calorific_Values!J11&lt;=50000),"TRUE","FALSE"),"")</f>
        <v>TRUE</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
      </c>
      <c r="D45" s="99" t="str">
        <f>IF(Calorific_Values!E12&lt;&gt;0,IF(AND(40000&lt;=Calorific_Values!E12,Calorific_Values!E12&lt;=45000),"TRUE","FALSE"),"")</f>
        <v/>
      </c>
      <c r="E45" s="99" t="str">
        <f>IF(Calorific_Values!F12&lt;&gt;0,IF(AND(40000&lt;=Calorific_Values!F12,Calorific_Values!F12&lt;=45000),"TRUE","FALSE"),"")</f>
        <v/>
      </c>
      <c r="F45" s="99" t="str">
        <f>IF(Calorific_Values!G12&lt;&gt;0,IF(AND(40000&lt;=Calorific_Values!G12,Calorific_Values!G12&lt;=45000),"TRUE","FALSE"),"")</f>
        <v/>
      </c>
      <c r="G45" s="99" t="str">
        <f>IF(Calorific_Values!H12&lt;&gt;0,IF(AND(40000&lt;=Calorific_Values!H12,Calorific_Values!H12&lt;=45000),"TRUE","FALSE"),"")</f>
        <v/>
      </c>
      <c r="H45" s="99" t="str">
        <f>IF(Calorific_Values!I12&lt;&gt;0,IF(AND(40000&lt;=Calorific_Values!I12,Calorific_Values!I12&lt;=45000),"TRUE","FALSE"),"")</f>
        <v/>
      </c>
      <c r="I45" s="99" t="str">
        <f>IF(Calorific_Values!J12&lt;&gt;0,IF(AND(40000&lt;=Calorific_Values!J12,Calorific_Values!J12&lt;=45000),"TRUE","FALSE"),"")</f>
        <v/>
      </c>
      <c r="J45" s="99" t="str">
        <f>IF(Calorific_Values!K12&lt;&gt;0,IF(AND(40000&lt;=Calorific_Values!K12,Calorific_Values!K12&lt;=45000),"TRUE","FALSE"),"")</f>
        <v/>
      </c>
      <c r="K45" s="99" t="str">
        <f>IF(Calorific_Values!L12&lt;&gt;0,IF(AND(40000&lt;=Calorific_Values!L12,Calorific_Values!L12&lt;=45000),"TRUE","FALSE"),"")</f>
        <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
      </c>
      <c r="D46" s="99" t="str">
        <f>IF(Calorific_Values!E13&lt;&gt;0,IF(AND(40000&lt;=Calorific_Values!E13,Calorific_Values!E13&lt;=45000),"TRUE","FALSE"),"")</f>
        <v/>
      </c>
      <c r="E46" s="99" t="str">
        <f>IF(Calorific_Values!F13&lt;&gt;0,IF(AND(40000&lt;=Calorific_Values!F13,Calorific_Values!F13&lt;=45000),"TRUE","FALSE"),"")</f>
        <v/>
      </c>
      <c r="F46" s="99" t="str">
        <f>IF(Calorific_Values!G13&lt;&gt;0,IF(AND(40000&lt;=Calorific_Values!G13,Calorific_Values!G13&lt;=45000),"TRUE","FALSE"),"")</f>
        <v/>
      </c>
      <c r="G46" s="99" t="str">
        <f>IF(Calorific_Values!H13&lt;&gt;0,IF(AND(40000&lt;=Calorific_Values!H13,Calorific_Values!H13&lt;=45000),"TRUE","FALSE"),"")</f>
        <v/>
      </c>
      <c r="H46" s="99" t="str">
        <f>IF(Calorific_Values!I13&lt;&gt;0,IF(AND(40000&lt;=Calorific_Values!I13,Calorific_Values!I13&lt;=45000),"TRUE","FALSE"),"")</f>
        <v/>
      </c>
      <c r="I46" s="99" t="str">
        <f>IF(Calorific_Values!J13&lt;&gt;0,IF(AND(40000&lt;=Calorific_Values!J13,Calorific_Values!J13&lt;=45000),"TRUE","FALSE"),"")</f>
        <v/>
      </c>
      <c r="J46" s="99" t="str">
        <f>IF(Calorific_Values!K13&lt;&gt;0,IF(AND(40000&lt;=Calorific_Values!K13,Calorific_Values!K13&lt;=45000),"TRUE","FALSE"),"")</f>
        <v/>
      </c>
      <c r="K46" s="99" t="str">
        <f>IF(Calorific_Values!L13&lt;&gt;0,IF(AND(40000&lt;=Calorific_Values!L13,Calorific_Values!L13&lt;=45000),"TRUE","FALSE"),"")</f>
        <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2019-10-23T08:08:08Z</cp:lastPrinted>
  <dcterms:created xsi:type="dcterms:W3CDTF">2014-09-17T09:30:01Z</dcterms:created>
  <dcterms:modified xsi:type="dcterms:W3CDTF">2020-01-30T14:21:28Z</dcterms:modified>
  <cp:category>Annual questionnaires</cp:category>
</cp:coreProperties>
</file>