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2.xml" ContentType="application/vnd.openxmlformats-officedocument.drawing+xml"/>
  <Override PartName="/xl/ctrlProps/ctrlProp13.xml" ContentType="application/vnd.ms-excel.controlproperties+xml"/>
  <Override PartName="/xl/drawings/drawing3.xml" ContentType="application/vnd.openxmlformats-officedocument.drawing+xml"/>
  <Override PartName="/xl/ctrlProps/ctrlProp14.xml" ContentType="application/vnd.ms-excel.controlproperties+xml"/>
  <Override PartName="/xl/drawings/drawing4.xml" ContentType="application/vnd.openxmlformats-officedocument.drawing+xml"/>
  <Override PartName="/xl/ctrlProps/ctrlProp15.xml" ContentType="application/vnd.ms-excel.controlproperties+xml"/>
  <Override PartName="/xl/drawings/drawing5.xml" ContentType="application/vnd.openxmlformats-officedocument.drawing+xml"/>
  <Override PartName="/xl/ctrlProps/ctrlProp16.xml" ContentType="application/vnd.ms-excel.controlproperties+xml"/>
  <Override PartName="/xl/drawings/drawing6.xml" ContentType="application/vnd.openxmlformats-officedocument.drawing+xml"/>
  <Override PartName="/xl/ctrlProps/ctrlProp17.xml" ContentType="application/vnd.ms-excel.controlproperties+xml"/>
  <Override PartName="/xl/comments1.xml" ContentType="application/vnd.openxmlformats-officedocument.spreadsheetml.comments+xml"/>
  <Override PartName="/xl/drawings/drawing7.xml" ContentType="application/vnd.openxmlformats-officedocument.drawing+xml"/>
  <Override PartName="/xl/ctrlProps/ctrlProp18.xml" ContentType="application/vnd.ms-excel.controlproperties+xml"/>
  <Override PartName="/xl/comments2.xml" ContentType="application/vnd.openxmlformats-officedocument.spreadsheetml.comments+xml"/>
  <Override PartName="/xl/drawings/drawing8.xml" ContentType="application/vnd.openxmlformats-officedocument.drawing+xml"/>
  <Override PartName="/xl/ctrlProps/ctrlProp19.xml" ContentType="application/vnd.ms-excel.controlproperties+xml"/>
  <Override PartName="/xl/comments3.xml" ContentType="application/vnd.openxmlformats-officedocument.spreadsheetml.comments+xml"/>
  <Override PartName="/xl/drawings/drawing9.xml" ContentType="application/vnd.openxmlformats-officedocument.drawing+xml"/>
  <Override PartName="/xl/ctrlProps/ctrlProp20.xml" ContentType="application/vnd.ms-excel.controlproperties+xml"/>
  <Override PartName="/xl/comments4.xml" ContentType="application/vnd.openxmlformats-officedocument.spreadsheetml.comments+xml"/>
  <Override PartName="/xl/drawings/drawing10.xml" ContentType="application/vnd.openxmlformats-officedocument.drawing+xml"/>
  <Override PartName="/xl/ctrlProps/ctrlProp21.xml" ContentType="application/vnd.ms-excel.controlproperties+xml"/>
  <Override PartName="/xl/drawings/drawing11.xml" ContentType="application/vnd.openxmlformats-officedocument.drawing+xml"/>
  <Override PartName="/xl/ctrlProps/ctrlProp22.xml" ContentType="application/vnd.ms-excel.controlproperties+xml"/>
  <Override PartName="/xl/comments5.xml" ContentType="application/vnd.openxmlformats-officedocument.spreadsheetml.comments+xml"/>
  <Override PartName="/xl/drawings/drawing12.xml" ContentType="application/vnd.openxmlformats-officedocument.drawing+xml"/>
  <Override PartName="/xl/ctrlProps/ctrlProp23.xml" ContentType="application/vnd.ms-excel.controlproperties+xml"/>
  <Override PartName="/xl/drawings/drawing13.xml" ContentType="application/vnd.openxmlformats-officedocument.drawing+xml"/>
  <Override PartName="/xl/ctrlProps/ctrlProp2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U:\Energy\Data\ESH\2018-ref_year\received data\FINAL DATA\"/>
    </mc:Choice>
  </mc:AlternateContent>
  <bookViews>
    <workbookView xWindow="-19320" yWindow="255" windowWidth="19440" windowHeight="15600" tabRatio="872"/>
  </bookViews>
  <sheets>
    <sheet name="Cover" sheetId="2" r:id="rId1"/>
    <sheet name="Definitions" sheetId="3" r:id="rId2"/>
    <sheet name="Calorific_Values" sheetId="4" r:id="rId3"/>
    <sheet name="Table1_Totals" sheetId="5" r:id="rId4"/>
    <sheet name="Table2_Energy_Totals" sheetId="15" r:id="rId5"/>
    <sheet name="1a_SpaceHeating" sheetId="6" r:id="rId6"/>
    <sheet name="1b_SpaceCooling" sheetId="7" r:id="rId7"/>
    <sheet name="1c_WaterHeating" sheetId="8" r:id="rId8"/>
    <sheet name="1d_Cooking" sheetId="9" r:id="rId9"/>
    <sheet name="1e_LightingAndAppliances" sheetId="10" r:id="rId10"/>
    <sheet name="1f_OtherEndUses" sheetId="11" r:id="rId11"/>
    <sheet name="Remarks" sheetId="12" r:id="rId12"/>
    <sheet name="Country_list" sheetId="13" state="hidden" r:id="rId13"/>
    <sheet name="Validation" sheetId="14" r:id="rId14"/>
    <sheet name="Parameter_mapping" sheetId="16" state="hidden" r:id="rId15"/>
    <sheet name="Parameters" sheetId="17" state="hidden" r:id="rId16"/>
  </sheets>
  <externalReferences>
    <externalReference r:id="rId17"/>
    <externalReference r:id="rId18"/>
    <externalReference r:id="rId19"/>
  </externalReferences>
  <definedNames>
    <definedName name="aa"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bb"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ChosenCountry">[1]Cover!$F$43</definedName>
    <definedName name="ChosenYear">[1]Cover!$G$127</definedName>
    <definedName name="Countries">[1]Cover!$K$112:$N$178</definedName>
    <definedName name="Country">[1]Cover!$G$113</definedName>
    <definedName name="CountryList">[1]Cover!$K$112:$K$178</definedName>
    <definedName name="CountryRow">[1]Cover!$G$122</definedName>
    <definedName name="elec"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2"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3"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c"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GCV">[1]Menu!$AE$30</definedName>
    <definedName name="IndexYear">[1]Cover!$G$128</definedName>
    <definedName name="IsoCodes">[1]Cover!$G$129</definedName>
    <definedName name="Lang">[1]Cover!$G$119</definedName>
    <definedName name="LangCntry">[1]Cover!$P$112:$R$178</definedName>
    <definedName name="LANGCover">[1]Cover!$AA$2:$AC$43</definedName>
    <definedName name="LangMenu">[1]Menu!$AG$2:$AW$31</definedName>
    <definedName name="LangT1C">[1]TABLE1!$AH$1:$AJ$40</definedName>
    <definedName name="LangT1R">[1]TABLE1!$E$100:$H$102</definedName>
    <definedName name="LangT2bC">[1]TABLE2b!$AF$1:$AH$34</definedName>
    <definedName name="LangT2bR">[1]TABLE2b!$E$100:$F$102</definedName>
    <definedName name="LangT2C">[1]TABLE2a!$AE$1:$AG$37</definedName>
    <definedName name="LANGT2R">'[2]Table 2'!$E$211:$O$213</definedName>
    <definedName name="LangT3C">[1]TABLE3!$AM$1:$AO$172</definedName>
    <definedName name="LangT3R_1">[1]TABLE3!$E$200:$H$202</definedName>
    <definedName name="LangT3R_2">[1]TABLE3!$E$210:$H$212</definedName>
    <definedName name="LangT4C">[1]TABLE4!$AM$1:$AO$173</definedName>
    <definedName name="LANGT4C1">'[2]Table 4'!$BB$1:$BD$29</definedName>
    <definedName name="LANGT4C2">'[2]Table 4'!$BF$1:$BH$29</definedName>
    <definedName name="LANGT4R">'[2]Table 4'!$E$120:$Q$122</definedName>
    <definedName name="LangT4R_1">[1]TABLE4!$E$200:$H$202</definedName>
    <definedName name="LangT4R_2">[1]TABLE4!$E$210:$H$212</definedName>
    <definedName name="LangT5aR">[1]TABLE5a!$AA$150:$AD$152</definedName>
    <definedName name="LangT5bC">[1]TABLE5b!$AI$1:$AK$106</definedName>
    <definedName name="LangT5bR">[1]TABLE5b!$C$149:$I$151</definedName>
    <definedName name="LangT5C">[1]TABLE5a!$AF$1:$AH$114</definedName>
    <definedName name="LangT5cC">[1]TABLE5c!$AI$1:$AK$106</definedName>
    <definedName name="LangT5cR">[1]TABLE5c!$C$149:$I$151</definedName>
    <definedName name="LangT5R">[1]TABLE5a!$C$150:$F$152</definedName>
    <definedName name="LangT6C">[1]TABLE6!$AH$1:$AJ$106</definedName>
    <definedName name="LangT6R">[1]TABLE6!$C$148:$G$150</definedName>
    <definedName name="LANGTS">[2]Anthracite!$BT$1:$BV$422</definedName>
    <definedName name="LangTS1">'[1]1_Supply'!$DJ$1:$DL$122</definedName>
    <definedName name="LangTS2">'[1]2a_Consumption'!$DF$1:$DH$31</definedName>
    <definedName name="LangTS2b">'[1]2b_TFC_EnergyUse'!$DJ$1:$DL$29</definedName>
    <definedName name="LangTS2b2">'[1]2b_TFC_Non-EnergyUse'!$DJ$1:$DL$1</definedName>
    <definedName name="LangTS3i">'[1]3i_Imports'!$DJ$1:$DL$337</definedName>
    <definedName name="LangTS3ii">'[1]3ii_Imports_OfWhich LNG'!$DJ$1:$DL$337</definedName>
    <definedName name="LangTS4i">'[1]4i_Exports'!$DJ$1:$DL$338</definedName>
    <definedName name="LangTS4ii">'[1]4ii_Exports_OfWhich LNG'!$DJ$1:$DL$337</definedName>
    <definedName name="LangTS5">[1]Remarks!$AA$2:$AC$2</definedName>
    <definedName name="LastYear">[1]Cover!$G$134</definedName>
    <definedName name="latest_year">'[3]MACRO ECONOMIC DATA'!$D$133</definedName>
    <definedName name="MCM">[1]Menu!$AE$28</definedName>
    <definedName name="MenuButton">[1]Menu!$AE$27</definedName>
    <definedName name="PartnersISO">#REF!</definedName>
    <definedName name="PartnersList">#REF!</definedName>
    <definedName name="_xlnm.Print_Area" localSheetId="5">'1a_SpaceHeating'!$A$1:$K$18</definedName>
    <definedName name="_xlnm.Print_Area" localSheetId="6">'1b_SpaceCooling'!$A$1:$K$6</definedName>
    <definedName name="_xlnm.Print_Area" localSheetId="7">'1c_WaterHeating'!$A$1:$K$18</definedName>
    <definedName name="_xlnm.Print_Area" localSheetId="8">'1d_Cooking'!$A$1:$K$17</definedName>
    <definedName name="_xlnm.Print_Area" localSheetId="9">'1e_LightingAndAppliances'!$A$1:$K$6</definedName>
    <definedName name="_xlnm.Print_Area" localSheetId="10">'1f_OtherEndUses'!$A$1:$K$17</definedName>
    <definedName name="_xlnm.Print_Area" localSheetId="2">Calorific_Values!$A$1:$K$18</definedName>
    <definedName name="_xlnm.Print_Area" localSheetId="0">Cover!$A$1:$E$44</definedName>
    <definedName name="_xlnm.Print_Area" localSheetId="1">Definitions!$B$2:$C$81</definedName>
    <definedName name="_xlnm.Print_Area" localSheetId="11">Remarks!$B$3:$D$43</definedName>
    <definedName name="_xlnm.Print_Area" localSheetId="3">Table1_Totals!$A$1:$K$18</definedName>
    <definedName name="_xlnm.Print_Area" localSheetId="4">Table2_Energy_Totals!$A$1:$K$18</definedName>
    <definedName name="Resolution">1</definedName>
    <definedName name="RussianVisible">[1]Cover!$G$117</definedName>
    <definedName name="ShortNamesISO">#REF!</definedName>
    <definedName name="Source">[1]Cover!#REF!</definedName>
    <definedName name="Submission_country">Country_list!$B$3:$B$44</definedName>
    <definedName name="table6"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TJ">[1]Menu!$AE$29</definedName>
    <definedName name="Valid">Validation!$C$4</definedName>
    <definedName name="wrn.Coal._.Questionnaire." hidden="1">{#N/A,#N/A,FALSE,"Explanatory notes";#N/A,#N/A,FALSE,"Table 1A 1999";#N/A,#N/A,FALSE,"Table 2A 1999";#N/A,#N/A,FALSE,"Table 3A 1999";#N/A,#N/A,FALSE,"Table 4A 1999";#N/A,#N/A,FALSE,"Table 5A 1999";#N/A,#N/A,FALSE,"Table 6A 1999";#N/A,#N/A,FALSE,"Table 7A 1999";#N/A,#N/A,FALSE,"Table 8A 1999";#N/A,#N/A,FALSE,"Remarks"}</definedName>
    <definedName name="wrn.Electricity._.Questionnaire."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Years">[1]Cover!$D$112:$D$143</definedName>
    <definedName name="Yearstock">[1]Cover!$D$118+1</definedName>
    <definedName name="Z_B79E7212_8DD5_488D_8E68_A79B69F231E2_.wvu.Cols" localSheetId="5" hidden="1">'1a_SpaceHeating'!#REF!</definedName>
    <definedName name="Z_B79E7212_8DD5_488D_8E68_A79B69F231E2_.wvu.Cols" localSheetId="6" hidden="1">'1b_SpaceCooling'!#REF!</definedName>
    <definedName name="Z_B79E7212_8DD5_488D_8E68_A79B69F231E2_.wvu.Cols" localSheetId="7" hidden="1">'1c_WaterHeating'!#REF!</definedName>
    <definedName name="Z_B79E7212_8DD5_488D_8E68_A79B69F231E2_.wvu.Cols" localSheetId="8" hidden="1">'1d_Cooking'!#REF!</definedName>
    <definedName name="Z_B79E7212_8DD5_488D_8E68_A79B69F231E2_.wvu.Cols" localSheetId="9" hidden="1">'1e_LightingAndAppliances'!#REF!</definedName>
    <definedName name="Z_B79E7212_8DD5_488D_8E68_A79B69F231E2_.wvu.Cols" localSheetId="10" hidden="1">'1f_OtherEndUses'!#REF!</definedName>
    <definedName name="Z_B79E7212_8DD5_488D_8E68_A79B69F231E2_.wvu.Cols" localSheetId="2" hidden="1">Calorific_Values!#REF!</definedName>
    <definedName name="Z_B79E7212_8DD5_488D_8E68_A79B69F231E2_.wvu.PrintArea" localSheetId="5" hidden="1">'1a_SpaceHeating'!$A$1:$G$18</definedName>
    <definedName name="Z_B79E7212_8DD5_488D_8E68_A79B69F231E2_.wvu.PrintArea" localSheetId="6" hidden="1">'1b_SpaceCooling'!$A$1:$G$6</definedName>
    <definedName name="Z_B79E7212_8DD5_488D_8E68_A79B69F231E2_.wvu.PrintArea" localSheetId="7" hidden="1">'1c_WaterHeating'!$A$1:$G$18</definedName>
    <definedName name="Z_B79E7212_8DD5_488D_8E68_A79B69F231E2_.wvu.PrintArea" localSheetId="8" hidden="1">'1d_Cooking'!$A$1:$G$17</definedName>
    <definedName name="Z_B79E7212_8DD5_488D_8E68_A79B69F231E2_.wvu.PrintArea" localSheetId="9" hidden="1">'1e_LightingAndAppliances'!$A$1:$G$6</definedName>
    <definedName name="Z_B79E7212_8DD5_488D_8E68_A79B69F231E2_.wvu.PrintArea" localSheetId="10" hidden="1">'1f_OtherEndUses'!$A$1:$G$17</definedName>
    <definedName name="Z_B79E7212_8DD5_488D_8E68_A79B69F231E2_.wvu.PrintArea" localSheetId="2" hidden="1">Calorific_Values!$A$1:$G$18</definedName>
    <definedName name="Z_B79E7212_8DD5_488D_8E68_A79B69F231E2_.wvu.PrintArea" localSheetId="0" hidden="1">Cover!$A$1:$E$44</definedName>
    <definedName name="Z_B79E7212_8DD5_488D_8E68_A79B69F231E2_.wvu.PrintArea" localSheetId="1" hidden="1">Definitions!$A$1:$D$82</definedName>
    <definedName name="Z_B79E7212_8DD5_488D_8E68_A79B69F231E2_.wvu.PrintArea" localSheetId="11" hidden="1">Remarks!$B$3:$D$43</definedName>
    <definedName name="Z_B79E7212_8DD5_488D_8E68_A79B69F231E2_.wvu.PrintArea" localSheetId="3" hidden="1">Table1_Totals!$A$1:$K$18</definedName>
    <definedName name="Z_B79E7212_8DD5_488D_8E68_A79B69F231E2_.wvu.PrintArea" localSheetId="4" hidden="1">Table2_Energy_Totals!$A$1:$K$18</definedName>
    <definedName name="Z_B79E7212_8DD5_488D_8E68_A79B69F231E2_.wvu.Rows" localSheetId="1" hidden="1">Definitions!$17:$20</definedName>
  </definedNames>
  <calcPr calcId="162913"/>
  <customWorkbookViews>
    <customWorkbookView name="FETIE Cristian (ESTAT) - Personal View" guid="{B79E7212-8DD5-488D-8E68-A79B69F231E2}" mergeInterval="0" personalView="1" maximized="1" windowWidth="1916" windowHeight="775" tabRatio="853" activeSheetId="9"/>
  </customWorkbookViews>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S6" i="7" l="1"/>
  <c r="DS6" i="8"/>
  <c r="DS6" i="9"/>
  <c r="DS6" i="10"/>
  <c r="DS6" i="11"/>
  <c r="DS6" i="6"/>
  <c r="DS6" i="4"/>
  <c r="C24" i="14" l="1"/>
  <c r="D24" i="14"/>
  <c r="E24" i="14"/>
  <c r="F24" i="14"/>
  <c r="G24" i="14"/>
  <c r="H24" i="14"/>
  <c r="I24" i="14"/>
  <c r="J24" i="14"/>
  <c r="K24" i="14"/>
  <c r="L24" i="14"/>
  <c r="M24" i="14"/>
  <c r="N24" i="14"/>
  <c r="C25" i="14"/>
  <c r="D25" i="14"/>
  <c r="E25" i="14"/>
  <c r="F25" i="14"/>
  <c r="G25" i="14"/>
  <c r="H25" i="14"/>
  <c r="I25" i="14"/>
  <c r="J25" i="14"/>
  <c r="K25" i="14"/>
  <c r="L25" i="14"/>
  <c r="M25" i="14"/>
  <c r="N25" i="14"/>
  <c r="C26" i="14"/>
  <c r="D26" i="14"/>
  <c r="E26" i="14"/>
  <c r="F26" i="14"/>
  <c r="G26" i="14"/>
  <c r="H26" i="14"/>
  <c r="I26" i="14"/>
  <c r="J26" i="14"/>
  <c r="K26" i="14"/>
  <c r="L26" i="14"/>
  <c r="M26" i="14"/>
  <c r="N26" i="14"/>
  <c r="C23" i="14"/>
  <c r="D23" i="14"/>
  <c r="E23" i="14"/>
  <c r="F23" i="14"/>
  <c r="G23" i="14"/>
  <c r="H23" i="14"/>
  <c r="I23" i="14"/>
  <c r="J23" i="14"/>
  <c r="K23" i="14"/>
  <c r="L23" i="14"/>
  <c r="M23" i="14"/>
  <c r="N23" i="14"/>
  <c r="D22" i="14"/>
  <c r="E22" i="14"/>
  <c r="F22" i="14"/>
  <c r="G22" i="14"/>
  <c r="H22" i="14"/>
  <c r="I22" i="14"/>
  <c r="J22" i="14"/>
  <c r="K22" i="14"/>
  <c r="L22" i="14"/>
  <c r="M22" i="14"/>
  <c r="N22" i="14"/>
  <c r="C22" i="14"/>
  <c r="D16" i="14"/>
  <c r="E16" i="14"/>
  <c r="F16" i="14"/>
  <c r="G16" i="14"/>
  <c r="H16" i="14"/>
  <c r="I16" i="14"/>
  <c r="J16" i="14"/>
  <c r="K16" i="14"/>
  <c r="L16" i="14"/>
  <c r="M16" i="14"/>
  <c r="N16" i="14"/>
  <c r="C16" i="14"/>
  <c r="D14" i="14"/>
  <c r="E14" i="14"/>
  <c r="F14" i="14"/>
  <c r="G14" i="14"/>
  <c r="H14" i="14"/>
  <c r="I14" i="14"/>
  <c r="J14" i="14"/>
  <c r="K14" i="14"/>
  <c r="L14" i="14"/>
  <c r="M14" i="14"/>
  <c r="N14" i="14"/>
  <c r="C14" i="14"/>
  <c r="D12" i="14"/>
  <c r="E12" i="14"/>
  <c r="F12" i="14"/>
  <c r="G12" i="14"/>
  <c r="H12" i="14"/>
  <c r="I12" i="14"/>
  <c r="J12" i="14"/>
  <c r="K12" i="14"/>
  <c r="L12" i="14"/>
  <c r="M12" i="14"/>
  <c r="N12" i="14"/>
  <c r="C12" i="14"/>
  <c r="D8" i="14"/>
  <c r="E8" i="14"/>
  <c r="F8" i="14"/>
  <c r="G8" i="14"/>
  <c r="H8" i="14"/>
  <c r="I8" i="14"/>
  <c r="J8" i="14"/>
  <c r="K8" i="14"/>
  <c r="L8" i="14"/>
  <c r="M8" i="14"/>
  <c r="N8" i="14"/>
  <c r="C8" i="14"/>
  <c r="D10" i="14"/>
  <c r="E10" i="14"/>
  <c r="F10" i="14"/>
  <c r="G10" i="14"/>
  <c r="H10" i="14"/>
  <c r="I10" i="14"/>
  <c r="J10" i="14"/>
  <c r="K10" i="14"/>
  <c r="L10" i="14"/>
  <c r="M10" i="14"/>
  <c r="N10" i="14"/>
  <c r="C10" i="14"/>
  <c r="D9" i="14"/>
  <c r="E9" i="14"/>
  <c r="F9" i="14"/>
  <c r="G9" i="14"/>
  <c r="H9" i="14"/>
  <c r="I9" i="14"/>
  <c r="J9" i="14"/>
  <c r="K9" i="14"/>
  <c r="L9" i="14"/>
  <c r="M9" i="14"/>
  <c r="N9" i="14"/>
  <c r="C9" i="14"/>
  <c r="C7" i="14"/>
  <c r="N46" i="14" l="1"/>
  <c r="M46" i="14"/>
  <c r="L46" i="14"/>
  <c r="N45" i="14"/>
  <c r="M45" i="14"/>
  <c r="L45" i="14"/>
  <c r="N44" i="14"/>
  <c r="M44" i="14"/>
  <c r="L44" i="14"/>
  <c r="N43" i="14"/>
  <c r="M43" i="14"/>
  <c r="L43" i="14"/>
  <c r="N42" i="14"/>
  <c r="M42" i="14"/>
  <c r="L42" i="14"/>
  <c r="N41" i="14"/>
  <c r="M41" i="14"/>
  <c r="L41" i="14"/>
  <c r="N40" i="14"/>
  <c r="M40" i="14"/>
  <c r="L40" i="14"/>
  <c r="N39" i="14"/>
  <c r="M39" i="14"/>
  <c r="L39" i="14"/>
  <c r="N38" i="14"/>
  <c r="M38" i="14"/>
  <c r="L38" i="14"/>
  <c r="N37" i="14"/>
  <c r="M37" i="14"/>
  <c r="L37" i="14"/>
  <c r="N36" i="14"/>
  <c r="M36" i="14"/>
  <c r="L36" i="14"/>
  <c r="N35" i="14"/>
  <c r="M35" i="14"/>
  <c r="L35" i="14"/>
  <c r="N34" i="14"/>
  <c r="M34" i="14"/>
  <c r="L34" i="14"/>
  <c r="N33" i="14"/>
  <c r="M33" i="14"/>
  <c r="L33" i="14"/>
  <c r="N32" i="14"/>
  <c r="M32" i="14"/>
  <c r="L32" i="14"/>
  <c r="N31" i="14"/>
  <c r="M31" i="14"/>
  <c r="L31" i="14"/>
  <c r="N30" i="14"/>
  <c r="M30" i="14"/>
  <c r="L30" i="14"/>
  <c r="N29" i="14"/>
  <c r="M29" i="14"/>
  <c r="L29" i="14"/>
  <c r="N28" i="14"/>
  <c r="M28" i="14"/>
  <c r="L28" i="14"/>
  <c r="N27" i="14"/>
  <c r="M27" i="14"/>
  <c r="L27" i="14"/>
  <c r="N21" i="14"/>
  <c r="M21" i="14"/>
  <c r="L21" i="14"/>
  <c r="N20" i="14"/>
  <c r="M20" i="14"/>
  <c r="L20" i="14"/>
  <c r="N19" i="14"/>
  <c r="M19" i="14"/>
  <c r="L19" i="14"/>
  <c r="N18" i="14"/>
  <c r="M18" i="14"/>
  <c r="L18" i="14"/>
  <c r="N17" i="14"/>
  <c r="M17" i="14"/>
  <c r="L17" i="14"/>
  <c r="N15" i="14"/>
  <c r="M15" i="14"/>
  <c r="L15" i="14"/>
  <c r="N13" i="14"/>
  <c r="M13" i="14"/>
  <c r="L13" i="14"/>
  <c r="N11" i="14"/>
  <c r="M11" i="14"/>
  <c r="L11" i="14"/>
  <c r="N7" i="14"/>
  <c r="M7" i="14"/>
  <c r="L7" i="14"/>
  <c r="H17" i="5"/>
  <c r="J17" i="5"/>
  <c r="E17" i="5"/>
  <c r="G17" i="5"/>
  <c r="E17" i="15" l="1"/>
  <c r="H17" i="15"/>
  <c r="G17" i="15"/>
  <c r="J17" i="15"/>
  <c r="D17" i="5"/>
  <c r="C3" i="15"/>
  <c r="K46" i="14"/>
  <c r="K45" i="14"/>
  <c r="K44" i="14"/>
  <c r="K43" i="14"/>
  <c r="K42" i="14"/>
  <c r="K41" i="14"/>
  <c r="K40" i="14"/>
  <c r="K39" i="14"/>
  <c r="K38" i="14"/>
  <c r="K37" i="14"/>
  <c r="K36" i="14"/>
  <c r="K35" i="14"/>
  <c r="K34" i="14"/>
  <c r="K33" i="14"/>
  <c r="K32" i="14"/>
  <c r="K31" i="14"/>
  <c r="K30" i="14"/>
  <c r="K29" i="14"/>
  <c r="K28" i="14"/>
  <c r="K27" i="14"/>
  <c r="K21" i="14"/>
  <c r="K20" i="14"/>
  <c r="K19" i="14"/>
  <c r="K18" i="14"/>
  <c r="K17" i="14"/>
  <c r="K15" i="14"/>
  <c r="K13" i="14"/>
  <c r="K11" i="14"/>
  <c r="K7" i="14"/>
  <c r="D17" i="15" l="1"/>
  <c r="D42" i="14"/>
  <c r="E42" i="14"/>
  <c r="F42" i="14"/>
  <c r="G42" i="14"/>
  <c r="H42" i="14"/>
  <c r="I42" i="14"/>
  <c r="J42" i="14"/>
  <c r="D43" i="14"/>
  <c r="E43" i="14"/>
  <c r="F43" i="14"/>
  <c r="G43" i="14"/>
  <c r="H43" i="14"/>
  <c r="I43" i="14"/>
  <c r="J43" i="14"/>
  <c r="D44" i="14"/>
  <c r="E44" i="14"/>
  <c r="F44" i="14"/>
  <c r="G44" i="14"/>
  <c r="H44" i="14"/>
  <c r="I44" i="14"/>
  <c r="J44" i="14"/>
  <c r="D45" i="14"/>
  <c r="E45" i="14"/>
  <c r="F45" i="14"/>
  <c r="G45" i="14"/>
  <c r="H45" i="14"/>
  <c r="I45" i="14"/>
  <c r="J45" i="14"/>
  <c r="D46" i="14"/>
  <c r="E46" i="14"/>
  <c r="F46" i="14"/>
  <c r="G46" i="14"/>
  <c r="H46" i="14"/>
  <c r="I46" i="14"/>
  <c r="J46" i="14"/>
  <c r="C46" i="14"/>
  <c r="C45" i="14"/>
  <c r="C43" i="14"/>
  <c r="C44" i="14"/>
  <c r="K13" i="5"/>
  <c r="K12" i="5"/>
  <c r="K11" i="5"/>
  <c r="K11" i="15" l="1"/>
  <c r="K12" i="15"/>
  <c r="K13" i="15"/>
  <c r="E10" i="5"/>
  <c r="C42" i="14" l="1"/>
  <c r="K10" i="5"/>
  <c r="E10" i="15" l="1"/>
  <c r="C2" i="15"/>
  <c r="D27" i="14" l="1"/>
  <c r="E27" i="14"/>
  <c r="F27" i="14"/>
  <c r="G27" i="14"/>
  <c r="H27" i="14"/>
  <c r="I27" i="14"/>
  <c r="J27" i="14"/>
  <c r="D28" i="14"/>
  <c r="E28" i="14"/>
  <c r="F28" i="14"/>
  <c r="G28" i="14"/>
  <c r="H28" i="14"/>
  <c r="I28" i="14"/>
  <c r="J28" i="14"/>
  <c r="D29" i="14"/>
  <c r="E29" i="14"/>
  <c r="F29" i="14"/>
  <c r="G29" i="14"/>
  <c r="H29" i="14"/>
  <c r="I29" i="14"/>
  <c r="J29" i="14"/>
  <c r="D30" i="14"/>
  <c r="E30" i="14"/>
  <c r="F30" i="14"/>
  <c r="G30" i="14"/>
  <c r="H30" i="14"/>
  <c r="I30" i="14"/>
  <c r="J30" i="14"/>
  <c r="D31" i="14"/>
  <c r="E31" i="14"/>
  <c r="F31" i="14"/>
  <c r="G31" i="14"/>
  <c r="H31" i="14"/>
  <c r="I31" i="14"/>
  <c r="J31" i="14"/>
  <c r="D32" i="14"/>
  <c r="E32" i="14"/>
  <c r="F32" i="14"/>
  <c r="G32" i="14"/>
  <c r="H32" i="14"/>
  <c r="I32" i="14"/>
  <c r="J32" i="14"/>
  <c r="D33" i="14"/>
  <c r="E33" i="14"/>
  <c r="F33" i="14"/>
  <c r="G33" i="14"/>
  <c r="H33" i="14"/>
  <c r="I33" i="14"/>
  <c r="J33" i="14"/>
  <c r="D34" i="14"/>
  <c r="E34" i="14"/>
  <c r="F34" i="14"/>
  <c r="G34" i="14"/>
  <c r="H34" i="14"/>
  <c r="I34" i="14"/>
  <c r="J34" i="14"/>
  <c r="D35" i="14"/>
  <c r="E35" i="14"/>
  <c r="F35" i="14"/>
  <c r="G35" i="14"/>
  <c r="H35" i="14"/>
  <c r="I35" i="14"/>
  <c r="J35" i="14"/>
  <c r="D36" i="14"/>
  <c r="E36" i="14"/>
  <c r="F36" i="14"/>
  <c r="G36" i="14"/>
  <c r="H36" i="14"/>
  <c r="I36" i="14"/>
  <c r="J36" i="14"/>
  <c r="D37" i="14"/>
  <c r="E37" i="14"/>
  <c r="F37" i="14"/>
  <c r="G37" i="14"/>
  <c r="H37" i="14"/>
  <c r="I37" i="14"/>
  <c r="J37" i="14"/>
  <c r="D38" i="14"/>
  <c r="E38" i="14"/>
  <c r="F38" i="14"/>
  <c r="G38" i="14"/>
  <c r="H38" i="14"/>
  <c r="I38" i="14"/>
  <c r="J38" i="14"/>
  <c r="D39" i="14"/>
  <c r="E39" i="14"/>
  <c r="F39" i="14"/>
  <c r="G39" i="14"/>
  <c r="H39" i="14"/>
  <c r="I39" i="14"/>
  <c r="J39" i="14"/>
  <c r="D40" i="14"/>
  <c r="E40" i="14"/>
  <c r="F40" i="14"/>
  <c r="G40" i="14"/>
  <c r="H40" i="14"/>
  <c r="I40" i="14"/>
  <c r="J40" i="14"/>
  <c r="D41" i="14"/>
  <c r="E41" i="14"/>
  <c r="F41" i="14"/>
  <c r="G41" i="14"/>
  <c r="H41" i="14"/>
  <c r="I41" i="14"/>
  <c r="J41" i="14"/>
  <c r="C41" i="14"/>
  <c r="C40" i="14"/>
  <c r="C39" i="14"/>
  <c r="C38" i="14"/>
  <c r="C36" i="14"/>
  <c r="C35" i="14"/>
  <c r="C34" i="14"/>
  <c r="C33" i="14"/>
  <c r="C31" i="14"/>
  <c r="C30" i="14"/>
  <c r="C29" i="14"/>
  <c r="C28" i="14"/>
  <c r="C37" i="14"/>
  <c r="C32" i="14"/>
  <c r="C27" i="14"/>
  <c r="J21" i="14"/>
  <c r="I21" i="14"/>
  <c r="H21" i="14"/>
  <c r="G21" i="14"/>
  <c r="F21" i="14"/>
  <c r="E21" i="14"/>
  <c r="D21" i="14"/>
  <c r="C21" i="14"/>
  <c r="J20" i="14"/>
  <c r="I20" i="14"/>
  <c r="H20" i="14"/>
  <c r="G20" i="14"/>
  <c r="F20" i="14"/>
  <c r="E20" i="14"/>
  <c r="D20" i="14"/>
  <c r="C20" i="14"/>
  <c r="J19" i="14"/>
  <c r="I19" i="14"/>
  <c r="H19" i="14"/>
  <c r="G19" i="14"/>
  <c r="F19" i="14"/>
  <c r="E19" i="14"/>
  <c r="D19" i="14"/>
  <c r="C19" i="14"/>
  <c r="J18" i="14"/>
  <c r="I18" i="14"/>
  <c r="H18" i="14"/>
  <c r="G18" i="14"/>
  <c r="F18" i="14"/>
  <c r="E18" i="14"/>
  <c r="D18" i="14"/>
  <c r="C18" i="14"/>
  <c r="J17" i="14"/>
  <c r="I17" i="14"/>
  <c r="H17" i="14"/>
  <c r="G17" i="14"/>
  <c r="F17" i="14"/>
  <c r="E17" i="14"/>
  <c r="D17" i="14"/>
  <c r="C17" i="14"/>
  <c r="J7" i="14"/>
  <c r="I7" i="14"/>
  <c r="H7" i="14"/>
  <c r="G7" i="14"/>
  <c r="F7" i="14"/>
  <c r="E7" i="14"/>
  <c r="D7" i="14"/>
  <c r="D15" i="14" l="1"/>
  <c r="E15" i="14"/>
  <c r="F15" i="14"/>
  <c r="G15" i="14"/>
  <c r="H15" i="14"/>
  <c r="I15" i="14"/>
  <c r="J15" i="14"/>
  <c r="C15" i="14"/>
  <c r="D13" i="14"/>
  <c r="E13" i="14"/>
  <c r="F13" i="14"/>
  <c r="G13" i="14"/>
  <c r="H13" i="14"/>
  <c r="I13" i="14"/>
  <c r="J13" i="14"/>
  <c r="C13" i="14"/>
  <c r="D11" i="14"/>
  <c r="E11" i="14"/>
  <c r="F11" i="14"/>
  <c r="G11" i="14"/>
  <c r="H11" i="14"/>
  <c r="I11" i="14"/>
  <c r="J11" i="14"/>
  <c r="C11" i="14"/>
  <c r="C4" i="14" l="1"/>
  <c r="C2" i="5"/>
  <c r="H10" i="5"/>
  <c r="G7" i="5"/>
  <c r="G10" i="5"/>
  <c r="G13" i="5"/>
  <c r="H15" i="5"/>
  <c r="H6" i="5"/>
  <c r="E11" i="5"/>
  <c r="G11" i="5"/>
  <c r="H13" i="5"/>
  <c r="H8" i="5"/>
  <c r="H7" i="5"/>
  <c r="F6" i="5"/>
  <c r="J9" i="5"/>
  <c r="E15" i="5"/>
  <c r="E12" i="5"/>
  <c r="E16" i="5"/>
  <c r="G12" i="5"/>
  <c r="E13" i="5"/>
  <c r="J13" i="5"/>
  <c r="G9" i="5"/>
  <c r="H12" i="5"/>
  <c r="E8" i="5"/>
  <c r="J15" i="5"/>
  <c r="H18" i="5"/>
  <c r="H14" i="5"/>
  <c r="H9" i="5"/>
  <c r="E6" i="5"/>
  <c r="E7" i="5"/>
  <c r="G8" i="5"/>
  <c r="J12" i="5"/>
  <c r="K9" i="5"/>
  <c r="J18" i="5"/>
  <c r="J7" i="5"/>
  <c r="J14" i="5"/>
  <c r="E9" i="5"/>
  <c r="E14" i="5"/>
  <c r="J10" i="5"/>
  <c r="G18" i="5"/>
  <c r="G15" i="5"/>
  <c r="E18" i="5"/>
  <c r="I6" i="5"/>
  <c r="J6" i="5"/>
  <c r="G16" i="5"/>
  <c r="G6" i="5"/>
  <c r="H11" i="5"/>
  <c r="J11" i="5"/>
  <c r="J8" i="5"/>
  <c r="J16" i="5"/>
  <c r="G14" i="5"/>
  <c r="H16" i="5"/>
  <c r="G10" i="15" l="1"/>
  <c r="E11" i="15"/>
  <c r="K9" i="15"/>
  <c r="J13" i="15"/>
  <c r="J10" i="15"/>
  <c r="J11" i="15"/>
  <c r="J12" i="15"/>
  <c r="H11" i="15"/>
  <c r="H13" i="15"/>
  <c r="H12" i="15"/>
  <c r="G13" i="15"/>
  <c r="H10" i="15"/>
  <c r="G11" i="15"/>
  <c r="G12" i="15"/>
  <c r="E12" i="15"/>
  <c r="E13" i="15"/>
  <c r="E9" i="15"/>
  <c r="J9" i="15"/>
  <c r="H9" i="15"/>
  <c r="G9" i="15"/>
  <c r="E14" i="15"/>
  <c r="H14" i="15"/>
  <c r="G14" i="15"/>
  <c r="J14" i="15"/>
  <c r="J18" i="15"/>
  <c r="J16" i="15"/>
  <c r="J15" i="15"/>
  <c r="H15" i="15"/>
  <c r="G16" i="15"/>
  <c r="H18" i="15"/>
  <c r="G15" i="15"/>
  <c r="G18" i="15"/>
  <c r="H16" i="15"/>
  <c r="E16" i="15"/>
  <c r="E18" i="15"/>
  <c r="E15" i="15"/>
  <c r="K10" i="15"/>
  <c r="J8" i="15"/>
  <c r="H8" i="15"/>
  <c r="G8" i="15"/>
  <c r="E8" i="15"/>
  <c r="J7" i="15"/>
  <c r="G7" i="15"/>
  <c r="H7" i="15"/>
  <c r="E7" i="15"/>
  <c r="G6" i="15"/>
  <c r="H6" i="15"/>
  <c r="I6" i="15"/>
  <c r="I19" i="15" s="1"/>
  <c r="J6" i="15"/>
  <c r="F6" i="15"/>
  <c r="E6" i="15"/>
  <c r="D12" i="5"/>
  <c r="D9" i="5"/>
  <c r="D13" i="5"/>
  <c r="D15" i="5"/>
  <c r="D18" i="5"/>
  <c r="D7" i="5"/>
  <c r="D8" i="5"/>
  <c r="D10" i="5"/>
  <c r="D16" i="5"/>
  <c r="D6" i="5"/>
  <c r="D11" i="5"/>
  <c r="D14" i="5"/>
  <c r="D11" i="15" l="1"/>
  <c r="D13" i="15"/>
  <c r="D12" i="15"/>
  <c r="D10" i="15"/>
  <c r="D18" i="15"/>
  <c r="D15" i="15"/>
  <c r="D16" i="15"/>
  <c r="D14" i="15"/>
  <c r="F19" i="15"/>
  <c r="F20" i="15" s="1"/>
  <c r="G19" i="15"/>
  <c r="G20" i="15" s="1"/>
  <c r="D9" i="15"/>
  <c r="J19" i="15"/>
  <c r="J20" i="15" s="1"/>
  <c r="H19" i="15"/>
  <c r="H20" i="15" s="1"/>
  <c r="E19" i="15"/>
  <c r="D8" i="15"/>
  <c r="D7" i="15"/>
  <c r="D6" i="15"/>
  <c r="D19" i="15" l="1"/>
  <c r="D20" i="15" s="1"/>
  <c r="E20" i="15"/>
</calcChain>
</file>

<file path=xl/comments1.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2.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3.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4.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5.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sharedStrings.xml><?xml version="1.0" encoding="utf-8"?>
<sst xmlns="http://schemas.openxmlformats.org/spreadsheetml/2006/main" count="952" uniqueCount="315">
  <si>
    <t>Final Energy Consumption in the Residential / Households Sector by type of end use</t>
  </si>
  <si>
    <t>Country</t>
  </si>
  <si>
    <t>Year</t>
  </si>
  <si>
    <t>Product</t>
  </si>
  <si>
    <t>Unit</t>
  </si>
  <si>
    <t>Total Residential / Households</t>
  </si>
  <si>
    <t>Space heating</t>
  </si>
  <si>
    <t>Space cooling</t>
  </si>
  <si>
    <t>Water heating</t>
  </si>
  <si>
    <t>Cooking</t>
  </si>
  <si>
    <t>Lighting and appliances</t>
  </si>
  <si>
    <t>Other end uses</t>
  </si>
  <si>
    <t>Calorific values</t>
  </si>
  <si>
    <t>ELECTRICITY</t>
  </si>
  <si>
    <t>GWh</t>
  </si>
  <si>
    <t>DERIVED HEAT</t>
  </si>
  <si>
    <t>TJ</t>
  </si>
  <si>
    <t>TJ (GCV)</t>
  </si>
  <si>
    <t>Of which:</t>
  </si>
  <si>
    <t>kt</t>
  </si>
  <si>
    <t>TOTAL OIL &amp; PETROLEUM PRODUCTS</t>
  </si>
  <si>
    <t>LPG</t>
  </si>
  <si>
    <t>Other kerosene</t>
  </si>
  <si>
    <t>Total gas/diesel oil</t>
  </si>
  <si>
    <t>TOTAL RENEW. &amp; WASTES</t>
  </si>
  <si>
    <t>TJ (NCV)</t>
  </si>
  <si>
    <t>Solar thermal</t>
  </si>
  <si>
    <t>Solid biofuels excluding charcoal</t>
  </si>
  <si>
    <t>Biogases</t>
  </si>
  <si>
    <t>GAS</t>
  </si>
  <si>
    <t>Space Heating</t>
  </si>
  <si>
    <t>Space Cooling</t>
  </si>
  <si>
    <t xml:space="preserve">Submission country: </t>
  </si>
  <si>
    <t>Contact details for the questionnaire at country level:</t>
  </si>
  <si>
    <t>Name:</t>
  </si>
  <si>
    <t>e-mail:</t>
  </si>
  <si>
    <t>Telephone number:</t>
  </si>
  <si>
    <t>E-mail address:</t>
  </si>
  <si>
    <t>Telephone:</t>
  </si>
  <si>
    <r>
      <rPr>
        <b/>
        <sz val="12"/>
        <rFont val="Arial"/>
        <family val="2"/>
      </rPr>
      <t>Name of the electronic data collection:</t>
    </r>
    <r>
      <rPr>
        <sz val="12"/>
        <rFont val="Arial"/>
        <family val="2"/>
      </rPr>
      <t xml:space="preserve"> ENERGY_ESH_A</t>
    </r>
  </si>
  <si>
    <t>Cristian Fetie</t>
  </si>
  <si>
    <t>+352 4301 37347</t>
  </si>
  <si>
    <t>OIL &amp; PETROLEUM PRODUCTS</t>
  </si>
  <si>
    <t>RENEW. &amp; WASTES</t>
  </si>
  <si>
    <t>REMARKS</t>
  </si>
  <si>
    <t>Countries</t>
  </si>
  <si>
    <t>Albania</t>
  </si>
  <si>
    <t>Austria</t>
  </si>
  <si>
    <t>Belgium</t>
  </si>
  <si>
    <t>Bulgaria</t>
  </si>
  <si>
    <t>Denmark</t>
  </si>
  <si>
    <t>Estonia</t>
  </si>
  <si>
    <t>Ireland</t>
  </si>
  <si>
    <t>Greece</t>
  </si>
  <si>
    <t>Spain</t>
  </si>
  <si>
    <t>France</t>
  </si>
  <si>
    <t>Croatia</t>
  </si>
  <si>
    <t>Italy</t>
  </si>
  <si>
    <t>Cyprus</t>
  </si>
  <si>
    <t>Latvia</t>
  </si>
  <si>
    <t>Lithuania</t>
  </si>
  <si>
    <t>Luxembourg</t>
  </si>
  <si>
    <t>Hungary</t>
  </si>
  <si>
    <t>Malta</t>
  </si>
  <si>
    <t>Netherlands</t>
  </si>
  <si>
    <t>Poland</t>
  </si>
  <si>
    <t>Portugal</t>
  </si>
  <si>
    <t>Romania</t>
  </si>
  <si>
    <t>Slovenia</t>
  </si>
  <si>
    <t>Finland</t>
  </si>
  <si>
    <t>Sweden</t>
  </si>
  <si>
    <t>United Kingdom</t>
  </si>
  <si>
    <t>Turkey</t>
  </si>
  <si>
    <t>Bosnia and Herzegovina</t>
  </si>
  <si>
    <t>Germany</t>
  </si>
  <si>
    <t>Iceland</t>
  </si>
  <si>
    <t>Liechtenstein</t>
  </si>
  <si>
    <t>Montenegro</t>
  </si>
  <si>
    <t>Norway</t>
  </si>
  <si>
    <t>Serbia</t>
  </si>
  <si>
    <t>Slovak Republic</t>
  </si>
  <si>
    <t>Switzerland</t>
  </si>
  <si>
    <t>Households / Residential sector</t>
  </si>
  <si>
    <r>
      <t>Household</t>
    </r>
    <r>
      <rPr>
        <sz val="11"/>
        <color theme="1"/>
        <rFont val="Calibri"/>
        <family val="2"/>
        <scheme val="minor"/>
      </rPr>
      <t xml:space="preserve"> means a person living alone or a group of people who live together in the same private dwelling and sharing expenditures including the joint provision of the essentials of living. The </t>
    </r>
    <r>
      <rPr>
        <i/>
        <sz val="11"/>
        <color indexed="8"/>
        <rFont val="Calibri"/>
        <family val="2"/>
      </rPr>
      <t>household sector</t>
    </r>
    <r>
      <rPr>
        <sz val="11"/>
        <color theme="1"/>
        <rFont val="Calibri"/>
        <family val="2"/>
        <scheme val="minor"/>
      </rPr>
      <t xml:space="preserve">, also known as the </t>
    </r>
    <r>
      <rPr>
        <i/>
        <sz val="11"/>
        <color indexed="8"/>
        <rFont val="Calibri"/>
        <family val="2"/>
      </rPr>
      <t>residential</t>
    </r>
    <r>
      <rPr>
        <sz val="11"/>
        <color theme="1"/>
        <rFont val="Calibri"/>
        <family val="2"/>
        <scheme val="minor"/>
      </rPr>
      <t xml:space="preserve"> (or domestic) sector is therefore, a collective pool of all households in a country.</t>
    </r>
  </si>
  <si>
    <t>Energy consumption associated with significant economic activities of households should also be excluded from the total household energy consumption. These activities include agricultural economic activities on small farms and other economic activities carried out in a household’s residence and should be reported in the corresponding sector.</t>
  </si>
  <si>
    <t>The following specific definitions apply for this questionnaire:</t>
  </si>
  <si>
    <t>Energy consumption in households – end uses</t>
  </si>
  <si>
    <t>This energy service refers to the use of energy to provide heat in an interior area of a dwelling.</t>
  </si>
  <si>
    <r>
      <t xml:space="preserve">Fans, blowers and other appliances not connected to a refrigeration unit are excluded from this section, but should be covered in the </t>
    </r>
    <r>
      <rPr>
        <i/>
        <sz val="11"/>
        <color indexed="8"/>
        <rFont val="Calibri"/>
        <family val="2"/>
      </rPr>
      <t>lighting and electrical appliances</t>
    </r>
    <r>
      <rPr>
        <sz val="11"/>
        <color theme="1"/>
        <rFont val="Calibri"/>
        <family val="2"/>
        <scheme val="minor"/>
      </rPr>
      <t xml:space="preserve"> section.</t>
    </r>
  </si>
  <si>
    <r>
      <t xml:space="preserve">Swimming pool heating is excluded, but should be covered in the </t>
    </r>
    <r>
      <rPr>
        <i/>
        <sz val="11"/>
        <color indexed="8"/>
        <rFont val="Calibri"/>
        <family val="2"/>
      </rPr>
      <t>other end uses</t>
    </r>
    <r>
      <rPr>
        <sz val="11"/>
        <color theme="1"/>
        <rFont val="Calibri"/>
        <family val="2"/>
        <scheme val="minor"/>
      </rPr>
      <t xml:space="preserve"> section.</t>
    </r>
  </si>
  <si>
    <r>
      <t xml:space="preserve">Appliances for auxiliary cooking (microwave ovens, kettles, coffee makers, etc.) are excluded; they should be covered in the </t>
    </r>
    <r>
      <rPr>
        <i/>
        <sz val="11"/>
        <color indexed="8"/>
        <rFont val="Calibri"/>
        <family val="2"/>
      </rPr>
      <t>lighting and electrical appliances</t>
    </r>
    <r>
      <rPr>
        <sz val="11"/>
        <color theme="1"/>
        <rFont val="Calibri"/>
        <family val="2"/>
        <scheme val="minor"/>
      </rPr>
      <t xml:space="preserve"> section.</t>
    </r>
  </si>
  <si>
    <t>Any other energy consumption in households such as use of energy for the outdoor and any other activities not included into the five energy end-uses mentioned above (e.g. lawn mowers, swimming pool heating, outdoor heaters, outdoor barbecues, saunas etc.).</t>
  </si>
  <si>
    <r>
      <t xml:space="preserve">This aggregate is the sum of all end uses detailed above: it represents the consumption of the respective fuel in the households sector (for </t>
    </r>
    <r>
      <rPr>
        <b/>
        <sz val="11"/>
        <color indexed="8"/>
        <rFont val="Calibri"/>
        <family val="2"/>
      </rPr>
      <t>space heating,</t>
    </r>
    <r>
      <rPr>
        <sz val="11"/>
        <color theme="1"/>
        <rFont val="Calibri"/>
        <family val="2"/>
        <scheme val="minor"/>
      </rPr>
      <t xml:space="preserve"> </t>
    </r>
    <r>
      <rPr>
        <b/>
        <sz val="11"/>
        <color indexed="8"/>
        <rFont val="Calibri"/>
        <family val="2"/>
      </rPr>
      <t>space cooling,</t>
    </r>
    <r>
      <rPr>
        <sz val="11"/>
        <color theme="1"/>
        <rFont val="Calibri"/>
        <family val="2"/>
        <scheme val="minor"/>
      </rPr>
      <t xml:space="preserve"> </t>
    </r>
    <r>
      <rPr>
        <b/>
        <sz val="11"/>
        <color indexed="8"/>
        <rFont val="Calibri"/>
        <family val="2"/>
      </rPr>
      <t>water heating,</t>
    </r>
    <r>
      <rPr>
        <sz val="11"/>
        <color theme="1"/>
        <rFont val="Calibri"/>
        <family val="2"/>
        <scheme val="minor"/>
      </rPr>
      <t xml:space="preserve"> </t>
    </r>
    <r>
      <rPr>
        <b/>
        <sz val="11"/>
        <color indexed="8"/>
        <rFont val="Calibri"/>
        <family val="2"/>
      </rPr>
      <t>cooking,</t>
    </r>
    <r>
      <rPr>
        <sz val="11"/>
        <color theme="1"/>
        <rFont val="Calibri"/>
        <family val="2"/>
        <scheme val="minor"/>
      </rPr>
      <t xml:space="preserve"> </t>
    </r>
    <r>
      <rPr>
        <b/>
        <sz val="11"/>
        <color indexed="8"/>
        <rFont val="Calibri"/>
        <family val="2"/>
      </rPr>
      <t>lighting and electrical appliances</t>
    </r>
    <r>
      <rPr>
        <sz val="11"/>
        <color theme="1"/>
        <rFont val="Calibri"/>
        <family val="2"/>
        <scheme val="minor"/>
      </rPr>
      <t xml:space="preserve"> and </t>
    </r>
    <r>
      <rPr>
        <b/>
        <sz val="11"/>
        <color indexed="8"/>
        <rFont val="Calibri"/>
        <family val="2"/>
      </rPr>
      <t>other end uses</t>
    </r>
    <r>
      <rPr>
        <sz val="11"/>
        <color theme="1"/>
        <rFont val="Calibri"/>
        <family val="2"/>
        <scheme val="minor"/>
      </rPr>
      <t xml:space="preserve">). This figure should be equal (for each fuel or energy product) to what is reported under </t>
    </r>
    <r>
      <rPr>
        <i/>
        <sz val="11"/>
        <color indexed="8"/>
        <rFont val="Calibri"/>
        <family val="2"/>
      </rPr>
      <t>Final energy consumption</t>
    </r>
    <r>
      <rPr>
        <sz val="11"/>
        <color theme="1"/>
        <rFont val="Calibri"/>
        <family val="2"/>
        <scheme val="minor"/>
      </rPr>
      <t xml:space="preserve">, for </t>
    </r>
    <r>
      <rPr>
        <i/>
        <sz val="11"/>
        <color indexed="8"/>
        <rFont val="Calibri"/>
        <family val="2"/>
      </rPr>
      <t>Other sectors – residential</t>
    </r>
    <r>
      <rPr>
        <sz val="11"/>
        <color theme="1"/>
        <rFont val="Calibri"/>
        <family val="2"/>
        <scheme val="minor"/>
      </rPr>
      <t xml:space="preserve"> in the respective annual questionnaires.</t>
    </r>
  </si>
  <si>
    <t>Space heating:</t>
  </si>
  <si>
    <t>Space cooling:</t>
  </si>
  <si>
    <t>Water heating:</t>
  </si>
  <si>
    <t>Cooking:</t>
  </si>
  <si>
    <t>Lighting and electrical appliances (electricity only):</t>
  </si>
  <si>
    <t>Other end uses:</t>
  </si>
  <si>
    <r>
      <t xml:space="preserve">Use of electricity for lighting and any other electrical appliances in a dwelling not considered within </t>
    </r>
    <r>
      <rPr>
        <i/>
        <sz val="11"/>
        <color indexed="8"/>
        <rFont val="Calibri"/>
        <family val="2"/>
      </rPr>
      <t>other end uses</t>
    </r>
    <r>
      <rPr>
        <sz val="11"/>
        <color theme="1"/>
        <rFont val="Calibri"/>
        <family val="2"/>
        <scheme val="minor"/>
      </rPr>
      <t>.</t>
    </r>
  </si>
  <si>
    <t>Reporting units</t>
  </si>
  <si>
    <t>Gigawatt-hour</t>
  </si>
  <si>
    <t xml:space="preserve">GWh </t>
  </si>
  <si>
    <t xml:space="preserve">kt </t>
  </si>
  <si>
    <t>Gross Calorific Value</t>
  </si>
  <si>
    <t>Net Calorific Value</t>
  </si>
  <si>
    <t>Terajoule</t>
  </si>
  <si>
    <t xml:space="preserve">     GCV</t>
  </si>
  <si>
    <t xml:space="preserve">     NCV</t>
  </si>
  <si>
    <t>Kilotonne</t>
  </si>
  <si>
    <t>OIL AND PETROLEUM PRODUCTS</t>
  </si>
  <si>
    <t>RENEWABLES AND WASTES</t>
  </si>
  <si>
    <t>Energy products to be reported</t>
  </si>
  <si>
    <t xml:space="preserve">LPG   </t>
  </si>
  <si>
    <t xml:space="preserve">Other kerosene   </t>
  </si>
  <si>
    <t xml:space="preserve">Total gas/diesel oil   </t>
  </si>
  <si>
    <t xml:space="preserve">Solar thermal   </t>
  </si>
  <si>
    <t xml:space="preserve">Solid biofuels excluding charcoal   </t>
  </si>
  <si>
    <t xml:space="preserve">Biogases   </t>
  </si>
  <si>
    <r>
      <t xml:space="preserve">This category includes blending components.
</t>
    </r>
    <r>
      <rPr>
        <i/>
        <sz val="11"/>
        <color indexed="8"/>
        <rFont val="Calibri"/>
        <family val="2"/>
      </rPr>
      <t>Biodiesels</t>
    </r>
    <r>
      <rPr>
        <sz val="11"/>
        <color theme="1"/>
        <rFont val="Calibri"/>
        <family val="2"/>
        <scheme val="minor"/>
      </rPr>
      <t xml:space="preserve">
This category includes biodiesel (a methyl–ester produced from vegetable or animal oil, of diesel quality), biodimethylether (dimethylether produced from biomass), Fischer Tropsch (Fischer Tropsch produced from biomass), cold pressed biooil (oil produced from oil seed through mechanical processing only) and all other liquid biofuels which are added to, blended with Gas/diesel oil.
</t>
    </r>
    <r>
      <rPr>
        <i/>
        <sz val="11"/>
        <color indexed="8"/>
        <rFont val="Calibri"/>
        <family val="2"/>
      </rPr>
      <t>Non–bio gas/diesel oil</t>
    </r>
    <r>
      <rPr>
        <sz val="11"/>
        <color theme="1"/>
        <rFont val="Calibri"/>
        <family val="2"/>
        <scheme val="minor"/>
      </rPr>
      <t xml:space="preserve">
This category consists of gas diesel oil as defined above excluding </t>
    </r>
    <r>
      <rPr>
        <i/>
        <sz val="11"/>
        <color indexed="8"/>
        <rFont val="Calibri"/>
        <family val="2"/>
      </rPr>
      <t>Biodiesel.</t>
    </r>
  </si>
  <si>
    <r>
      <rPr>
        <i/>
        <sz val="11"/>
        <color indexed="8"/>
        <rFont val="Calibri"/>
        <family val="2"/>
      </rPr>
      <t>Coke oven gas</t>
    </r>
    <r>
      <rPr>
        <sz val="11"/>
        <color theme="1"/>
        <rFont val="Calibri"/>
        <family val="2"/>
        <scheme val="minor"/>
      </rPr>
      <t xml:space="preserve"> is obtained as a by-product from the manufacture of coke oven coke for the production of iron and steel. The quantity of fuel should be reported on a gross calorific value basis.</t>
    </r>
  </si>
  <si>
    <r>
      <rPr>
        <i/>
        <sz val="11"/>
        <color indexed="8"/>
        <rFont val="Calibri"/>
        <family val="2"/>
      </rPr>
      <t>Blast furnace gas</t>
    </r>
    <r>
      <rPr>
        <sz val="11"/>
        <color theme="1"/>
        <rFont val="Calibri"/>
        <family val="2"/>
        <scheme val="minor"/>
      </rPr>
      <t xml:space="preserve"> is produced during the combustion of coke in blast furnaces in the iron and steel industry. It is recovered and used as a fuel partly within the plant and partly in other steel industry processes or in power stations equipped to burn it. The quantity of recuperated fuel should be reported on a gross calorific value basis. In addition, off-gases from all iron-production reduction processes utilising air as the oxygen source (such as </t>
    </r>
    <r>
      <rPr>
        <i/>
        <sz val="11"/>
        <color indexed="8"/>
        <rFont val="Calibri"/>
        <family val="2"/>
      </rPr>
      <t>Direct reduced iron</t>
    </r>
    <r>
      <rPr>
        <sz val="11"/>
        <color theme="1"/>
        <rFont val="Calibri"/>
        <family val="2"/>
        <scheme val="minor"/>
      </rPr>
      <t>) should be reported here.</t>
    </r>
  </si>
  <si>
    <r>
      <rPr>
        <i/>
        <sz val="11"/>
        <color indexed="8"/>
        <rFont val="Calibri"/>
        <family val="2"/>
      </rPr>
      <t>Gas works gas</t>
    </r>
    <r>
      <rPr>
        <sz val="11"/>
        <color theme="1"/>
        <rFont val="Calibri"/>
        <family val="2"/>
        <scheme val="minor"/>
      </rPr>
      <t xml:space="preserve"> covers all types of gases produced in public utility or private plants, whose main purpose is manufacture, transport and distribution of gas. It includes gas produced by carbonization (including gas produced by coke ovens and transferred to gas works gas), by total gasification with or without enrichment with oil products (LPG, residual fuel oil, etc.), and by reforming and simple mixing of gases and/or air, reported under the rows, From other sources. Under the transformation sector identify amounts of gas work gas transferred to blended natural gas which will be distributed and consumed through the natural gas grid. The quantity of fuel should be reported on a gross calorific value basis.
The production of other coal gases (i.e. coke oven gas, blast furnace gas and other recovered gases) should be reported in the columns concerning such gases, and not as production of gas works gas. The coal gases transferred to gas works plants should then be reported (in their own column) in the transformation sector in the gas works plants row. The total amount of gas works gas resulting from transfers of other coal gases should appear in the production line for gas works gas.</t>
    </r>
  </si>
  <si>
    <r>
      <rPr>
        <i/>
        <sz val="11"/>
        <color indexed="8"/>
        <rFont val="Calibri"/>
        <family val="2"/>
      </rPr>
      <t>Other recovered gases</t>
    </r>
    <r>
      <rPr>
        <sz val="11"/>
        <color theme="1"/>
        <rFont val="Calibri"/>
        <family val="2"/>
        <scheme val="minor"/>
      </rPr>
      <t xml:space="preserve"> are by-products of the production of steel in an oxygen furnace, recovered on leaving the furnace. The gases are also known as converter gas, LD gas or BOS gas. The quantity of recuperated fuel should be reported on a gross calorific value basis. Also covers non-specified manufactured gases not mentioned above, such as combustible gases of solid carbonaceous origin recovered from manufacturing and chemical processes not elsewhere defined.</t>
    </r>
  </si>
  <si>
    <t xml:space="preserve">Of which:   </t>
  </si>
  <si>
    <t>Renewable energies cover hydro power, wind energy, solar energy, tide, wave and ocean, biomass and renewable wastes and geothermal energy.</t>
  </si>
  <si>
    <t>Solar thermal covers solar thermal-electric plants, or equipment for the production of domestic hot water or for the seasonal heating of swimming pools (e.g. flat plate collectors, mainly of the thermosyphon type).</t>
  </si>
  <si>
    <t>Solid biofuels (excluding charcoal) or solid biomass cover organic, non-fossil material of biological origin which may be used as fuel for heat production or electricity generation (charcoal covers the solid residue of the destructive distillation and pyrolysis of wood and other vegetal material).</t>
  </si>
  <si>
    <t>Gases composed principally of methane and carbon dioxide produced by anaerobic fermentation of biomass, or by thermal processes.
- Landfill gas: formed by the anaerobic digestion of landfill waste. The quantity of fuel used should be reported on a net calorific value basis.
- Sewage sludge gas: produced from the anaerobic fermentation of sewage sludge. The quantity of fuel used should be reported on a net calorific value basis.
- Other biogases from anaerobic digestion: such as biogases produced from the anaerobic fermentation of animal slurries and of waste in abattoirs, breweries and other agro-food industries. The quantity of fuel used should be reported on a net calorific value basis.
- Biogases from thermal processes: biogases produced from thermal processes (by gasification or pyrolysis) of biomass.</t>
  </si>
  <si>
    <t>Note:</t>
  </si>
  <si>
    <r>
      <t xml:space="preserve">The sum of products listed under 'Of which' does not have to sum up to the total of the category </t>
    </r>
    <r>
      <rPr>
        <i/>
        <sz val="11"/>
        <color indexed="8"/>
        <rFont val="Calibri"/>
        <family val="2"/>
      </rPr>
      <t>Oil and petroleum products</t>
    </r>
    <r>
      <rPr>
        <sz val="11"/>
        <color theme="1"/>
        <rFont val="Calibri"/>
        <family val="2"/>
        <scheme val="minor"/>
      </rPr>
      <t xml:space="preserve"> as other energy products are part of this category without being reported here (</t>
    </r>
    <r>
      <rPr>
        <i/>
        <sz val="11"/>
        <color indexed="8"/>
        <rFont val="Calibri"/>
        <family val="2"/>
      </rPr>
      <t>Motor gasoline</t>
    </r>
    <r>
      <rPr>
        <sz val="11"/>
        <color theme="1"/>
        <rFont val="Calibri"/>
        <family val="2"/>
        <scheme val="minor"/>
      </rPr>
      <t xml:space="preserve">, </t>
    </r>
    <r>
      <rPr>
        <i/>
        <sz val="11"/>
        <color indexed="8"/>
        <rFont val="Calibri"/>
        <family val="2"/>
      </rPr>
      <t>Petroleum coke</t>
    </r>
    <r>
      <rPr>
        <sz val="11"/>
        <color theme="1"/>
        <rFont val="Calibri"/>
        <family val="2"/>
        <scheme val="minor"/>
      </rPr>
      <t xml:space="preserve">, </t>
    </r>
    <r>
      <rPr>
        <sz val="11"/>
        <color theme="1"/>
        <rFont val="Calibri"/>
        <family val="2"/>
        <scheme val="minor"/>
      </rPr>
      <t>etc.).</t>
    </r>
  </si>
  <si>
    <r>
      <t xml:space="preserve">The sum of products listed under 'Of which' does not have to sum up to the total of the category </t>
    </r>
    <r>
      <rPr>
        <i/>
        <sz val="11"/>
        <color indexed="8"/>
        <rFont val="Calibri"/>
        <family val="2"/>
      </rPr>
      <t>Renewables and Wastes</t>
    </r>
    <r>
      <rPr>
        <sz val="11"/>
        <color theme="1"/>
        <rFont val="Calibri"/>
        <family val="2"/>
        <scheme val="minor"/>
      </rPr>
      <t xml:space="preserve"> as other energy products are part of this category without being reported here (</t>
    </r>
    <r>
      <rPr>
        <i/>
        <sz val="11"/>
        <color indexed="8"/>
        <rFont val="Calibri"/>
        <family val="2"/>
      </rPr>
      <t>Liquid biofuels</t>
    </r>
    <r>
      <rPr>
        <sz val="11"/>
        <color theme="1"/>
        <rFont val="Calibri"/>
        <family val="2"/>
        <scheme val="minor"/>
      </rPr>
      <t xml:space="preserve">, </t>
    </r>
    <r>
      <rPr>
        <i/>
        <sz val="11"/>
        <color indexed="8"/>
        <rFont val="Calibri"/>
        <family val="2"/>
      </rPr>
      <t>Municipal</t>
    </r>
    <r>
      <rPr>
        <sz val="11"/>
        <color theme="1"/>
        <rFont val="Calibri"/>
        <family val="2"/>
        <scheme val="minor"/>
      </rPr>
      <t xml:space="preserve"> or </t>
    </r>
    <r>
      <rPr>
        <i/>
        <sz val="11"/>
        <color indexed="8"/>
        <rFont val="Calibri"/>
        <family val="2"/>
      </rPr>
      <t>Industrial Wastes</t>
    </r>
    <r>
      <rPr>
        <sz val="11"/>
        <color theme="1"/>
        <rFont val="Calibri"/>
        <family val="2"/>
        <scheme val="minor"/>
      </rPr>
      <t>, etc.).</t>
    </r>
  </si>
  <si>
    <t>MJ/t</t>
  </si>
  <si>
    <t>Megajoule per tonne</t>
  </si>
  <si>
    <r>
      <t xml:space="preserve">To be reported are fuels consumed by all households including “households with employed persons”. This should also cover </t>
    </r>
    <r>
      <rPr>
        <i/>
        <sz val="11"/>
        <color indexed="8"/>
        <rFont val="Calibri"/>
        <family val="2"/>
      </rPr>
      <t>NACE Divisions 97 and 98</t>
    </r>
    <r>
      <rPr>
        <sz val="11"/>
        <color theme="1"/>
        <rFont val="Calibri"/>
        <family val="2"/>
        <scheme val="minor"/>
      </rPr>
      <t xml:space="preserve">, as defined for </t>
    </r>
    <r>
      <rPr>
        <i/>
        <sz val="11"/>
        <color indexed="8"/>
        <rFont val="Calibri"/>
        <family val="2"/>
      </rPr>
      <t>"Other sectors – Residential"</t>
    </r>
    <r>
      <rPr>
        <sz val="11"/>
        <color theme="1"/>
        <rFont val="Calibri"/>
        <family val="2"/>
        <scheme val="minor"/>
      </rPr>
      <t xml:space="preserve"> in the other annual energy questionnaires (</t>
    </r>
    <r>
      <rPr>
        <i/>
        <sz val="11"/>
        <color indexed="8"/>
        <rFont val="Calibri"/>
        <family val="2"/>
      </rPr>
      <t>Coal</t>
    </r>
    <r>
      <rPr>
        <sz val="11"/>
        <color theme="1"/>
        <rFont val="Calibri"/>
        <family val="2"/>
        <scheme val="minor"/>
      </rPr>
      <t xml:space="preserve">, </t>
    </r>
    <r>
      <rPr>
        <i/>
        <sz val="11"/>
        <color indexed="8"/>
        <rFont val="Calibri"/>
        <family val="2"/>
      </rPr>
      <t>Natural gas</t>
    </r>
    <r>
      <rPr>
        <sz val="11"/>
        <color theme="1"/>
        <rFont val="Calibri"/>
        <family val="2"/>
        <scheme val="minor"/>
      </rPr>
      <t xml:space="preserve">, </t>
    </r>
    <r>
      <rPr>
        <i/>
        <sz val="11"/>
        <color indexed="8"/>
        <rFont val="Calibri"/>
        <family val="2"/>
      </rPr>
      <t>Electricity and heat</t>
    </r>
    <r>
      <rPr>
        <sz val="11"/>
        <color theme="1"/>
        <rFont val="Calibri"/>
        <family val="2"/>
        <scheme val="minor"/>
      </rPr>
      <t xml:space="preserve">, </t>
    </r>
    <r>
      <rPr>
        <i/>
        <sz val="11"/>
        <color indexed="8"/>
        <rFont val="Calibri"/>
        <family val="2"/>
      </rPr>
      <t>Oil and petroleum products</t>
    </r>
    <r>
      <rPr>
        <sz val="11"/>
        <color theme="1"/>
        <rFont val="Calibri"/>
        <family val="2"/>
        <scheme val="minor"/>
      </rPr>
      <t xml:space="preserve"> and </t>
    </r>
    <r>
      <rPr>
        <i/>
        <sz val="11"/>
        <color indexed="8"/>
        <rFont val="Calibri"/>
        <family val="2"/>
      </rPr>
      <t>Renewables and wastes</t>
    </r>
    <r>
      <rPr>
        <sz val="11"/>
        <color theme="1"/>
        <rFont val="Calibri"/>
        <family val="2"/>
        <scheme val="minor"/>
      </rPr>
      <t>).</t>
    </r>
  </si>
  <si>
    <t>Calorific values (CV)</t>
  </si>
  <si>
    <r>
      <rPr>
        <i/>
        <sz val="11"/>
        <color indexed="8"/>
        <rFont val="Calibri"/>
        <family val="2"/>
      </rPr>
      <t>Derived heat</t>
    </r>
    <r>
      <rPr>
        <sz val="11"/>
        <color theme="1"/>
        <rFont val="Calibri"/>
        <family val="2"/>
        <scheme val="minor"/>
      </rPr>
      <t xml:space="preserve"> covers the total heat production in heating plants and in combined heat and power plants. It includes the heat used by the auxiliaries of the installation which use hot fluid (space heating, liquid fuel heating, etc.) and losses in the installation/network heat exchanges.
For autoproducing entities (= entities generating electricity and/or heat wholly or partially for their own use as an activity which supports their primary activity) the heat used by the undertaking for its own processes is not included.</t>
    </r>
  </si>
  <si>
    <r>
      <rPr>
        <i/>
        <sz val="11"/>
        <color indexed="8"/>
        <rFont val="Calibri"/>
        <family val="2"/>
      </rPr>
      <t>Other kerosene</t>
    </r>
    <r>
      <rPr>
        <sz val="11"/>
        <color theme="1"/>
        <rFont val="Calibri"/>
        <family val="2"/>
        <scheme val="minor"/>
      </rPr>
      <t xml:space="preserve"> comprises refined petroleum distillate and is used in sectors other than aircraft transport.
It distils between 150°C and 300°C.</t>
    </r>
  </si>
  <si>
    <t>Ukraine</t>
  </si>
  <si>
    <t>Moldova</t>
  </si>
  <si>
    <t>Kosovo (under UN Security Council Resolution 1244/99)</t>
  </si>
  <si>
    <t>Georgia</t>
  </si>
  <si>
    <r>
      <t xml:space="preserve">This questionnaire should be transmitted to Eurostat via the Single Entry Point (SEP) following the implementing procedures of </t>
    </r>
    <r>
      <rPr>
        <b/>
        <sz val="12"/>
        <rFont val="Arial"/>
        <family val="2"/>
      </rPr>
      <t>eDAMIS</t>
    </r>
    <r>
      <rPr>
        <sz val="12"/>
        <rFont val="Arial"/>
        <family val="2"/>
      </rPr>
      <t xml:space="preserve"> (electronic Data files Administration and Management Information System). </t>
    </r>
  </si>
  <si>
    <t>Questionnaire for statistics on final energy consumption in households</t>
  </si>
  <si>
    <r>
      <t xml:space="preserve">The following data concerning the final energy consumption in households by type of end-use are reported according to </t>
    </r>
    <r>
      <rPr>
        <i/>
        <sz val="12"/>
        <color indexed="8"/>
        <rFont val="Arial"/>
        <family val="2"/>
      </rPr>
      <t>Regulation (EC) 1099/2008 on energy statistics</t>
    </r>
    <r>
      <rPr>
        <sz val="12"/>
        <color indexed="8"/>
        <rFont val="Arial"/>
        <family val="2"/>
      </rPr>
      <t xml:space="preserve"> and its subsequent amendments.</t>
    </r>
    <r>
      <rPr>
        <b/>
        <sz val="12"/>
        <color indexed="8"/>
        <rFont val="Arial"/>
        <family val="2"/>
      </rPr>
      <t/>
    </r>
  </si>
  <si>
    <t>DEFINITIONS OF TERMS USED IN THE ANNUAL QUESTIONNAIRE ON FINAL ENERGY CONSUMPTION IN HOUSEHOLDS</t>
  </si>
  <si>
    <r>
      <t xml:space="preserve">Collective residences which can be permanent (e.g. prisons) or temporary (e.g. hospitals) should be excluded as these are covered by consumption in the </t>
    </r>
    <r>
      <rPr>
        <i/>
        <sz val="11"/>
        <color indexed="8"/>
        <rFont val="Calibri"/>
        <family val="2"/>
      </rPr>
      <t>Services sector</t>
    </r>
    <r>
      <rPr>
        <sz val="11"/>
        <color theme="1"/>
        <rFont val="Calibri"/>
        <family val="2"/>
        <scheme val="minor"/>
      </rPr>
      <t xml:space="preserve">. Energy used in all transport activities should be reported in the </t>
    </r>
    <r>
      <rPr>
        <i/>
        <sz val="11"/>
        <color indexed="8"/>
        <rFont val="Calibri"/>
        <family val="2"/>
      </rPr>
      <t>Transport sector</t>
    </r>
    <r>
      <rPr>
        <sz val="11"/>
        <color theme="1"/>
        <rFont val="Calibri"/>
        <family val="2"/>
        <scheme val="minor"/>
      </rPr>
      <t xml:space="preserve"> and not in the </t>
    </r>
    <r>
      <rPr>
        <i/>
        <sz val="11"/>
        <color indexed="8"/>
        <rFont val="Calibri"/>
        <family val="2"/>
      </rPr>
      <t>Households sector</t>
    </r>
    <r>
      <rPr>
        <sz val="11"/>
        <color theme="1"/>
        <rFont val="Calibri"/>
        <family val="2"/>
        <scheme val="minor"/>
      </rPr>
      <t>.</t>
    </r>
  </si>
  <si>
    <r>
      <rPr>
        <i/>
        <sz val="11"/>
        <color indexed="8"/>
        <rFont val="Calibri"/>
        <family val="2"/>
      </rPr>
      <t>Electricity</t>
    </r>
    <r>
      <rPr>
        <sz val="11"/>
        <color theme="1"/>
        <rFont val="Calibri"/>
        <family val="2"/>
        <scheme val="minor"/>
      </rPr>
      <t xml:space="preserve"> covers electrical energy generated by all types of facilities (e.g. in nuclear, thermal, hydro, wind, photovoltaic or other plants) to be distributed to consumers through the grid or consumed locally. It also includes the quantities generated by auto-producers.</t>
    </r>
  </si>
  <si>
    <t>Should you have any questions regarding this file or other related aspects please do not hesitate to contact:</t>
  </si>
  <si>
    <t>Total validation</t>
  </si>
  <si>
    <t>Sheet</t>
  </si>
  <si>
    <t>Description</t>
  </si>
  <si>
    <t>1a_SpaceHeating</t>
  </si>
  <si>
    <t>1c_WaterHeating</t>
  </si>
  <si>
    <t>1d_Cooking</t>
  </si>
  <si>
    <t>1f_OtherEndUses</t>
  </si>
  <si>
    <t>SOLID FOSSIL FUELS</t>
  </si>
  <si>
    <t>Checks</t>
  </si>
  <si>
    <t>Calorific_Values</t>
  </si>
  <si>
    <r>
      <rPr>
        <b/>
        <sz val="11"/>
        <color theme="1"/>
        <rFont val="Calibri"/>
        <family val="2"/>
        <scheme val="minor"/>
      </rPr>
      <t>TOTAL</t>
    </r>
    <r>
      <rPr>
        <sz val="11"/>
        <color theme="1"/>
        <rFont val="Calibri"/>
        <family val="2"/>
        <scheme val="minor"/>
      </rPr>
      <t xml:space="preserve"> OIL &amp; PETROLEUM PRODUCTS is superior or equal to the sum of its disaggregated values</t>
    </r>
  </si>
  <si>
    <r>
      <rPr>
        <b/>
        <sz val="11"/>
        <color theme="1"/>
        <rFont val="Calibri"/>
        <family val="2"/>
        <scheme val="minor"/>
      </rPr>
      <t>TOTAL</t>
    </r>
    <r>
      <rPr>
        <sz val="11"/>
        <color theme="1"/>
        <rFont val="Calibri"/>
        <family val="2"/>
        <scheme val="minor"/>
      </rPr>
      <t xml:space="preserve"> OIL &amp; PETROLEUM PRODUCTS is </t>
    </r>
    <r>
      <rPr>
        <b/>
        <sz val="11"/>
        <color theme="1"/>
        <rFont val="Calibri"/>
        <family val="2"/>
        <scheme val="minor"/>
      </rPr>
      <t>superior or equal to the sum of its disaggregated values</t>
    </r>
  </si>
  <si>
    <r>
      <rPr>
        <b/>
        <sz val="11"/>
        <color theme="1"/>
        <rFont val="Calibri"/>
        <family val="2"/>
        <scheme val="minor"/>
      </rPr>
      <t>TOTAL</t>
    </r>
    <r>
      <rPr>
        <sz val="11"/>
        <color theme="1"/>
        <rFont val="Calibri"/>
        <family val="2"/>
        <scheme val="minor"/>
      </rPr>
      <t xml:space="preserve"> RENEWABLES &amp; WASTES is </t>
    </r>
    <r>
      <rPr>
        <b/>
        <sz val="11"/>
        <color theme="1"/>
        <rFont val="Calibri"/>
        <family val="2"/>
        <scheme val="minor"/>
      </rPr>
      <t>superior or equal to the sum of its disaggregated values</t>
    </r>
  </si>
  <si>
    <r>
      <t>If a value is reported for SOLID FOSSIL FUELS, the equivalent</t>
    </r>
    <r>
      <rPr>
        <b/>
        <sz val="11"/>
        <color theme="1"/>
        <rFont val="Calibri"/>
        <family val="2"/>
        <scheme val="minor"/>
      </rPr>
      <t xml:space="preserve"> CALORIFIC VALUE</t>
    </r>
    <r>
      <rPr>
        <sz val="11"/>
        <color theme="1"/>
        <rFont val="Calibri"/>
        <family val="2"/>
        <scheme val="minor"/>
      </rPr>
      <t xml:space="preserve"> should also be reported</t>
    </r>
  </si>
  <si>
    <r>
      <t>If a value is reported for TOTAL OIL &amp; PETROLEUM PRODUCTS, the equivalent</t>
    </r>
    <r>
      <rPr>
        <b/>
        <sz val="11"/>
        <color theme="1"/>
        <rFont val="Calibri"/>
        <family val="2"/>
        <scheme val="minor"/>
      </rPr>
      <t xml:space="preserve"> CALORIFIC VALUE</t>
    </r>
    <r>
      <rPr>
        <sz val="11"/>
        <color theme="1"/>
        <rFont val="Calibri"/>
        <family val="2"/>
        <scheme val="minor"/>
      </rPr>
      <t xml:space="preserve"> should also be reported</t>
    </r>
  </si>
  <si>
    <r>
      <t xml:space="preserve">If a value is reported for </t>
    </r>
    <r>
      <rPr>
        <i/>
        <sz val="11"/>
        <color theme="1"/>
        <rFont val="Calibri"/>
        <family val="2"/>
        <scheme val="minor"/>
      </rPr>
      <t>LPG</t>
    </r>
    <r>
      <rPr>
        <sz val="11"/>
        <color theme="1"/>
        <rFont val="Calibri"/>
        <family val="2"/>
        <scheme val="minor"/>
      </rPr>
      <t xml:space="preserve">,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</si>
  <si>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t>
    </r>
    <r>
      <rPr>
        <i/>
        <sz val="11"/>
        <color theme="1"/>
        <rFont val="Calibri"/>
        <family val="2"/>
        <scheme val="minor"/>
      </rPr>
      <t>Other kerosene</t>
    </r>
    <r>
      <rPr>
        <sz val="11"/>
        <color theme="1"/>
        <rFont val="Calibri"/>
        <family val="2"/>
        <scheme val="minor"/>
      </rPr>
      <t xml:space="preserve">,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</si>
  <si>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t>
    </r>
    <r>
      <rPr>
        <i/>
        <sz val="11"/>
        <color theme="1"/>
        <rFont val="Calibri"/>
        <family val="2"/>
        <scheme val="minor"/>
      </rPr>
      <t>Total gas/diesel oil</t>
    </r>
    <r>
      <rPr>
        <sz val="11"/>
        <color theme="1"/>
        <rFont val="Calibri"/>
        <family val="2"/>
        <scheme val="minor"/>
      </rPr>
      <t xml:space="preserve">,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</si>
  <si>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SOLID FOSSIL FUELS,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</si>
  <si>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TOTAL OIL &amp; PETROLEUM PRODUCTS, the equivalent </t>
    </r>
    <r>
      <rPr>
        <b/>
        <sz val="11"/>
        <color theme="1"/>
        <rFont val="Calibri"/>
        <family val="2"/>
        <scheme val="minor"/>
      </rPr>
      <t>CALORIFIC VALUE</t>
    </r>
    <r>
      <rPr>
        <sz val="11"/>
        <color theme="1"/>
        <rFont val="Calibri"/>
        <family val="2"/>
        <scheme val="minor"/>
      </rPr>
      <t xml:space="preserve"> should also be reported</t>
    </r>
  </si>
  <si>
    <t>1b_SpaceCooling</t>
  </si>
  <si>
    <t>Validation checks</t>
  </si>
  <si>
    <t>ALL PRODUCTS</t>
  </si>
  <si>
    <t>It includes fuel wood, wood residues and by-products which consists of firewood (in log, brushwood, pellet or chip form) obtained from natural or managed forests or isolated trees and wood residues used as fuel and in which the original composition of wood is retained. Charcoal and black liquor are excluded. 
Wood pellets is a subcategory of fuel wood, wood residues and by-products. It is a cylindrical product that has been agglomerated from wood residues by compression with or without the addition of a small quantity of binder. The pellets have a diameter not exceeding 25 mm and a length not exceeding 45 mm.</t>
  </si>
  <si>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 xml:space="preserve"> </t>
    </r>
    <r>
      <rPr>
        <sz val="11"/>
        <color theme="1"/>
        <rFont val="Calibri"/>
        <family val="2"/>
        <scheme val="minor"/>
      </rPr>
      <t xml:space="preserve">SOLID FOSSIL FUELS should be within an </t>
    </r>
    <r>
      <rPr>
        <b/>
        <sz val="11"/>
        <color theme="1"/>
        <rFont val="Calibri"/>
        <family val="2"/>
        <scheme val="minor"/>
      </rPr>
      <t>acceptable range</t>
    </r>
    <r>
      <rPr>
        <sz val="11"/>
        <color theme="1"/>
        <rFont val="Calibri"/>
        <family val="2"/>
        <scheme val="minor"/>
      </rPr>
      <t xml:space="preserve"> [ 5 000 &lt;= 'reported CV' &lt;= 30 000 MJ/t ]</t>
    </r>
  </si>
  <si>
    <r>
      <rPr>
        <b/>
        <sz val="11"/>
        <color theme="1"/>
        <rFont val="Calibri"/>
        <family val="2"/>
        <scheme val="minor"/>
      </rPr>
      <t>Calorific Values</t>
    </r>
    <r>
      <rPr>
        <sz val="11"/>
        <color theme="1"/>
        <rFont val="Calibri"/>
        <family val="2"/>
        <scheme val="minor"/>
      </rPr>
      <t xml:space="preserve"> of TOTAL OIL &amp; PETROLEUM PRODUCTS should be within an </t>
    </r>
    <r>
      <rPr>
        <b/>
        <sz val="11"/>
        <color theme="1"/>
        <rFont val="Calibri"/>
        <family val="2"/>
        <scheme val="minor"/>
      </rPr>
      <t>acceptable range</t>
    </r>
    <r>
      <rPr>
        <sz val="11"/>
        <color theme="1"/>
        <rFont val="Calibri"/>
        <family val="2"/>
        <scheme val="minor"/>
      </rPr>
      <t xml:space="preserve"> [ 40 000 &lt;= 'reported CV' &lt;= 50 000 MJ/t]</t>
    </r>
  </si>
  <si>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LPG</t>
    </r>
    <r>
      <rPr>
        <sz val="11"/>
        <color theme="1"/>
        <rFont val="Calibri"/>
        <family val="2"/>
        <scheme val="minor"/>
      </rPr>
      <t xml:space="preserve"> should be within an </t>
    </r>
    <r>
      <rPr>
        <b/>
        <sz val="11"/>
        <color theme="1"/>
        <rFont val="Calibri"/>
        <family val="2"/>
        <scheme val="minor"/>
      </rPr>
      <t>acceptable range</t>
    </r>
    <r>
      <rPr>
        <sz val="11"/>
        <color theme="1"/>
        <rFont val="Calibri"/>
        <family val="2"/>
        <scheme val="minor"/>
      </rPr>
      <t xml:space="preserve"> [ 40 000 &lt;= 'reported CV' &lt;= 50 000 MJ/t ]</t>
    </r>
  </si>
  <si>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Other kerosene</t>
    </r>
    <r>
      <rPr>
        <sz val="11"/>
        <color theme="1"/>
        <rFont val="Calibri"/>
        <family val="2"/>
        <scheme val="minor"/>
      </rPr>
      <t xml:space="preserve"> should be within an </t>
    </r>
    <r>
      <rPr>
        <b/>
        <sz val="11"/>
        <color theme="1"/>
        <rFont val="Calibri"/>
        <family val="2"/>
        <scheme val="minor"/>
      </rPr>
      <t>acceptable range</t>
    </r>
    <r>
      <rPr>
        <sz val="11"/>
        <color theme="1"/>
        <rFont val="Calibri"/>
        <family val="2"/>
        <scheme val="minor"/>
      </rPr>
      <t xml:space="preserve"> [ 40 000 &lt;= 'reported CV' &lt;= 45 000 MJ/t ]</t>
    </r>
  </si>
  <si>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Total gas/diesel oil</t>
    </r>
    <r>
      <rPr>
        <sz val="11"/>
        <color theme="1"/>
        <rFont val="Calibri"/>
        <family val="2"/>
        <scheme val="minor"/>
      </rPr>
      <t xml:space="preserve"> should be within an </t>
    </r>
    <r>
      <rPr>
        <b/>
        <sz val="11"/>
        <color theme="1"/>
        <rFont val="Calibri"/>
        <family val="2"/>
        <scheme val="minor"/>
      </rPr>
      <t>acceptable range</t>
    </r>
    <r>
      <rPr>
        <sz val="11"/>
        <color theme="1"/>
        <rFont val="Calibri"/>
        <family val="2"/>
        <scheme val="minor"/>
      </rPr>
      <t xml:space="preserve"> [ 40 000 &lt;= 'reported CV' &lt;= 45 000 MJ/t]</t>
    </r>
  </si>
  <si>
    <t>North Macedonia</t>
  </si>
  <si>
    <t>Czechia</t>
  </si>
  <si>
    <t>This energy service refers to the use of energy for cooling in a dwelling by a refrigeration system and/or unit.</t>
  </si>
  <si>
    <t>This energy service refers to the use of energy to heat water for hot running water, bathing, cleaning and other non-cooking applications.</t>
  </si>
  <si>
    <t>This energy service refers to the use of energy to prepare meals.</t>
  </si>
  <si>
    <r>
      <rPr>
        <i/>
        <sz val="11"/>
        <color indexed="8"/>
        <rFont val="Calibri"/>
        <family val="2"/>
      </rPr>
      <t>Calorific values</t>
    </r>
    <r>
      <rPr>
        <sz val="11"/>
        <color theme="1"/>
        <rFont val="Calibri"/>
        <family val="2"/>
        <scheme val="minor"/>
      </rPr>
      <t xml:space="preserve"> (CV) should be reported for the following aggregates: </t>
    </r>
    <r>
      <rPr>
        <i/>
        <sz val="11"/>
        <color indexed="8"/>
        <rFont val="Calibri"/>
        <family val="2"/>
      </rPr>
      <t>Solid fuels, Total</t>
    </r>
    <r>
      <rPr>
        <sz val="11"/>
        <color theme="1"/>
        <rFont val="Calibri"/>
        <family val="2"/>
        <scheme val="minor"/>
      </rPr>
      <t xml:space="preserve"> </t>
    </r>
    <r>
      <rPr>
        <i/>
        <sz val="11"/>
        <color indexed="8"/>
        <rFont val="Calibri"/>
        <family val="2"/>
      </rPr>
      <t>Oil &amp; Petroleum products,</t>
    </r>
    <r>
      <rPr>
        <sz val="11"/>
        <color theme="1"/>
        <rFont val="Calibri"/>
        <family val="2"/>
        <scheme val="minor"/>
      </rPr>
      <t xml:space="preserve"> </t>
    </r>
    <r>
      <rPr>
        <i/>
        <sz val="11"/>
        <color indexed="8"/>
        <rFont val="Calibri"/>
        <family val="2"/>
      </rPr>
      <t>LPG</t>
    </r>
    <r>
      <rPr>
        <sz val="11"/>
        <color theme="1"/>
        <rFont val="Calibri"/>
        <family val="2"/>
        <scheme val="minor"/>
      </rPr>
      <t xml:space="preserve">, </t>
    </r>
    <r>
      <rPr>
        <i/>
        <sz val="11"/>
        <color indexed="8"/>
        <rFont val="Calibri"/>
        <family val="2"/>
      </rPr>
      <t>Other kerosene</t>
    </r>
    <r>
      <rPr>
        <sz val="11"/>
        <color theme="1"/>
        <rFont val="Calibri"/>
        <family val="2"/>
        <scheme val="minor"/>
      </rPr>
      <t xml:space="preserve"> and </t>
    </r>
    <r>
      <rPr>
        <i/>
        <sz val="11"/>
        <color indexed="8"/>
        <rFont val="Calibri"/>
        <family val="2"/>
      </rPr>
      <t>Gas/Diesel oil</t>
    </r>
    <r>
      <rPr>
        <sz val="11"/>
        <color theme="1"/>
        <rFont val="Calibri"/>
        <family val="2"/>
        <scheme val="minor"/>
      </rPr>
      <t xml:space="preserve">. For aggregates representing totals made up of several energy products (such as </t>
    </r>
    <r>
      <rPr>
        <i/>
        <sz val="11"/>
        <color indexed="8"/>
        <rFont val="Calibri"/>
        <family val="2"/>
      </rPr>
      <t xml:space="preserve">Solid fuels </t>
    </r>
    <r>
      <rPr>
        <sz val="11"/>
        <color theme="1"/>
        <rFont val="Calibri"/>
        <family val="2"/>
        <scheme val="minor"/>
      </rPr>
      <t xml:space="preserve">and </t>
    </r>
    <r>
      <rPr>
        <i/>
        <sz val="11"/>
        <color indexed="8"/>
        <rFont val="Calibri"/>
        <family val="2"/>
      </rPr>
      <t>Total Oil &amp; Petroleum products</t>
    </r>
    <r>
      <rPr>
        <sz val="11"/>
        <color theme="1"/>
        <rFont val="Calibri"/>
        <family val="2"/>
        <scheme val="minor"/>
      </rPr>
      <t>), weighted average CV should be reported.</t>
    </r>
  </si>
  <si>
    <t>Ambient heat</t>
  </si>
  <si>
    <t>Ambinet Heat</t>
  </si>
  <si>
    <t xml:space="preserve">Heat energy at a useful temperature level extracted (captured) by means of heat pumps that need electricity or other auxiliary energy to function. This heat energy can be stored in the ambient air, beneath the surface of solid earth or in surface water. The reported values shall be on the basis of the same methodology as used for the reporting heat energy captured by heat pumps pursuant to Directive 2009/28/EC; however, all heat pumps should be included regardless their performance level. </t>
  </si>
  <si>
    <t>Data sheet</t>
  </si>
  <si>
    <t>Parameter sheet</t>
  </si>
  <si>
    <t>Parameters</t>
  </si>
  <si>
    <t>Element</t>
  </si>
  <si>
    <t>Type</t>
  </si>
  <si>
    <t>PosType</t>
  </si>
  <si>
    <t>Position</t>
  </si>
  <si>
    <t>DataStart</t>
  </si>
  <si>
    <t>QUEST_SOURCE</t>
  </si>
  <si>
    <t>DIM</t>
  </si>
  <si>
    <t>FIX</t>
  </si>
  <si>
    <t>DataEnd</t>
  </si>
  <si>
    <t>FREQ</t>
  </si>
  <si>
    <t>A</t>
  </si>
  <si>
    <t>SkipIncompleteKeys</t>
  </si>
  <si>
    <t>true</t>
  </si>
  <si>
    <t>REF_AREA</t>
  </si>
  <si>
    <t>COLUMN</t>
  </si>
  <si>
    <t>ENERGY_PRODUCT</t>
  </si>
  <si>
    <t>DT</t>
  </si>
  <si>
    <t>MAIN_FLOW</t>
  </si>
  <si>
    <t>FLOW_BREAKDOWN</t>
  </si>
  <si>
    <t>PLANT_TECH</t>
  </si>
  <si>
    <t>PLANT_TYPE</t>
  </si>
  <si>
    <t>STOCKS</t>
  </si>
  <si>
    <t>INFRASTRUCTURE_IND</t>
  </si>
  <si>
    <t>VIS_A_VIS_AREA</t>
  </si>
  <si>
    <t>MEASURE_VALUE_TYPE</t>
  </si>
  <si>
    <t>EB</t>
  </si>
  <si>
    <t>TIME_PERIOD</t>
  </si>
  <si>
    <t>ROW</t>
  </si>
  <si>
    <t>FACILITY_ID</t>
  </si>
  <si>
    <t>UNIT_MEASURE</t>
  </si>
  <si>
    <t>ATT</t>
  </si>
  <si>
    <t>ED</t>
  </si>
  <si>
    <t>OBS_STATUS</t>
  </si>
  <si>
    <t>SKIP</t>
  </si>
  <si>
    <t>CONF_STATUS</t>
  </si>
  <si>
    <t>COMMENT_OBS</t>
  </si>
  <si>
    <t>FACILITY_TYPE</t>
  </si>
  <si>
    <t>FACILITY_NAME</t>
  </si>
  <si>
    <t>1e_LightingAndAppliances</t>
  </si>
  <si>
    <t>*** DSD codes ***</t>
  </si>
  <si>
    <t>FR</t>
  </si>
  <si>
    <t>G3000</t>
  </si>
  <si>
    <t>_Z</t>
  </si>
  <si>
    <t>D6</t>
  </si>
  <si>
    <t>O18</t>
  </si>
  <si>
    <t>CELL</t>
  </si>
  <si>
    <t>DS6</t>
  </si>
  <si>
    <t>AL</t>
  </si>
  <si>
    <t>AT</t>
  </si>
  <si>
    <t>BE</t>
  </si>
  <si>
    <t>BA</t>
  </si>
  <si>
    <t>BG</t>
  </si>
  <si>
    <t>HR</t>
  </si>
  <si>
    <t>CY</t>
  </si>
  <si>
    <t>DK</t>
  </si>
  <si>
    <t>EE</t>
  </si>
  <si>
    <t>FI</t>
  </si>
  <si>
    <t>GE</t>
  </si>
  <si>
    <t>DE</t>
  </si>
  <si>
    <t>GR</t>
  </si>
  <si>
    <t>HU</t>
  </si>
  <si>
    <t>IS</t>
  </si>
  <si>
    <t>IE</t>
  </si>
  <si>
    <t>IT</t>
  </si>
  <si>
    <t>LV</t>
  </si>
  <si>
    <t>LI</t>
  </si>
  <si>
    <t>LT</t>
  </si>
  <si>
    <t>LU</t>
  </si>
  <si>
    <t>MT</t>
  </si>
  <si>
    <t>MD</t>
  </si>
  <si>
    <t>ME</t>
  </si>
  <si>
    <t>NL</t>
  </si>
  <si>
    <t>MK</t>
  </si>
  <si>
    <t>NO</t>
  </si>
  <si>
    <t>PL</t>
  </si>
  <si>
    <t>PT</t>
  </si>
  <si>
    <t>RO</t>
  </si>
  <si>
    <t>RS</t>
  </si>
  <si>
    <t>SI</t>
  </si>
  <si>
    <t>ES</t>
  </si>
  <si>
    <t>SE</t>
  </si>
  <si>
    <t>CH</t>
  </si>
  <si>
    <t>TR</t>
  </si>
  <si>
    <t>UA</t>
  </si>
  <si>
    <t>GB</t>
  </si>
  <si>
    <t>CZ</t>
  </si>
  <si>
    <t>XK</t>
  </si>
  <si>
    <t>SK</t>
  </si>
  <si>
    <t>A_DIS_H</t>
  </si>
  <si>
    <t>SFFPO</t>
  </si>
  <si>
    <t>O4000</t>
  </si>
  <si>
    <t>G3200</t>
  </si>
  <si>
    <t>O4669</t>
  </si>
  <si>
    <t>O4671</t>
  </si>
  <si>
    <t>RA000</t>
  </si>
  <si>
    <t>RA410</t>
  </si>
  <si>
    <t>R510C</t>
  </si>
  <si>
    <t>R5300</t>
  </si>
  <si>
    <t>RA600</t>
  </si>
  <si>
    <t>E7000</t>
  </si>
  <si>
    <t>H8000</t>
  </si>
  <si>
    <t>ENERGY</t>
  </si>
  <si>
    <t>WEIGHT</t>
  </si>
  <si>
    <t>KT</t>
  </si>
  <si>
    <t>GWH</t>
  </si>
  <si>
    <t>TJ_NCV</t>
  </si>
  <si>
    <t>TJ_GCV</t>
  </si>
  <si>
    <t>ENERGUSE</t>
  </si>
  <si>
    <t>RESIDENT</t>
  </si>
  <si>
    <t>DV6</t>
  </si>
  <si>
    <t>NCV</t>
  </si>
  <si>
    <t>MJ_T</t>
  </si>
  <si>
    <t>RESISPHE</t>
  </si>
  <si>
    <t>RESISPCO</t>
  </si>
  <si>
    <t>RESIWAHE</t>
  </si>
  <si>
    <t>RESICOOK</t>
  </si>
  <si>
    <t>RESILIAP</t>
  </si>
  <si>
    <t>RESIOTH</t>
  </si>
  <si>
    <r>
      <rPr>
        <sz val="11"/>
        <color indexed="8"/>
        <rFont val="Calibri"/>
        <family val="2"/>
      </rPr>
      <t>Liquefied petroleum gases (</t>
    </r>
    <r>
      <rPr>
        <i/>
        <sz val="11"/>
        <color indexed="8"/>
        <rFont val="Calibri"/>
        <family val="2"/>
      </rPr>
      <t>LPG</t>
    </r>
    <r>
      <rPr>
        <sz val="11"/>
        <color indexed="8"/>
        <rFont val="Calibri"/>
        <family val="2"/>
      </rPr>
      <t>)</t>
    </r>
    <r>
      <rPr>
        <sz val="11"/>
        <color theme="1"/>
        <rFont val="Calibri"/>
        <family val="2"/>
        <scheme val="minor"/>
      </rPr>
      <t xml:space="preserve"> are light paraffinic hydrocarbons derived from the refinery processes, crude oil stabilisation and natural gas processing plants. They consist mainly of </t>
    </r>
    <r>
      <rPr>
        <i/>
        <sz val="11"/>
        <color indexed="8"/>
        <rFont val="Calibri"/>
        <family val="2"/>
      </rPr>
      <t>propane</t>
    </r>
    <r>
      <rPr>
        <sz val="11"/>
        <color theme="1"/>
        <rFont val="Calibri"/>
        <family val="2"/>
        <scheme val="minor"/>
      </rPr>
      <t xml:space="preserve"> (C3H8) and </t>
    </r>
    <r>
      <rPr>
        <i/>
        <sz val="11"/>
        <color indexed="8"/>
        <rFont val="Calibri"/>
        <family val="2"/>
      </rPr>
      <t>butane</t>
    </r>
    <r>
      <rPr>
        <sz val="11"/>
        <color theme="1"/>
        <rFont val="Calibri"/>
        <family val="2"/>
        <scheme val="minor"/>
      </rPr>
      <t xml:space="preserve"> (C4H10) or a combination of the two. They could also include propylene, butylene, isobutene and isobutylene.
LPG are normally liquefied under pressure for transportation and storage.</t>
    </r>
  </si>
  <si>
    <r>
      <rPr>
        <i/>
        <sz val="11"/>
        <color indexed="8"/>
        <rFont val="Calibri"/>
        <family val="2"/>
      </rPr>
      <t>Solid fuels</t>
    </r>
    <r>
      <rPr>
        <sz val="11"/>
        <color theme="1"/>
        <rFont val="Calibri"/>
        <family val="2"/>
        <scheme val="minor"/>
      </rPr>
      <t xml:space="preserve"> cover </t>
    </r>
    <r>
      <rPr>
        <sz val="11"/>
        <color indexed="8"/>
        <rFont val="Calibri"/>
        <family val="2"/>
      </rPr>
      <t>hard coal and derivatives</t>
    </r>
    <r>
      <rPr>
        <sz val="11"/>
        <color theme="1"/>
        <rFont val="Calibri"/>
        <family val="2"/>
        <scheme val="minor"/>
      </rPr>
      <t xml:space="preserve"> (</t>
    </r>
    <r>
      <rPr>
        <i/>
        <sz val="11"/>
        <color indexed="8"/>
        <rFont val="Calibri"/>
        <family val="2"/>
      </rPr>
      <t>patent fuels, anthracite, coking coal, other bituminous coal, sub-bituminous coal, coke oven coke, gas coke, coal tar</t>
    </r>
    <r>
      <rPr>
        <sz val="11"/>
        <color theme="1"/>
        <rFont val="Calibri"/>
        <family val="2"/>
        <scheme val="minor"/>
      </rPr>
      <t xml:space="preserve">), </t>
    </r>
    <r>
      <rPr>
        <sz val="11"/>
        <color indexed="8"/>
        <rFont val="Calibri"/>
        <family val="2"/>
      </rPr>
      <t>lignite and derivatives</t>
    </r>
    <r>
      <rPr>
        <sz val="11"/>
        <color theme="1"/>
        <rFont val="Calibri"/>
        <family val="2"/>
        <scheme val="minor"/>
      </rPr>
      <t xml:space="preserve"> (</t>
    </r>
    <r>
      <rPr>
        <i/>
        <sz val="11"/>
        <color indexed="8"/>
        <rFont val="Calibri"/>
        <family val="2"/>
      </rPr>
      <t>lignite/brown coal, BKB (brown coal briquettes)), peat and peat products</t>
    </r>
    <r>
      <rPr>
        <sz val="11"/>
        <color theme="1"/>
        <rFont val="Calibri"/>
        <family val="2"/>
        <scheme val="minor"/>
      </rPr>
      <t xml:space="preserve"> and </t>
    </r>
    <r>
      <rPr>
        <i/>
        <sz val="11"/>
        <color indexed="8"/>
        <rFont val="Calibri"/>
        <family val="2"/>
      </rPr>
      <t>oil shale</t>
    </r>
    <r>
      <rPr>
        <sz val="11"/>
        <color theme="1"/>
        <rFont val="Calibri"/>
        <family val="2"/>
        <scheme val="minor"/>
      </rPr>
      <t xml:space="preserve"> and </t>
    </r>
    <r>
      <rPr>
        <i/>
        <sz val="11"/>
        <color indexed="8"/>
        <rFont val="Calibri"/>
        <family val="2"/>
      </rPr>
      <t>oil sands</t>
    </r>
    <r>
      <rPr>
        <sz val="11"/>
        <color theme="1"/>
        <rFont val="Calibri"/>
        <family val="2"/>
        <scheme val="minor"/>
      </rPr>
      <t>.</t>
    </r>
  </si>
  <si>
    <r>
      <rPr>
        <i/>
        <sz val="11"/>
        <color indexed="8"/>
        <rFont val="Calibri"/>
        <family val="2"/>
      </rPr>
      <t>Natural gas</t>
    </r>
    <r>
      <rPr>
        <sz val="11"/>
        <color theme="1"/>
        <rFont val="Calibri"/>
        <family val="2"/>
        <scheme val="minor"/>
      </rPr>
      <t xml:space="preserve"> comprises gases, occurring in underground deposits, whether liquefied or gaseous, consisting mainly of </t>
    </r>
    <r>
      <rPr>
        <sz val="11"/>
        <color indexed="8"/>
        <rFont val="Calibri"/>
        <family val="2"/>
      </rPr>
      <t>methane.</t>
    </r>
    <r>
      <rPr>
        <sz val="11"/>
        <color theme="1"/>
        <rFont val="Calibri"/>
        <family val="2"/>
        <scheme val="minor"/>
      </rPr>
      <t xml:space="preserve"> It includes both "non-associated" gas originating from fields producing hydrocarbons only in gaseous form, and "associated" gas produced in association with crude oil as well as methane recovered from coal mines (colliery gas) or from coal seams (coal seam gas). </t>
    </r>
    <r>
      <rPr>
        <i/>
        <sz val="11"/>
        <color indexed="8"/>
        <rFont val="Calibri"/>
        <family val="2"/>
      </rPr>
      <t>Biogases</t>
    </r>
    <r>
      <rPr>
        <sz val="11"/>
        <color theme="1"/>
        <rFont val="Calibri"/>
        <family val="2"/>
        <scheme val="minor"/>
      </rPr>
      <t xml:space="preserve"> produced by anaerobic digestion of biomass (e.g. municipal or sewage gas) and used directly by households (without being blended with natural gas) should be reported under </t>
    </r>
    <r>
      <rPr>
        <i/>
        <sz val="11"/>
        <color indexed="8"/>
        <rFont val="Calibri"/>
        <family val="2"/>
      </rPr>
      <t>Renewables and wastes.</t>
    </r>
  </si>
  <si>
    <r>
      <t xml:space="preserve">This category covers gas/diesel oil used in the Residential / Households sector. It mainly consists of </t>
    </r>
    <r>
      <rPr>
        <sz val="11"/>
        <color indexed="8"/>
        <rFont val="Calibri"/>
        <family val="2"/>
      </rPr>
      <t>heating gasoil</t>
    </r>
    <r>
      <rPr>
        <sz val="11"/>
        <color theme="1"/>
        <rFont val="Calibri"/>
        <family val="2"/>
        <scheme val="minor"/>
      </rPr>
      <t xml:space="preserve">.
</t>
    </r>
    <r>
      <rPr>
        <i/>
        <sz val="11"/>
        <color indexed="8"/>
        <rFont val="Calibri"/>
        <family val="2"/>
      </rPr>
      <t>Gas/diesel oil</t>
    </r>
    <r>
      <rPr>
        <sz val="11"/>
        <color theme="1"/>
        <rFont val="Calibri"/>
        <family val="2"/>
        <scheme val="minor"/>
      </rPr>
      <t xml:space="preserve"> (distillate fuel oil) is primarily a medium distillate distilling between 180°C and 380°C. Several grades are available depending on uses:
- Road diesel: on-road diesel oil for diesel compression ignition (cars, trucks, etc.), usually of low sulphur content;
- Heating and other gasoil: light heating oil for industrial, residential and commercial uses;
- Marine diesel and diesel used in rail traffic;
- Other gas oil including heavy gas oils which distil between 380°C and 540°C and which are used as petrochemical feedstocks.
In principle, households mainly use the light heating oil for various purposes, of which the most important are heating of space and water.</t>
    </r>
  </si>
  <si>
    <r>
      <t xml:space="preserve">This category mainly covers the </t>
    </r>
    <r>
      <rPr>
        <i/>
        <sz val="11"/>
        <color indexed="8"/>
        <rFont val="Calibri"/>
        <family val="2"/>
      </rPr>
      <t>natural gas</t>
    </r>
    <r>
      <rPr>
        <sz val="11"/>
        <color theme="1"/>
        <rFont val="Calibri"/>
        <family val="2"/>
        <scheme val="minor"/>
      </rPr>
      <t xml:space="preserve"> used by households - either as GNG (</t>
    </r>
    <r>
      <rPr>
        <i/>
        <sz val="11"/>
        <color theme="1"/>
        <rFont val="Calibri"/>
        <family val="2"/>
        <scheme val="minor"/>
      </rPr>
      <t>Gaseous Natural Gas</t>
    </r>
    <r>
      <rPr>
        <sz val="11"/>
        <color theme="1"/>
        <rFont val="Calibri"/>
        <family val="2"/>
        <scheme val="minor"/>
      </rPr>
      <t>) or as LNG (</t>
    </r>
    <r>
      <rPr>
        <i/>
        <sz val="11"/>
        <color theme="1"/>
        <rFont val="Calibri"/>
        <family val="2"/>
        <scheme val="minor"/>
      </rPr>
      <t>Liquefied Natural Gas</t>
    </r>
    <r>
      <rPr>
        <sz val="11"/>
        <color theme="1"/>
        <rFont val="Calibri"/>
        <family val="2"/>
        <scheme val="minor"/>
      </rPr>
      <t xml:space="preserve">). It can include </t>
    </r>
    <r>
      <rPr>
        <sz val="11"/>
        <color indexed="8"/>
        <rFont val="Calibri"/>
        <family val="2"/>
      </rPr>
      <t>derived gases</t>
    </r>
    <r>
      <rPr>
        <sz val="11"/>
        <color theme="1"/>
        <rFont val="Calibri"/>
        <family val="2"/>
        <scheme val="minor"/>
      </rPr>
      <t xml:space="preserve"> </t>
    </r>
    <r>
      <rPr>
        <i/>
        <sz val="11"/>
        <color indexed="8"/>
        <rFont val="Calibri"/>
        <family val="2"/>
      </rPr>
      <t>(coke oven gas</t>
    </r>
    <r>
      <rPr>
        <sz val="11"/>
        <color theme="1"/>
        <rFont val="Calibri"/>
        <family val="2"/>
        <scheme val="minor"/>
      </rPr>
      <t xml:space="preserve">, </t>
    </r>
    <r>
      <rPr>
        <i/>
        <sz val="11"/>
        <color indexed="8"/>
        <rFont val="Calibri"/>
        <family val="2"/>
      </rPr>
      <t>blast furnace gas</t>
    </r>
    <r>
      <rPr>
        <sz val="11"/>
        <color theme="1"/>
        <rFont val="Calibri"/>
        <family val="2"/>
        <scheme val="minor"/>
      </rPr>
      <t xml:space="preserve">, </t>
    </r>
    <r>
      <rPr>
        <i/>
        <sz val="11"/>
        <color indexed="8"/>
        <rFont val="Calibri"/>
        <family val="2"/>
      </rPr>
      <t>gas works gas</t>
    </r>
    <r>
      <rPr>
        <sz val="11"/>
        <color theme="1"/>
        <rFont val="Calibri"/>
        <family val="2"/>
        <scheme val="minor"/>
      </rPr>
      <t xml:space="preserve"> and </t>
    </r>
    <r>
      <rPr>
        <i/>
        <sz val="11"/>
        <color indexed="8"/>
        <rFont val="Calibri"/>
        <family val="2"/>
      </rPr>
      <t>other recovered gases</t>
    </r>
    <r>
      <rPr>
        <sz val="11"/>
        <color theme="1"/>
        <rFont val="Calibri"/>
        <family val="2"/>
        <scheme val="minor"/>
      </rPr>
      <t>) or b</t>
    </r>
    <r>
      <rPr>
        <i/>
        <sz val="11"/>
        <color theme="1"/>
        <rFont val="Calibri"/>
        <family val="2"/>
        <scheme val="minor"/>
      </rPr>
      <t>iogases</t>
    </r>
    <r>
      <rPr>
        <sz val="11"/>
        <color theme="1"/>
        <rFont val="Calibri"/>
        <family val="2"/>
        <scheme val="minor"/>
      </rPr>
      <t xml:space="preserve"> (bio-methane) when these gases are blended with natural gas and the blend is delivered to households for final use.</t>
    </r>
  </si>
  <si>
    <r>
      <rPr>
        <i/>
        <sz val="11"/>
        <color indexed="8"/>
        <rFont val="Calibri"/>
        <family val="2"/>
      </rPr>
      <t>Oil and petroleum products</t>
    </r>
    <r>
      <rPr>
        <sz val="11"/>
        <color theme="1"/>
        <rFont val="Calibri"/>
        <family val="2"/>
        <scheme val="minor"/>
      </rPr>
      <t xml:space="preserve"> (blended with biofuels) cover mainly the following petroleum products: </t>
    </r>
    <r>
      <rPr>
        <i/>
        <sz val="11"/>
        <color indexed="8"/>
        <rFont val="Calibri"/>
        <family val="2"/>
      </rPr>
      <t>Liquefied petroleum gas</t>
    </r>
    <r>
      <rPr>
        <sz val="11"/>
        <color theme="1"/>
        <rFont val="Calibri"/>
        <family val="2"/>
        <scheme val="minor"/>
      </rPr>
      <t xml:space="preserve">, </t>
    </r>
    <r>
      <rPr>
        <i/>
        <sz val="11"/>
        <color indexed="8"/>
        <rFont val="Calibri"/>
        <family val="2"/>
      </rPr>
      <t>Motor gasoline</t>
    </r>
    <r>
      <rPr>
        <sz val="11"/>
        <color theme="1"/>
        <rFont val="Calibri"/>
        <family val="2"/>
        <scheme val="minor"/>
      </rPr>
      <t xml:space="preserve">, </t>
    </r>
    <r>
      <rPr>
        <i/>
        <sz val="11"/>
        <color indexed="8"/>
        <rFont val="Calibri"/>
        <family val="2"/>
      </rPr>
      <t>Kerosenes</t>
    </r>
    <r>
      <rPr>
        <sz val="11"/>
        <color theme="1"/>
        <rFont val="Calibri"/>
        <family val="2"/>
        <scheme val="minor"/>
      </rPr>
      <t xml:space="preserve">, </t>
    </r>
    <r>
      <rPr>
        <i/>
        <sz val="11"/>
        <color indexed="8"/>
        <rFont val="Calibri"/>
        <family val="2"/>
      </rPr>
      <t>Gas/diesel oil</t>
    </r>
    <r>
      <rPr>
        <sz val="11"/>
        <color theme="1"/>
        <rFont val="Calibri"/>
        <family val="2"/>
        <scheme val="minor"/>
      </rPr>
      <t xml:space="preserve"> and </t>
    </r>
    <r>
      <rPr>
        <i/>
        <sz val="11"/>
        <color indexed="8"/>
        <rFont val="Calibri"/>
        <family val="2"/>
      </rPr>
      <t>Residual fuel oil</t>
    </r>
    <r>
      <rPr>
        <sz val="11"/>
        <color theme="1"/>
        <rFont val="Calibri"/>
        <family val="2"/>
        <scheme val="minor"/>
      </rPr>
      <t xml:space="preserve">.
It can also include other products such as </t>
    </r>
    <r>
      <rPr>
        <i/>
        <sz val="11"/>
        <color indexed="8"/>
        <rFont val="Calibri"/>
        <family val="2"/>
      </rPr>
      <t>crude oil</t>
    </r>
    <r>
      <rPr>
        <sz val="11"/>
        <color theme="1"/>
        <rFont val="Calibri"/>
        <family val="2"/>
        <scheme val="minor"/>
      </rPr>
      <t xml:space="preserve">, </t>
    </r>
    <r>
      <rPr>
        <i/>
        <sz val="11"/>
        <color indexed="8"/>
        <rFont val="Calibri"/>
        <family val="2"/>
      </rPr>
      <t>Natural Gas Liquids (NGL)</t>
    </r>
    <r>
      <rPr>
        <sz val="11"/>
        <color theme="1"/>
        <rFont val="Calibri"/>
        <family val="2"/>
        <scheme val="minor"/>
      </rPr>
      <t xml:space="preserve">, </t>
    </r>
    <r>
      <rPr>
        <i/>
        <sz val="11"/>
        <color indexed="8"/>
        <rFont val="Calibri"/>
        <family val="2"/>
      </rPr>
      <t>additives-oxygenates</t>
    </r>
    <r>
      <rPr>
        <sz val="11"/>
        <color theme="1"/>
        <rFont val="Calibri"/>
        <family val="2"/>
        <scheme val="minor"/>
      </rPr>
      <t xml:space="preserve"> and </t>
    </r>
    <r>
      <rPr>
        <i/>
        <sz val="11"/>
        <color indexed="8"/>
        <rFont val="Calibri"/>
        <family val="2"/>
      </rPr>
      <t>other hydrocarbons</t>
    </r>
    <r>
      <rPr>
        <sz val="11"/>
        <color theme="1"/>
        <rFont val="Calibri"/>
        <family val="2"/>
        <scheme val="minor"/>
      </rPr>
      <t xml:space="preserve"> as well as </t>
    </r>
    <r>
      <rPr>
        <i/>
        <sz val="11"/>
        <color indexed="8"/>
        <rFont val="Calibri"/>
        <family val="2"/>
      </rPr>
      <t>refinery gas</t>
    </r>
    <r>
      <rPr>
        <sz val="11"/>
        <color theme="1"/>
        <rFont val="Calibri"/>
        <family val="2"/>
        <scheme val="minor"/>
      </rPr>
      <t xml:space="preserve">, </t>
    </r>
    <r>
      <rPr>
        <i/>
        <sz val="11"/>
        <color indexed="8"/>
        <rFont val="Calibri"/>
        <family val="2"/>
      </rPr>
      <t>ethane</t>
    </r>
    <r>
      <rPr>
        <sz val="11"/>
        <color theme="1"/>
        <rFont val="Calibri"/>
        <family val="2"/>
        <scheme val="minor"/>
      </rPr>
      <t xml:space="preserve">, </t>
    </r>
    <r>
      <rPr>
        <i/>
        <sz val="11"/>
        <color theme="1"/>
        <rFont val="Calibri"/>
        <family val="2"/>
        <scheme val="minor"/>
      </rPr>
      <t>n</t>
    </r>
    <r>
      <rPr>
        <i/>
        <sz val="11"/>
        <color indexed="8"/>
        <rFont val="Calibri"/>
        <family val="2"/>
      </rPr>
      <t>aphtha</t>
    </r>
    <r>
      <rPr>
        <sz val="11"/>
        <color theme="1"/>
        <rFont val="Calibri"/>
        <family val="2"/>
        <scheme val="minor"/>
      </rPr>
      <t xml:space="preserve">, </t>
    </r>
    <r>
      <rPr>
        <i/>
        <sz val="11"/>
        <color indexed="8"/>
        <rFont val="Calibri"/>
        <family val="2"/>
      </rPr>
      <t>white spirit &amp; SBP</t>
    </r>
    <r>
      <rPr>
        <sz val="11"/>
        <color theme="1"/>
        <rFont val="Calibri"/>
        <family val="2"/>
        <scheme val="minor"/>
      </rPr>
      <t xml:space="preserve">, </t>
    </r>
    <r>
      <rPr>
        <i/>
        <sz val="11"/>
        <color indexed="8"/>
        <rFont val="Calibri"/>
        <family val="2"/>
      </rPr>
      <t>lubricants</t>
    </r>
    <r>
      <rPr>
        <sz val="11"/>
        <color theme="1"/>
        <rFont val="Calibri"/>
        <family val="2"/>
        <scheme val="minor"/>
      </rPr>
      <t xml:space="preserve">, </t>
    </r>
    <r>
      <rPr>
        <i/>
        <sz val="11"/>
        <color indexed="8"/>
        <rFont val="Calibri"/>
        <family val="2"/>
      </rPr>
      <t>bitumen</t>
    </r>
    <r>
      <rPr>
        <sz val="11"/>
        <color theme="1"/>
        <rFont val="Calibri"/>
        <family val="2"/>
        <scheme val="minor"/>
      </rPr>
      <t xml:space="preserve">, </t>
    </r>
    <r>
      <rPr>
        <i/>
        <sz val="11"/>
        <color indexed="8"/>
        <rFont val="Calibri"/>
        <family val="2"/>
      </rPr>
      <t>petroleum coke</t>
    </r>
    <r>
      <rPr>
        <sz val="11"/>
        <color theme="1"/>
        <rFont val="Calibri"/>
        <family val="2"/>
        <scheme val="minor"/>
      </rPr>
      <t xml:space="preserve">, </t>
    </r>
    <r>
      <rPr>
        <i/>
        <sz val="11"/>
        <color indexed="8"/>
        <rFont val="Calibri"/>
        <family val="2"/>
      </rPr>
      <t>paraffin waxes</t>
    </r>
    <r>
      <rPr>
        <sz val="11"/>
        <color theme="1"/>
        <rFont val="Calibri"/>
        <family val="2"/>
        <scheme val="minor"/>
      </rPr>
      <t xml:space="preserve"> or any o</t>
    </r>
    <r>
      <rPr>
        <i/>
        <sz val="11"/>
        <color indexed="8"/>
        <rFont val="Calibri"/>
        <family val="2"/>
      </rPr>
      <t>ther oil products</t>
    </r>
    <r>
      <rPr>
        <sz val="11"/>
        <color theme="1"/>
        <rFont val="Calibri"/>
        <family val="2"/>
        <scheme val="minor"/>
      </rPr>
      <t>.</t>
    </r>
  </si>
  <si>
    <t xml:space="preserve">estat-energy-annual@ec.europa.eu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</si>
</sst>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_i"/>
    <numFmt numFmtId="165" formatCode="#,##0.000"/>
  </numFmts>
  <fonts count="50" x14ac:knownFonts="1">
    <font>
      <sz val="11"/>
      <color theme="1"/>
      <name val="Calibri"/>
      <family val="2"/>
      <scheme val="minor"/>
    </font>
    <font>
      <sz val="11"/>
      <color indexed="8"/>
      <name val="Calibri"/>
      <family val="2"/>
    </font>
    <font>
      <sz val="9"/>
      <name val="Arial"/>
      <family val="2"/>
    </font>
    <font>
      <b/>
      <sz val="9"/>
      <name val="Arial"/>
      <family val="2"/>
    </font>
    <font>
      <b/>
      <i/>
      <sz val="9"/>
      <name val="Arial"/>
      <family val="2"/>
    </font>
    <font>
      <sz val="10"/>
      <name val="Arial"/>
      <family val="2"/>
    </font>
    <font>
      <sz val="10"/>
      <name val="Arial"/>
      <family val="2"/>
    </font>
    <font>
      <b/>
      <sz val="12"/>
      <color indexed="10"/>
      <name val="Arial"/>
      <family val="2"/>
    </font>
    <font>
      <i/>
      <sz val="9"/>
      <name val="Arial"/>
      <family val="2"/>
    </font>
    <font>
      <sz val="12"/>
      <color indexed="8"/>
      <name val="Arial"/>
      <family val="2"/>
    </font>
    <font>
      <b/>
      <sz val="12"/>
      <color indexed="8"/>
      <name val="Arial"/>
      <family val="2"/>
    </font>
    <font>
      <b/>
      <sz val="12"/>
      <name val="Arial"/>
      <family val="2"/>
    </font>
    <font>
      <sz val="12"/>
      <name val="Arial"/>
      <family val="2"/>
    </font>
    <font>
      <u/>
      <sz val="10"/>
      <color indexed="12"/>
      <name val="Arial"/>
      <family val="2"/>
    </font>
    <font>
      <i/>
      <sz val="12"/>
      <color indexed="8"/>
      <name val="Arial"/>
      <family val="2"/>
    </font>
    <font>
      <b/>
      <sz val="11"/>
      <color indexed="8"/>
      <name val="Calibri"/>
      <family val="2"/>
    </font>
    <font>
      <i/>
      <sz val="11"/>
      <color indexed="8"/>
      <name val="Calibri"/>
      <family val="2"/>
    </font>
    <font>
      <b/>
      <sz val="9"/>
      <color indexed="81"/>
      <name val="Tahoma"/>
      <family val="2"/>
    </font>
    <font>
      <sz val="9"/>
      <color indexed="81"/>
      <name val="Tahoma"/>
      <family val="2"/>
    </font>
    <font>
      <sz val="9"/>
      <color theme="1"/>
      <name val="Arial"/>
      <family val="2"/>
    </font>
    <font>
      <b/>
      <sz val="11"/>
      <color theme="1"/>
      <name val="Calibri"/>
      <family val="2"/>
      <scheme val="minor"/>
    </font>
    <font>
      <b/>
      <i/>
      <sz val="9"/>
      <color theme="1"/>
      <name val="Arial"/>
      <family val="2"/>
    </font>
    <font>
      <i/>
      <sz val="9"/>
      <color theme="1"/>
      <name val="Arial"/>
      <family val="2"/>
    </font>
    <font>
      <b/>
      <sz val="9"/>
      <color theme="1"/>
      <name val="Arial"/>
      <family val="2"/>
    </font>
    <font>
      <b/>
      <sz val="16"/>
      <color theme="1"/>
      <name val="Verdana"/>
      <family val="2"/>
    </font>
    <font>
      <sz val="8"/>
      <color theme="1"/>
      <name val="Arial"/>
      <family val="2"/>
    </font>
    <font>
      <sz val="12"/>
      <color theme="1"/>
      <name val="Arial"/>
      <family val="2"/>
    </font>
    <font>
      <sz val="10"/>
      <color theme="1"/>
      <name val="Arial"/>
      <family val="2"/>
    </font>
    <font>
      <b/>
      <u/>
      <sz val="12"/>
      <color theme="1"/>
      <name val="Arial"/>
      <family val="2"/>
    </font>
    <font>
      <b/>
      <sz val="12"/>
      <color theme="1"/>
      <name val="Arial"/>
      <family val="2"/>
    </font>
    <font>
      <b/>
      <sz val="10"/>
      <color theme="1"/>
      <name val="Arial"/>
      <family val="2"/>
    </font>
    <font>
      <i/>
      <sz val="11"/>
      <color theme="1"/>
      <name val="Calibri"/>
      <family val="2"/>
      <scheme val="minor"/>
    </font>
    <font>
      <b/>
      <u/>
      <sz val="11"/>
      <color theme="1"/>
      <name val="Calibri"/>
      <family val="2"/>
      <scheme val="minor"/>
    </font>
    <font>
      <b/>
      <i/>
      <sz val="11"/>
      <color theme="1"/>
      <name val="Calibri"/>
      <family val="2"/>
      <scheme val="minor"/>
    </font>
    <font>
      <b/>
      <i/>
      <sz val="12"/>
      <color theme="1"/>
      <name val="Calibri"/>
      <family val="2"/>
      <scheme val="minor"/>
    </font>
    <font>
      <b/>
      <i/>
      <u/>
      <sz val="11"/>
      <color theme="1"/>
      <name val="Calibri"/>
      <family val="2"/>
      <scheme val="minor"/>
    </font>
    <font>
      <b/>
      <sz val="14"/>
      <color theme="1"/>
      <name val="Calibri"/>
      <family val="2"/>
      <scheme val="minor"/>
    </font>
    <font>
      <sz val="12"/>
      <color theme="1"/>
      <name val="Calibri"/>
      <family val="2"/>
      <scheme val="minor"/>
    </font>
    <font>
      <sz val="9"/>
      <color theme="1"/>
      <name val="Calibri"/>
      <family val="2"/>
      <scheme val="minor"/>
    </font>
    <font>
      <b/>
      <sz val="14"/>
      <color theme="1"/>
      <name val="Arial"/>
      <family val="2"/>
    </font>
    <font>
      <b/>
      <sz val="16"/>
      <color theme="1"/>
      <name val="Calibri"/>
      <family val="2"/>
      <scheme val="minor"/>
    </font>
    <font>
      <b/>
      <sz val="12"/>
      <color rgb="FF000000"/>
      <name val="Calibri"/>
      <family val="2"/>
    </font>
    <font>
      <i/>
      <sz val="9"/>
      <color theme="0"/>
      <name val="Arial"/>
      <family val="2"/>
    </font>
    <font>
      <i/>
      <sz val="9"/>
      <color rgb="FFFF0000"/>
      <name val="Arial"/>
      <family val="2"/>
    </font>
    <font>
      <i/>
      <sz val="9"/>
      <color rgb="FF002060"/>
      <name val="Arial"/>
      <family val="2"/>
    </font>
    <font>
      <u/>
      <sz val="11"/>
      <color theme="1"/>
      <name val="Calibri"/>
      <family val="2"/>
      <scheme val="minor"/>
    </font>
    <font>
      <sz val="11"/>
      <color rgb="FF002060"/>
      <name val="Calibri"/>
      <family val="2"/>
      <scheme val="minor"/>
    </font>
    <font>
      <u/>
      <sz val="12"/>
      <color theme="1"/>
      <name val="Calibri"/>
      <family val="2"/>
      <scheme val="minor"/>
    </font>
    <font>
      <b/>
      <i/>
      <sz val="11"/>
      <color rgb="FF000000"/>
      <name val="Calibri"/>
      <family val="2"/>
    </font>
    <font>
      <sz val="11"/>
      <color theme="1"/>
      <name val="Calibri"/>
      <family val="2"/>
      <scheme val="minor"/>
    </font>
  </fonts>
  <fills count="13">
    <fill>
      <patternFill patternType="none"/>
    </fill>
    <fill>
      <patternFill patternType="gray125"/>
    </fill>
    <fill>
      <patternFill patternType="solid">
        <fgColor indexed="43"/>
        <bgColor indexed="64"/>
      </patternFill>
    </fill>
    <fill>
      <patternFill patternType="solid">
        <fgColor theme="4" tint="0.59999389629810485"/>
        <bgColor indexed="64"/>
      </patternFill>
    </fill>
    <fill>
      <patternFill patternType="solid">
        <fgColor rgb="FFFFCC99"/>
        <bgColor indexed="64"/>
      </patternFill>
    </fill>
    <fill>
      <patternFill patternType="solid">
        <fgColor theme="0"/>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9" tint="0.79998168889431442"/>
        <bgColor indexed="64"/>
      </patternFill>
    </fill>
    <fill>
      <patternFill patternType="mediumGray">
        <bgColor rgb="FFFFCC99"/>
      </patternFill>
    </fill>
    <fill>
      <patternFill patternType="mediumGray"/>
    </fill>
    <fill>
      <patternFill patternType="mediumGray">
        <bgColor theme="9" tint="0.79998168889431442"/>
      </patternFill>
    </fill>
    <fill>
      <patternFill patternType="solid">
        <fgColor theme="0" tint="-0.14999847407452621"/>
        <bgColor indexed="64"/>
      </patternFill>
    </fill>
  </fills>
  <borders count="30">
    <border>
      <left/>
      <right/>
      <top/>
      <bottom/>
      <diagonal/>
    </border>
    <border>
      <left style="double">
        <color indexed="64"/>
      </left>
      <right/>
      <top style="double">
        <color indexed="64"/>
      </top>
      <bottom/>
      <diagonal/>
    </border>
    <border>
      <left/>
      <right/>
      <top style="thin">
        <color indexed="64"/>
      </top>
      <bottom style="hair">
        <color indexed="64"/>
      </bottom>
      <diagonal/>
    </border>
    <border>
      <left/>
      <right/>
      <top style="hair">
        <color indexed="64"/>
      </top>
      <bottom style="hair">
        <color indexed="64"/>
      </bottom>
      <diagonal/>
    </border>
    <border>
      <left/>
      <right/>
      <top style="thin">
        <color indexed="64"/>
      </top>
      <bottom/>
      <diagonal/>
    </border>
    <border>
      <left/>
      <right/>
      <top style="thin">
        <color indexed="64"/>
      </top>
      <bottom style="thin">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style="medium">
        <color indexed="64"/>
      </top>
      <bottom/>
      <diagonal/>
    </border>
    <border>
      <left/>
      <right/>
      <top/>
      <bottom style="medium">
        <color indexed="64"/>
      </bottom>
      <diagonal/>
    </border>
    <border>
      <left/>
      <right/>
      <top style="thin">
        <color rgb="FF000000"/>
      </top>
      <bottom/>
      <diagonal/>
    </border>
    <border>
      <left style="thin">
        <color auto="1"/>
      </left>
      <right style="thin">
        <color auto="1"/>
      </right>
      <top style="thin">
        <color auto="1"/>
      </top>
      <bottom style="thin">
        <color auto="1"/>
      </bottom>
      <diagonal/>
    </border>
    <border>
      <left/>
      <right/>
      <top style="hair">
        <color indexed="64"/>
      </top>
      <bottom/>
      <diagonal/>
    </border>
    <border>
      <left/>
      <right/>
      <top/>
      <bottom style="thin">
        <color indexed="64"/>
      </bottom>
      <diagonal/>
    </border>
  </borders>
  <cellStyleXfs count="12">
    <xf numFmtId="0" fontId="0" fillId="0" borderId="0"/>
    <xf numFmtId="0" fontId="5" fillId="2" borderId="0" applyNumberFormat="0" applyBorder="0" applyAlignment="0">
      <protection hidden="1"/>
    </xf>
    <xf numFmtId="0" fontId="13" fillId="0" borderId="0" applyNumberFormat="0" applyFill="0" applyBorder="0" applyAlignment="0" applyProtection="0">
      <alignment vertical="top"/>
      <protection locked="0"/>
    </xf>
    <xf numFmtId="0" fontId="5" fillId="0" borderId="0"/>
    <xf numFmtId="0" fontId="5" fillId="0" borderId="0"/>
    <xf numFmtId="0" fontId="5" fillId="0" borderId="0" applyNumberFormat="0" applyFont="0" applyFill="0" applyBorder="0" applyAlignment="0" applyProtection="0"/>
    <xf numFmtId="0" fontId="6" fillId="0" borderId="0" applyNumberFormat="0" applyFont="0" applyFill="0" applyBorder="0" applyAlignment="0" applyProtection="0"/>
    <xf numFmtId="0" fontId="2" fillId="0" borderId="0"/>
    <xf numFmtId="164" fontId="19" fillId="0" borderId="0" applyFill="0" applyBorder="0" applyProtection="0">
      <alignment horizontal="right"/>
    </xf>
    <xf numFmtId="0" fontId="7" fillId="0" borderId="1">
      <alignment horizontal="left"/>
    </xf>
    <xf numFmtId="0" fontId="5" fillId="0" borderId="0"/>
    <xf numFmtId="0" fontId="49" fillId="0" borderId="0"/>
  </cellStyleXfs>
  <cellXfs count="219">
    <xf numFmtId="0" fontId="0" fillId="0" borderId="0" xfId="0"/>
    <xf numFmtId="0" fontId="21" fillId="0" borderId="0" xfId="0" applyFont="1" applyBorder="1" applyAlignment="1">
      <alignment horizontal="left" vertical="center"/>
    </xf>
    <xf numFmtId="0" fontId="19" fillId="0" borderId="0" xfId="0" applyFont="1" applyBorder="1" applyAlignment="1">
      <alignment horizontal="center" vertical="center"/>
    </xf>
    <xf numFmtId="0" fontId="22" fillId="0" borderId="0" xfId="0" applyFont="1" applyBorder="1" applyAlignment="1">
      <alignment horizontal="center" vertical="center"/>
    </xf>
    <xf numFmtId="0" fontId="19" fillId="0" borderId="0" xfId="0" applyFont="1" applyBorder="1"/>
    <xf numFmtId="0" fontId="22" fillId="0" borderId="0" xfId="0" applyFont="1" applyBorder="1" applyAlignment="1">
      <alignment horizontal="left" vertical="center"/>
    </xf>
    <xf numFmtId="0" fontId="23" fillId="3" borderId="26" xfId="0" applyFont="1" applyFill="1" applyBorder="1" applyAlignment="1">
      <alignment horizontal="center" vertical="center" wrapText="1"/>
    </xf>
    <xf numFmtId="0" fontId="21" fillId="3" borderId="26" xfId="0" applyFont="1" applyFill="1" applyBorder="1" applyAlignment="1">
      <alignment horizontal="center" vertical="center" wrapText="1"/>
    </xf>
    <xf numFmtId="164" fontId="19" fillId="4" borderId="2" xfId="8" applyFont="1" applyFill="1" applyBorder="1" applyAlignment="1" applyProtection="1">
      <alignment horizontal="right" vertical="center"/>
      <protection hidden="1"/>
    </xf>
    <xf numFmtId="164" fontId="19" fillId="4" borderId="3" xfId="8" applyFont="1" applyFill="1" applyBorder="1" applyAlignment="1" applyProtection="1">
      <alignment horizontal="right" vertical="center"/>
      <protection hidden="1"/>
    </xf>
    <xf numFmtId="164" fontId="22" fillId="5" borderId="3" xfId="8" applyFont="1" applyFill="1" applyBorder="1" applyAlignment="1" applyProtection="1">
      <alignment horizontal="left" vertical="center"/>
      <protection hidden="1"/>
    </xf>
    <xf numFmtId="164" fontId="22" fillId="5" borderId="3" xfId="8" applyFont="1" applyFill="1" applyBorder="1" applyAlignment="1" applyProtection="1">
      <alignment horizontal="right" vertical="center"/>
      <protection hidden="1"/>
    </xf>
    <xf numFmtId="3" fontId="4" fillId="6" borderId="3" xfId="7" applyNumberFormat="1" applyFont="1" applyFill="1" applyBorder="1" applyAlignment="1" applyProtection="1">
      <alignment horizontal="right" vertical="center"/>
      <protection hidden="1"/>
    </xf>
    <xf numFmtId="0" fontId="22" fillId="0" borderId="0" xfId="0" applyFont="1" applyBorder="1"/>
    <xf numFmtId="164" fontId="22" fillId="6" borderId="3" xfId="8" applyFont="1" applyFill="1" applyBorder="1" applyAlignment="1" applyProtection="1">
      <alignment horizontal="right" vertical="center"/>
      <protection hidden="1"/>
    </xf>
    <xf numFmtId="3" fontId="21" fillId="6" borderId="3" xfId="8" applyNumberFormat="1" applyFont="1" applyFill="1" applyBorder="1" applyAlignment="1" applyProtection="1">
      <alignment horizontal="right" vertical="center"/>
      <protection hidden="1"/>
    </xf>
    <xf numFmtId="0" fontId="19" fillId="0" borderId="4" xfId="0" applyFont="1" applyBorder="1"/>
    <xf numFmtId="0" fontId="22" fillId="0" borderId="4" xfId="0" applyFont="1" applyBorder="1"/>
    <xf numFmtId="0" fontId="24" fillId="4" borderId="0" xfId="0" applyFont="1" applyFill="1" applyBorder="1" applyAlignment="1" applyProtection="1">
      <alignment horizontal="center" vertical="center"/>
      <protection hidden="1"/>
    </xf>
    <xf numFmtId="0" fontId="0" fillId="4" borderId="0" xfId="0" applyFill="1"/>
    <xf numFmtId="0" fontId="23" fillId="0" borderId="0" xfId="0" applyFont="1" applyBorder="1" applyAlignment="1">
      <alignment horizontal="left" vertical="center"/>
    </xf>
    <xf numFmtId="0" fontId="20" fillId="0" borderId="0" xfId="0" applyFont="1"/>
    <xf numFmtId="0" fontId="0" fillId="4" borderId="0" xfId="0" applyFill="1" applyAlignment="1">
      <alignment vertical="center"/>
    </xf>
    <xf numFmtId="0" fontId="25" fillId="4" borderId="0" xfId="0" applyFont="1" applyFill="1" applyBorder="1" applyAlignment="1" applyProtection="1">
      <alignment vertical="center"/>
      <protection hidden="1"/>
    </xf>
    <xf numFmtId="0" fontId="26" fillId="4" borderId="0" xfId="0" applyFont="1" applyFill="1" applyBorder="1" applyAlignment="1" applyProtection="1">
      <alignment vertical="center"/>
      <protection hidden="1"/>
    </xf>
    <xf numFmtId="0" fontId="27" fillId="4" borderId="0" xfId="1" applyFont="1" applyFill="1" applyBorder="1" applyAlignment="1" applyProtection="1">
      <alignment vertical="center"/>
      <protection hidden="1"/>
    </xf>
    <xf numFmtId="0" fontId="28" fillId="4" borderId="0" xfId="0" applyFont="1" applyFill="1" applyBorder="1" applyAlignment="1" applyProtection="1">
      <alignment horizontal="left" vertical="center"/>
      <protection hidden="1"/>
    </xf>
    <xf numFmtId="0" fontId="29" fillId="4" borderId="0" xfId="0" applyFont="1" applyFill="1" applyBorder="1" applyAlignment="1" applyProtection="1">
      <alignment horizontal="right" vertical="center"/>
      <protection hidden="1"/>
    </xf>
    <xf numFmtId="0" fontId="29" fillId="4" borderId="0" xfId="0" applyFont="1" applyFill="1" applyBorder="1" applyAlignment="1" applyProtection="1">
      <alignment horizontal="center" vertical="center"/>
      <protection hidden="1"/>
    </xf>
    <xf numFmtId="0" fontId="30" fillId="4" borderId="0" xfId="0" applyFont="1" applyFill="1" applyBorder="1" applyAlignment="1" applyProtection="1">
      <alignment horizontal="center" vertical="center"/>
      <protection hidden="1"/>
    </xf>
    <xf numFmtId="0" fontId="30" fillId="4" borderId="0" xfId="0" applyFont="1" applyFill="1" applyBorder="1" applyAlignment="1" applyProtection="1">
      <alignment horizontal="center" vertical="center" wrapText="1"/>
      <protection hidden="1"/>
    </xf>
    <xf numFmtId="0" fontId="23" fillId="0" borderId="0" xfId="0" applyFont="1" applyBorder="1" applyAlignment="1">
      <alignment horizontal="left" vertical="center"/>
    </xf>
    <xf numFmtId="164" fontId="19" fillId="4" borderId="5" xfId="8" applyFont="1" applyFill="1" applyBorder="1" applyAlignment="1" applyProtection="1">
      <alignment horizontal="right" vertical="center"/>
      <protection hidden="1"/>
    </xf>
    <xf numFmtId="0" fontId="19" fillId="0" borderId="0" xfId="0" applyFont="1" applyBorder="1" applyAlignment="1">
      <alignment vertical="center"/>
    </xf>
    <xf numFmtId="0" fontId="22" fillId="0" borderId="0" xfId="0" applyFont="1" applyBorder="1" applyAlignment="1">
      <alignment vertical="center"/>
    </xf>
    <xf numFmtId="0" fontId="19" fillId="0" borderId="4" xfId="0" applyFont="1" applyBorder="1" applyAlignment="1">
      <alignment vertical="center"/>
    </xf>
    <xf numFmtId="0" fontId="21" fillId="0" borderId="4" xfId="0" applyFont="1" applyBorder="1" applyAlignment="1">
      <alignment vertical="center"/>
    </xf>
    <xf numFmtId="0" fontId="22" fillId="0" borderId="4" xfId="0" applyFont="1" applyBorder="1" applyAlignment="1">
      <alignment vertical="center"/>
    </xf>
    <xf numFmtId="0" fontId="21" fillId="0" borderId="0" xfId="0" applyFont="1" applyBorder="1" applyAlignment="1">
      <alignment vertical="center"/>
    </xf>
    <xf numFmtId="0" fontId="5" fillId="5" borderId="6" xfId="4" applyFill="1" applyBorder="1" applyAlignment="1" applyProtection="1">
      <alignment vertical="center"/>
      <protection hidden="1"/>
    </xf>
    <xf numFmtId="0" fontId="5" fillId="5" borderId="7" xfId="4" applyFill="1" applyBorder="1" applyAlignment="1" applyProtection="1">
      <alignment vertical="center"/>
      <protection hidden="1"/>
    </xf>
    <xf numFmtId="0" fontId="5" fillId="5" borderId="8" xfId="4" applyFill="1" applyBorder="1" applyAlignment="1" applyProtection="1">
      <alignment vertical="center"/>
      <protection hidden="1"/>
    </xf>
    <xf numFmtId="0" fontId="5" fillId="5" borderId="9" xfId="4" applyFill="1" applyBorder="1" applyAlignment="1" applyProtection="1">
      <alignment vertical="center"/>
      <protection hidden="1"/>
    </xf>
    <xf numFmtId="0" fontId="5" fillId="5" borderId="10" xfId="4" applyFill="1" applyBorder="1" applyAlignment="1" applyProtection="1">
      <alignment vertical="center"/>
      <protection hidden="1"/>
    </xf>
    <xf numFmtId="0" fontId="0" fillId="4" borderId="0" xfId="0" applyFill="1" applyAlignment="1">
      <alignment wrapText="1"/>
    </xf>
    <xf numFmtId="164" fontId="19" fillId="6" borderId="3" xfId="8" applyFont="1" applyFill="1" applyBorder="1" applyAlignment="1" applyProtection="1">
      <alignment horizontal="right" vertical="center"/>
      <protection hidden="1"/>
    </xf>
    <xf numFmtId="3" fontId="3" fillId="6" borderId="3" xfId="7" applyNumberFormat="1" applyFont="1" applyFill="1" applyBorder="1" applyAlignment="1" applyProtection="1">
      <alignment horizontal="right" vertical="center"/>
      <protection hidden="1"/>
    </xf>
    <xf numFmtId="164" fontId="19" fillId="6" borderId="2" xfId="8" applyFont="1" applyFill="1" applyBorder="1" applyAlignment="1" applyProtection="1">
      <alignment horizontal="right" vertical="center"/>
      <protection hidden="1"/>
    </xf>
    <xf numFmtId="3" fontId="21" fillId="6" borderId="2" xfId="8" applyNumberFormat="1" applyFont="1" applyFill="1" applyBorder="1" applyAlignment="1" applyProtection="1">
      <alignment horizontal="right" vertical="center"/>
      <protection hidden="1"/>
    </xf>
    <xf numFmtId="3" fontId="3" fillId="6" borderId="2" xfId="7" applyNumberFormat="1" applyFont="1" applyFill="1" applyBorder="1" applyAlignment="1" applyProtection="1">
      <alignment horizontal="right" vertical="center"/>
      <protection hidden="1"/>
    </xf>
    <xf numFmtId="0" fontId="0" fillId="4" borderId="0" xfId="0" applyFill="1" applyBorder="1"/>
    <xf numFmtId="0" fontId="11" fillId="4" borderId="0" xfId="1" applyFont="1" applyFill="1" applyBorder="1" applyAlignment="1" applyProtection="1">
      <alignment horizontal="right" vertical="center"/>
      <protection hidden="1"/>
    </xf>
    <xf numFmtId="0" fontId="0" fillId="4" borderId="0" xfId="0" applyFill="1" applyBorder="1" applyAlignment="1">
      <alignment vertical="center"/>
    </xf>
    <xf numFmtId="0" fontId="12" fillId="4" borderId="0" xfId="1" applyFont="1" applyFill="1" applyBorder="1" applyAlignment="1" applyProtection="1">
      <alignment horizontal="left" vertical="center" wrapText="1"/>
      <protection hidden="1"/>
    </xf>
    <xf numFmtId="0" fontId="12" fillId="4" borderId="0" xfId="1" applyFont="1" applyFill="1" applyBorder="1" applyAlignment="1" applyProtection="1">
      <alignment vertical="center"/>
      <protection hidden="1"/>
    </xf>
    <xf numFmtId="0" fontId="12" fillId="4" borderId="0" xfId="1" quotePrefix="1" applyFont="1" applyFill="1" applyBorder="1" applyAlignment="1" applyProtection="1">
      <alignment vertical="center"/>
      <protection hidden="1"/>
    </xf>
    <xf numFmtId="0" fontId="25" fillId="5" borderId="11" xfId="0" applyFont="1" applyFill="1" applyBorder="1" applyAlignment="1" applyProtection="1">
      <alignment vertical="center"/>
      <protection hidden="1"/>
    </xf>
    <xf numFmtId="0" fontId="19" fillId="0" borderId="0" xfId="0" applyFont="1" applyBorder="1" applyAlignment="1">
      <alignment vertical="center"/>
    </xf>
    <xf numFmtId="165" fontId="2" fillId="4" borderId="3" xfId="7" applyNumberFormat="1" applyFont="1" applyFill="1" applyBorder="1" applyAlignment="1" applyProtection="1">
      <alignment horizontal="right" vertical="center"/>
    </xf>
    <xf numFmtId="165" fontId="2" fillId="4" borderId="2" xfId="7" applyNumberFormat="1" applyFont="1" applyFill="1" applyBorder="1" applyAlignment="1" applyProtection="1">
      <alignment horizontal="right" vertical="center"/>
    </xf>
    <xf numFmtId="165" fontId="2" fillId="4" borderId="5" xfId="7" applyNumberFormat="1" applyFont="1" applyFill="1" applyBorder="1" applyAlignment="1" applyProtection="1">
      <alignment horizontal="right" vertical="center"/>
    </xf>
    <xf numFmtId="0" fontId="0" fillId="4" borderId="0" xfId="0" applyFill="1" applyAlignment="1" applyProtection="1">
      <alignment horizontal="justify" vertical="center"/>
      <protection hidden="1"/>
    </xf>
    <xf numFmtId="0" fontId="0" fillId="4" borderId="0" xfId="0" applyFill="1" applyAlignment="1" applyProtection="1">
      <alignment vertical="center"/>
      <protection hidden="1"/>
    </xf>
    <xf numFmtId="0" fontId="31" fillId="5" borderId="12" xfId="0" applyFont="1" applyFill="1" applyBorder="1" applyAlignment="1" applyProtection="1">
      <alignment horizontal="left" vertical="center" wrapText="1"/>
      <protection hidden="1"/>
    </xf>
    <xf numFmtId="0" fontId="0" fillId="5" borderId="13" xfId="0" applyFill="1" applyBorder="1" applyAlignment="1" applyProtection="1">
      <alignment horizontal="left" vertical="center" wrapText="1"/>
      <protection hidden="1"/>
    </xf>
    <xf numFmtId="0" fontId="0" fillId="5" borderId="14" xfId="0" applyFill="1" applyBorder="1" applyAlignment="1" applyProtection="1">
      <alignment horizontal="left" vertical="center" wrapText="1"/>
      <protection hidden="1"/>
    </xf>
    <xf numFmtId="0" fontId="0" fillId="4" borderId="0" xfId="0" applyFill="1" applyAlignment="1" applyProtection="1">
      <alignment horizontal="left" vertical="center"/>
      <protection hidden="1"/>
    </xf>
    <xf numFmtId="0" fontId="0" fillId="4" borderId="0" xfId="0" applyFill="1" applyAlignment="1" applyProtection="1">
      <alignment horizontal="left" vertical="center" wrapText="1"/>
      <protection hidden="1"/>
    </xf>
    <xf numFmtId="0" fontId="32" fillId="5" borderId="15" xfId="0" applyFont="1" applyFill="1" applyBorder="1" applyAlignment="1" applyProtection="1">
      <alignment horizontal="left" vertical="center"/>
      <protection hidden="1"/>
    </xf>
    <xf numFmtId="0" fontId="0" fillId="5" borderId="12" xfId="0" applyFill="1" applyBorder="1" applyAlignment="1" applyProtection="1">
      <alignment horizontal="left" vertical="center" wrapText="1"/>
      <protection hidden="1"/>
    </xf>
    <xf numFmtId="0" fontId="33" fillId="5" borderId="16" xfId="0" applyFont="1" applyFill="1" applyBorder="1" applyAlignment="1" applyProtection="1">
      <alignment horizontal="right" vertical="top"/>
      <protection hidden="1"/>
    </xf>
    <xf numFmtId="0" fontId="34" fillId="5" borderId="16" xfId="0" applyFont="1" applyFill="1" applyBorder="1" applyAlignment="1" applyProtection="1">
      <alignment horizontal="left" vertical="center"/>
      <protection hidden="1"/>
    </xf>
    <xf numFmtId="0" fontId="33" fillId="5" borderId="16" xfId="0" applyFont="1" applyFill="1" applyBorder="1" applyAlignment="1" applyProtection="1">
      <alignment horizontal="left" vertical="center"/>
      <protection hidden="1"/>
    </xf>
    <xf numFmtId="0" fontId="31" fillId="5" borderId="16" xfId="0" applyFont="1" applyFill="1" applyBorder="1" applyAlignment="1" applyProtection="1">
      <alignment horizontal="right" vertical="top"/>
      <protection hidden="1"/>
    </xf>
    <xf numFmtId="0" fontId="33" fillId="5" borderId="17" xfId="0" applyFont="1" applyFill="1" applyBorder="1" applyAlignment="1" applyProtection="1">
      <alignment horizontal="right" vertical="top"/>
      <protection hidden="1"/>
    </xf>
    <xf numFmtId="0" fontId="0" fillId="4" borderId="0" xfId="0" applyFill="1" applyProtection="1">
      <protection hidden="1"/>
    </xf>
    <xf numFmtId="0" fontId="20" fillId="5" borderId="15" xfId="0" applyFont="1" applyFill="1" applyBorder="1" applyAlignment="1" applyProtection="1">
      <alignment horizontal="left" vertical="center"/>
      <protection hidden="1"/>
    </xf>
    <xf numFmtId="0" fontId="32" fillId="5" borderId="16" xfId="0" applyFont="1" applyFill="1" applyBorder="1" applyAlignment="1" applyProtection="1">
      <alignment horizontal="left" vertical="center"/>
      <protection hidden="1"/>
    </xf>
    <xf numFmtId="0" fontId="0" fillId="5" borderId="16" xfId="0" applyFill="1" applyBorder="1" applyAlignment="1" applyProtection="1">
      <alignment horizontal="left" vertical="center"/>
      <protection hidden="1"/>
    </xf>
    <xf numFmtId="0" fontId="33" fillId="5" borderId="17" xfId="0" applyFont="1" applyFill="1" applyBorder="1" applyAlignment="1" applyProtection="1">
      <alignment horizontal="left" vertical="center"/>
      <protection hidden="1"/>
    </xf>
    <xf numFmtId="0" fontId="0" fillId="5" borderId="18" xfId="0" applyFill="1" applyBorder="1" applyAlignment="1" applyProtection="1">
      <alignment horizontal="left" vertical="center" wrapText="1"/>
      <protection hidden="1"/>
    </xf>
    <xf numFmtId="0" fontId="35" fillId="5" borderId="15" xfId="0" applyFont="1" applyFill="1" applyBorder="1" applyAlignment="1" applyProtection="1">
      <alignment vertical="center"/>
      <protection hidden="1"/>
    </xf>
    <xf numFmtId="0" fontId="0" fillId="5" borderId="12" xfId="0" applyFill="1" applyBorder="1" applyAlignment="1" applyProtection="1">
      <alignment vertical="center"/>
      <protection hidden="1"/>
    </xf>
    <xf numFmtId="0" fontId="0" fillId="5" borderId="16" xfId="0" applyFill="1" applyBorder="1" applyAlignment="1" applyProtection="1">
      <alignment vertical="center"/>
      <protection hidden="1"/>
    </xf>
    <xf numFmtId="0" fontId="0" fillId="5" borderId="13" xfId="0" applyFill="1" applyBorder="1" applyAlignment="1" applyProtection="1">
      <alignment vertical="center"/>
      <protection hidden="1"/>
    </xf>
    <xf numFmtId="0" fontId="20" fillId="5" borderId="16" xfId="0" applyFont="1" applyFill="1" applyBorder="1" applyAlignment="1" applyProtection="1">
      <alignment vertical="center"/>
      <protection hidden="1"/>
    </xf>
    <xf numFmtId="0" fontId="20" fillId="5" borderId="17" xfId="0" applyFont="1" applyFill="1" applyBorder="1" applyAlignment="1" applyProtection="1">
      <alignment vertical="center"/>
      <protection hidden="1"/>
    </xf>
    <xf numFmtId="0" fontId="0" fillId="5" borderId="14" xfId="0" applyFill="1" applyBorder="1" applyAlignment="1" applyProtection="1">
      <alignment vertical="center"/>
      <protection hidden="1"/>
    </xf>
    <xf numFmtId="0" fontId="20" fillId="5" borderId="19" xfId="0" applyFont="1" applyFill="1" applyBorder="1" applyAlignment="1" applyProtection="1">
      <alignment horizontal="left" vertical="center"/>
      <protection hidden="1"/>
    </xf>
    <xf numFmtId="0" fontId="19" fillId="0" borderId="0" xfId="0" applyFont="1" applyBorder="1" applyAlignment="1">
      <alignment vertical="center"/>
    </xf>
    <xf numFmtId="3" fontId="21" fillId="4" borderId="3" xfId="8" applyNumberFormat="1" applyFont="1" applyFill="1" applyBorder="1" applyAlignment="1" applyProtection="1">
      <alignment horizontal="right" vertical="center"/>
    </xf>
    <xf numFmtId="3" fontId="3" fillId="4" borderId="3" xfId="7" applyNumberFormat="1" applyFont="1" applyFill="1" applyBorder="1" applyAlignment="1" applyProtection="1">
      <alignment horizontal="right" vertical="center"/>
    </xf>
    <xf numFmtId="0" fontId="0" fillId="0" borderId="20" xfId="0" applyBorder="1" applyAlignment="1">
      <alignment vertical="center"/>
    </xf>
    <xf numFmtId="0" fontId="19" fillId="0" borderId="0" xfId="0" applyFont="1" applyBorder="1" applyAlignment="1">
      <alignment vertical="center"/>
    </xf>
    <xf numFmtId="0" fontId="19" fillId="0" borderId="0" xfId="0" applyFont="1" applyBorder="1" applyAlignment="1">
      <alignment vertical="center"/>
    </xf>
    <xf numFmtId="0" fontId="19" fillId="0" borderId="0" xfId="0" applyFont="1" applyBorder="1" applyAlignment="1">
      <alignment vertical="center"/>
    </xf>
    <xf numFmtId="0" fontId="0" fillId="0" borderId="0" xfId="0" applyAlignment="1">
      <alignment horizontal="center"/>
    </xf>
    <xf numFmtId="0" fontId="42" fillId="0" borderId="4" xfId="0" applyFont="1" applyBorder="1" applyAlignment="1">
      <alignment vertical="center"/>
    </xf>
    <xf numFmtId="0" fontId="43" fillId="0" borderId="4" xfId="0" applyFont="1" applyBorder="1" applyAlignment="1">
      <alignment vertical="center"/>
    </xf>
    <xf numFmtId="165" fontId="21" fillId="0" borderId="0" xfId="0" applyNumberFormat="1" applyFont="1" applyBorder="1" applyAlignment="1">
      <alignment vertical="center"/>
    </xf>
    <xf numFmtId="0" fontId="45" fillId="0" borderId="0" xfId="0" applyFont="1"/>
    <xf numFmtId="0" fontId="46" fillId="0" borderId="0" xfId="0" applyFont="1" applyAlignment="1">
      <alignment horizontal="center"/>
    </xf>
    <xf numFmtId="0" fontId="34" fillId="0" borderId="0" xfId="0" applyFont="1"/>
    <xf numFmtId="0" fontId="47" fillId="0" borderId="0" xfId="0" applyFont="1"/>
    <xf numFmtId="0" fontId="37" fillId="0" borderId="0" xfId="0" applyFont="1" applyAlignment="1">
      <alignment horizontal="center"/>
    </xf>
    <xf numFmtId="164" fontId="19" fillId="7" borderId="2" xfId="8" applyFont="1" applyFill="1" applyBorder="1" applyAlignment="1" applyProtection="1">
      <alignment horizontal="right" vertical="center"/>
      <protection hidden="1"/>
    </xf>
    <xf numFmtId="164" fontId="19" fillId="7" borderId="3" xfId="8" applyFont="1" applyFill="1" applyBorder="1" applyAlignment="1" applyProtection="1">
      <alignment horizontal="right" vertical="center"/>
      <protection hidden="1"/>
    </xf>
    <xf numFmtId="164" fontId="22" fillId="8" borderId="3" xfId="8" applyFont="1" applyFill="1" applyBorder="1" applyAlignment="1" applyProtection="1">
      <alignment horizontal="left" vertical="center"/>
      <protection hidden="1"/>
    </xf>
    <xf numFmtId="164" fontId="22" fillId="8" borderId="3" xfId="8" applyFont="1" applyFill="1" applyBorder="1" applyAlignment="1" applyProtection="1">
      <alignment horizontal="right" vertical="center"/>
      <protection hidden="1"/>
    </xf>
    <xf numFmtId="165" fontId="22" fillId="8" borderId="3" xfId="8" applyNumberFormat="1" applyFont="1" applyFill="1" applyBorder="1" applyAlignment="1" applyProtection="1">
      <alignment horizontal="right" vertical="center"/>
    </xf>
    <xf numFmtId="165" fontId="8" fillId="8" borderId="3" xfId="7" applyNumberFormat="1" applyFont="1" applyFill="1" applyBorder="1" applyAlignment="1" applyProtection="1">
      <alignment horizontal="right" vertical="center"/>
    </xf>
    <xf numFmtId="0" fontId="21" fillId="4" borderId="27" xfId="0" applyFont="1" applyFill="1" applyBorder="1" applyAlignment="1">
      <alignment horizontal="left" vertical="center"/>
    </xf>
    <xf numFmtId="3" fontId="21" fillId="8" borderId="3" xfId="8" applyNumberFormat="1" applyFont="1" applyFill="1" applyBorder="1" applyAlignment="1" applyProtection="1">
      <alignment horizontal="right" vertical="center"/>
    </xf>
    <xf numFmtId="3" fontId="4" fillId="8" borderId="3" xfId="7" applyNumberFormat="1" applyFont="1" applyFill="1" applyBorder="1" applyAlignment="1" applyProtection="1">
      <alignment horizontal="right" vertical="center"/>
    </xf>
    <xf numFmtId="0" fontId="19" fillId="0" borderId="0" xfId="0" applyFont="1" applyBorder="1" applyAlignment="1">
      <alignment vertical="center"/>
    </xf>
    <xf numFmtId="0" fontId="19" fillId="0" borderId="0" xfId="0" applyFont="1" applyBorder="1" applyAlignment="1">
      <alignment vertical="center"/>
    </xf>
    <xf numFmtId="0" fontId="19" fillId="0" borderId="0" xfId="0" applyFont="1" applyBorder="1" applyAlignment="1">
      <alignment vertical="center"/>
    </xf>
    <xf numFmtId="165" fontId="21" fillId="7" borderId="2" xfId="8" applyNumberFormat="1" applyFont="1" applyFill="1" applyBorder="1" applyAlignment="1" applyProtection="1">
      <alignment horizontal="right" vertical="center"/>
    </xf>
    <xf numFmtId="165" fontId="2" fillId="7" borderId="2" xfId="7" applyNumberFormat="1" applyFont="1" applyFill="1" applyBorder="1" applyAlignment="1" applyProtection="1">
      <alignment horizontal="right" vertical="center"/>
    </xf>
    <xf numFmtId="3" fontId="2" fillId="6" borderId="2" xfId="7" applyNumberFormat="1" applyFont="1" applyFill="1" applyBorder="1" applyAlignment="1" applyProtection="1">
      <alignment horizontal="right" vertical="center"/>
    </xf>
    <xf numFmtId="165" fontId="21" fillId="7" borderId="3" xfId="8" applyNumberFormat="1" applyFont="1" applyFill="1" applyBorder="1" applyAlignment="1" applyProtection="1">
      <alignment horizontal="right" vertical="center"/>
    </xf>
    <xf numFmtId="165" fontId="2" fillId="7" borderId="3" xfId="7" applyNumberFormat="1" applyFont="1" applyFill="1" applyBorder="1" applyAlignment="1" applyProtection="1">
      <alignment horizontal="right" vertical="center"/>
    </xf>
    <xf numFmtId="3" fontId="2" fillId="6" borderId="3" xfId="7" applyNumberFormat="1" applyFont="1" applyFill="1" applyBorder="1" applyAlignment="1" applyProtection="1">
      <alignment horizontal="right" vertical="center"/>
    </xf>
    <xf numFmtId="3" fontId="44" fillId="7" borderId="3" xfId="7" applyNumberFormat="1" applyFont="1" applyFill="1" applyBorder="1" applyAlignment="1" applyProtection="1">
      <alignment horizontal="right" vertical="center"/>
    </xf>
    <xf numFmtId="165" fontId="21" fillId="5" borderId="3" xfId="8" applyNumberFormat="1" applyFont="1" applyFill="1" applyBorder="1" applyAlignment="1" applyProtection="1">
      <alignment horizontal="right" vertical="center"/>
    </xf>
    <xf numFmtId="165" fontId="8" fillId="5" borderId="3" xfId="7" applyNumberFormat="1" applyFont="1" applyFill="1" applyBorder="1" applyAlignment="1" applyProtection="1">
      <alignment horizontal="right" vertical="center"/>
    </xf>
    <xf numFmtId="3" fontId="8" fillId="6" borderId="3" xfId="7" applyNumberFormat="1" applyFont="1" applyFill="1" applyBorder="1" applyAlignment="1" applyProtection="1">
      <alignment horizontal="right" vertical="center"/>
    </xf>
    <xf numFmtId="3" fontId="8" fillId="5" borderId="3" xfId="7" applyNumberFormat="1" applyFont="1" applyFill="1" applyBorder="1" applyAlignment="1" applyProtection="1">
      <alignment horizontal="right" vertical="center"/>
    </xf>
    <xf numFmtId="0" fontId="33" fillId="5" borderId="16" xfId="0" applyFont="1" applyFill="1" applyBorder="1" applyAlignment="1" applyProtection="1">
      <alignment horizontal="right" vertical="top"/>
      <protection hidden="1"/>
    </xf>
    <xf numFmtId="164" fontId="19" fillId="9" borderId="3" xfId="8" applyFont="1" applyFill="1" applyBorder="1" applyAlignment="1" applyProtection="1">
      <alignment horizontal="right" vertical="center"/>
      <protection hidden="1"/>
    </xf>
    <xf numFmtId="165" fontId="19" fillId="9" borderId="3" xfId="8" applyNumberFormat="1" applyFont="1" applyFill="1" applyBorder="1" applyAlignment="1" applyProtection="1">
      <alignment horizontal="right" vertical="center"/>
    </xf>
    <xf numFmtId="165" fontId="2" fillId="9" borderId="3" xfId="7" applyNumberFormat="1" applyFont="1" applyFill="1" applyBorder="1" applyAlignment="1" applyProtection="1">
      <alignment horizontal="right" vertical="center"/>
    </xf>
    <xf numFmtId="164" fontId="22" fillId="11" borderId="3" xfId="8" applyFont="1" applyFill="1" applyBorder="1" applyAlignment="1" applyProtection="1">
      <alignment horizontal="left" vertical="center"/>
      <protection hidden="1"/>
    </xf>
    <xf numFmtId="164" fontId="22" fillId="11" borderId="3" xfId="8" applyFont="1" applyFill="1" applyBorder="1" applyAlignment="1" applyProtection="1">
      <alignment horizontal="right" vertical="center"/>
      <protection hidden="1"/>
    </xf>
    <xf numFmtId="165" fontId="22" fillId="11" borderId="3" xfId="8" applyNumberFormat="1" applyFont="1" applyFill="1" applyBorder="1" applyAlignment="1" applyProtection="1">
      <alignment horizontal="right" vertical="center"/>
    </xf>
    <xf numFmtId="165" fontId="8" fillId="11" borderId="3" xfId="7" applyNumberFormat="1" applyFont="1" applyFill="1" applyBorder="1" applyAlignment="1" applyProtection="1">
      <alignment horizontal="right" vertical="center"/>
    </xf>
    <xf numFmtId="0" fontId="19" fillId="0" borderId="0" xfId="0" applyFont="1" applyBorder="1" applyAlignment="1">
      <alignment vertical="center"/>
    </xf>
    <xf numFmtId="0" fontId="5" fillId="12" borderId="27" xfId="10" applyFont="1" applyFill="1" applyBorder="1"/>
    <xf numFmtId="0" fontId="5" fillId="0" borderId="0" xfId="10"/>
    <xf numFmtId="0" fontId="5" fillId="0" borderId="27" xfId="10" applyBorder="1"/>
    <xf numFmtId="0" fontId="5" fillId="0" borderId="27" xfId="10" applyFont="1" applyBorder="1"/>
    <xf numFmtId="0" fontId="49" fillId="12" borderId="27" xfId="11" applyFill="1" applyBorder="1"/>
    <xf numFmtId="0" fontId="49" fillId="0" borderId="27" xfId="11" applyFill="1" applyBorder="1"/>
    <xf numFmtId="0" fontId="49" fillId="0" borderId="27" xfId="11" applyFont="1" applyFill="1" applyBorder="1"/>
    <xf numFmtId="0" fontId="49" fillId="12" borderId="27" xfId="11" applyFont="1" applyFill="1" applyBorder="1"/>
    <xf numFmtId="49" fontId="49" fillId="0" borderId="27" xfId="11" applyNumberFormat="1" applyFont="1" applyFill="1" applyBorder="1" applyAlignment="1">
      <alignment horizontal="center" vertical="center"/>
    </xf>
    <xf numFmtId="0" fontId="49" fillId="0" borderId="27" xfId="11" applyFill="1" applyBorder="1" applyAlignment="1">
      <alignment horizontal="center" vertical="center"/>
    </xf>
    <xf numFmtId="0" fontId="5" fillId="12" borderId="27" xfId="10" applyFill="1" applyBorder="1"/>
    <xf numFmtId="0" fontId="5" fillId="0" borderId="27" xfId="10" applyBorder="1" applyAlignment="1">
      <alignment horizontal="center" vertical="center"/>
    </xf>
    <xf numFmtId="0" fontId="5" fillId="0" borderId="0" xfId="10" applyAlignment="1">
      <alignment horizontal="center" vertical="center"/>
    </xf>
    <xf numFmtId="0" fontId="0" fillId="0" borderId="27" xfId="11" applyFont="1" applyFill="1" applyBorder="1" applyAlignment="1">
      <alignment horizontal="center" vertical="center"/>
    </xf>
    <xf numFmtId="0" fontId="0" fillId="0" borderId="27" xfId="11" applyFont="1" applyFill="1" applyBorder="1"/>
    <xf numFmtId="0" fontId="0" fillId="0" borderId="11" xfId="0" applyBorder="1" applyAlignment="1">
      <alignment vertical="center" wrapText="1"/>
    </xf>
    <xf numFmtId="0" fontId="13" fillId="4" borderId="0" xfId="2" applyFill="1" applyBorder="1" applyAlignment="1" applyProtection="1">
      <alignment vertical="center"/>
      <protection hidden="1"/>
    </xf>
    <xf numFmtId="165" fontId="19" fillId="4" borderId="2" xfId="8" applyNumberFormat="1" applyFill="1" applyBorder="1" applyAlignment="1" applyProtection="1">
      <alignment horizontal="right" vertical="center"/>
    </xf>
    <xf numFmtId="165" fontId="2" fillId="4" borderId="2" xfId="7" applyNumberFormat="1" applyFill="1" applyBorder="1" applyAlignment="1" applyProtection="1">
      <alignment horizontal="right" vertical="center"/>
    </xf>
    <xf numFmtId="165" fontId="19" fillId="4" borderId="3" xfId="8" applyNumberFormat="1" applyFill="1" applyBorder="1" applyAlignment="1" applyProtection="1">
      <alignment horizontal="right" vertical="center"/>
    </xf>
    <xf numFmtId="165" fontId="2" fillId="4" borderId="3" xfId="7" applyNumberFormat="1" applyFill="1" applyBorder="1" applyAlignment="1" applyProtection="1">
      <alignment horizontal="right" vertical="center"/>
    </xf>
    <xf numFmtId="165" fontId="19" fillId="4" borderId="5" xfId="8" applyNumberFormat="1" applyFill="1" applyBorder="1" applyAlignment="1" applyProtection="1">
      <alignment horizontal="right" vertical="center"/>
    </xf>
    <xf numFmtId="165" fontId="2" fillId="4" borderId="5" xfId="7" applyNumberFormat="1" applyFill="1" applyBorder="1" applyAlignment="1" applyProtection="1">
      <alignment horizontal="right" vertical="center"/>
    </xf>
    <xf numFmtId="0" fontId="12" fillId="4" borderId="0" xfId="1" applyFont="1" applyFill="1" applyBorder="1" applyAlignment="1" applyProtection="1">
      <alignment horizontal="left" vertical="center" wrapText="1"/>
      <protection hidden="1"/>
    </xf>
    <xf numFmtId="0" fontId="26" fillId="4" borderId="0" xfId="0" applyFont="1" applyFill="1" applyBorder="1" applyAlignment="1" applyProtection="1">
      <alignment horizontal="left" vertical="center" wrapText="1"/>
      <protection hidden="1"/>
    </xf>
    <xf numFmtId="49" fontId="26" fillId="5" borderId="21" xfId="0" applyNumberFormat="1" applyFont="1" applyFill="1" applyBorder="1" applyAlignment="1" applyProtection="1">
      <alignment horizontal="left" vertical="center"/>
      <protection locked="0"/>
    </xf>
    <xf numFmtId="49" fontId="26" fillId="5" borderId="22" xfId="0" applyNumberFormat="1" applyFont="1" applyFill="1" applyBorder="1" applyAlignment="1" applyProtection="1">
      <alignment horizontal="left" vertical="center"/>
      <protection locked="0"/>
    </xf>
    <xf numFmtId="0" fontId="36" fillId="5" borderId="19" xfId="0" applyFont="1" applyFill="1" applyBorder="1" applyAlignment="1" applyProtection="1">
      <alignment horizontal="center" vertical="center" wrapText="1"/>
      <protection hidden="1"/>
    </xf>
    <xf numFmtId="0" fontId="0" fillId="5" borderId="18" xfId="0" applyFill="1" applyBorder="1" applyAlignment="1" applyProtection="1">
      <alignment horizontal="center" vertical="center" wrapText="1"/>
      <protection hidden="1"/>
    </xf>
    <xf numFmtId="0" fontId="33" fillId="5" borderId="15" xfId="0" applyFont="1" applyFill="1" applyBorder="1" applyAlignment="1" applyProtection="1">
      <alignment horizontal="left" vertical="center"/>
      <protection hidden="1"/>
    </xf>
    <xf numFmtId="0" fontId="0" fillId="5" borderId="16" xfId="0" applyFill="1" applyBorder="1" applyAlignment="1" applyProtection="1">
      <alignment horizontal="left" vertical="center"/>
      <protection hidden="1"/>
    </xf>
    <xf numFmtId="0" fontId="0" fillId="5" borderId="17" xfId="0" applyFill="1" applyBorder="1" applyAlignment="1" applyProtection="1">
      <alignment horizontal="left" vertical="center"/>
      <protection hidden="1"/>
    </xf>
    <xf numFmtId="0" fontId="34" fillId="5" borderId="16" xfId="0" applyFont="1" applyFill="1" applyBorder="1" applyAlignment="1" applyProtection="1">
      <alignment horizontal="left" vertical="center"/>
      <protection hidden="1"/>
    </xf>
    <xf numFmtId="0" fontId="37" fillId="0" borderId="16" xfId="0" applyFont="1" applyBorder="1" applyAlignment="1" applyProtection="1">
      <protection hidden="1"/>
    </xf>
    <xf numFmtId="0" fontId="33" fillId="5" borderId="16" xfId="0" applyFont="1" applyFill="1" applyBorder="1" applyAlignment="1" applyProtection="1">
      <alignment horizontal="right" vertical="top"/>
      <protection hidden="1"/>
    </xf>
    <xf numFmtId="0" fontId="0" fillId="0" borderId="16" xfId="0" applyBorder="1" applyAlignment="1" applyProtection="1">
      <alignment horizontal="right" vertical="top"/>
      <protection hidden="1"/>
    </xf>
    <xf numFmtId="164" fontId="19" fillId="4" borderId="2" xfId="8" applyFont="1" applyFill="1" applyBorder="1" applyAlignment="1" applyProtection="1">
      <alignment horizontal="left" vertical="center"/>
      <protection hidden="1"/>
    </xf>
    <xf numFmtId="0" fontId="19" fillId="0" borderId="2" xfId="0" applyFont="1" applyBorder="1" applyAlignment="1"/>
    <xf numFmtId="0" fontId="22" fillId="8" borderId="3" xfId="0" applyFont="1" applyFill="1" applyBorder="1" applyAlignment="1">
      <alignment vertical="top"/>
    </xf>
    <xf numFmtId="164" fontId="19" fillId="4" borderId="3" xfId="8" applyFont="1" applyFill="1" applyBorder="1" applyAlignment="1" applyProtection="1">
      <alignment horizontal="left" vertical="center"/>
      <protection hidden="1"/>
    </xf>
    <xf numFmtId="0" fontId="19" fillId="0" borderId="3" xfId="0" applyFont="1" applyBorder="1" applyAlignment="1"/>
    <xf numFmtId="0" fontId="23" fillId="0" borderId="0" xfId="0" applyFont="1" applyBorder="1" applyAlignment="1">
      <alignment horizontal="left" vertical="center" wrapText="1"/>
    </xf>
    <xf numFmtId="0" fontId="38" fillId="0" borderId="0" xfId="0" applyFont="1" applyAlignment="1">
      <alignment wrapText="1"/>
    </xf>
    <xf numFmtId="0" fontId="19" fillId="0" borderId="0" xfId="0" applyFont="1" applyBorder="1" applyAlignment="1">
      <alignment horizontal="left" vertical="center"/>
    </xf>
    <xf numFmtId="0" fontId="0" fillId="0" borderId="0" xfId="0" applyAlignment="1"/>
    <xf numFmtId="0" fontId="39" fillId="0" borderId="0" xfId="0" applyFont="1" applyBorder="1" applyAlignment="1">
      <alignment horizontal="left" vertical="center"/>
    </xf>
    <xf numFmtId="0" fontId="36" fillId="0" borderId="0" xfId="0" applyFont="1" applyAlignment="1"/>
    <xf numFmtId="0" fontId="19" fillId="0" borderId="0" xfId="0" applyFont="1" applyBorder="1" applyAlignment="1"/>
    <xf numFmtId="0" fontId="23" fillId="3" borderId="4" xfId="0" applyFont="1" applyFill="1" applyBorder="1" applyAlignment="1">
      <alignment horizontal="center" vertical="center" wrapText="1"/>
    </xf>
    <xf numFmtId="0" fontId="20" fillId="0" borderId="4" xfId="0" applyFont="1" applyBorder="1" applyAlignment="1"/>
    <xf numFmtId="164" fontId="19" fillId="7" borderId="2" xfId="8" applyFont="1" applyFill="1" applyBorder="1" applyAlignment="1" applyProtection="1">
      <alignment horizontal="left" vertical="center"/>
      <protection hidden="1"/>
    </xf>
    <xf numFmtId="0" fontId="19" fillId="7" borderId="2" xfId="0" applyFont="1" applyFill="1" applyBorder="1" applyAlignment="1">
      <alignment vertical="center"/>
    </xf>
    <xf numFmtId="0" fontId="0" fillId="0" borderId="0" xfId="0" applyAlignment="1">
      <alignment vertical="center" wrapText="1"/>
    </xf>
    <xf numFmtId="0" fontId="19" fillId="0" borderId="0" xfId="0" applyFont="1" applyBorder="1" applyAlignment="1">
      <alignment horizontal="right" vertical="center"/>
    </xf>
    <xf numFmtId="0" fontId="0" fillId="0" borderId="0" xfId="0" applyAlignment="1">
      <alignment horizontal="right" vertical="center"/>
    </xf>
    <xf numFmtId="0" fontId="0" fillId="0" borderId="13" xfId="0" applyFont="1" applyBorder="1" applyAlignment="1">
      <alignment horizontal="right" vertical="center"/>
    </xf>
    <xf numFmtId="0" fontId="19" fillId="0" borderId="0" xfId="0" applyFont="1" applyBorder="1" applyAlignment="1">
      <alignment vertical="center"/>
    </xf>
    <xf numFmtId="0" fontId="0" fillId="0" borderId="0" xfId="0" applyAlignment="1">
      <alignment vertical="center"/>
    </xf>
    <xf numFmtId="0" fontId="20" fillId="0" borderId="4" xfId="0" applyFont="1" applyBorder="1" applyAlignment="1">
      <alignment vertical="center"/>
    </xf>
    <xf numFmtId="0" fontId="22" fillId="5" borderId="3" xfId="0" applyFont="1" applyFill="1" applyBorder="1" applyAlignment="1">
      <alignment vertical="top"/>
    </xf>
    <xf numFmtId="164" fontId="19" fillId="7" borderId="3" xfId="8" applyFont="1" applyFill="1" applyBorder="1" applyAlignment="1" applyProtection="1">
      <alignment horizontal="left" vertical="center"/>
      <protection hidden="1"/>
    </xf>
    <xf numFmtId="0" fontId="19" fillId="7" borderId="3" xfId="0" applyFont="1" applyFill="1" applyBorder="1" applyAlignment="1">
      <alignment vertical="center"/>
    </xf>
    <xf numFmtId="0" fontId="19" fillId="0" borderId="2" xfId="0" applyFont="1" applyBorder="1" applyAlignment="1">
      <alignment vertical="center"/>
    </xf>
    <xf numFmtId="0" fontId="19" fillId="0" borderId="3" xfId="0" applyFont="1" applyBorder="1" applyAlignment="1">
      <alignment vertical="center"/>
    </xf>
    <xf numFmtId="0" fontId="38" fillId="0" borderId="0" xfId="0" applyFont="1" applyAlignment="1">
      <alignment vertical="center" wrapText="1"/>
    </xf>
    <xf numFmtId="0" fontId="36" fillId="0" borderId="0" xfId="0" applyFont="1" applyAlignment="1">
      <alignment vertical="center"/>
    </xf>
    <xf numFmtId="164" fontId="19" fillId="9" borderId="3" xfId="8" applyFont="1" applyFill="1" applyBorder="1" applyAlignment="1" applyProtection="1">
      <alignment horizontal="left" vertical="center"/>
      <protection hidden="1"/>
    </xf>
    <xf numFmtId="0" fontId="19" fillId="10" borderId="3" xfId="0" applyFont="1" applyFill="1" applyBorder="1" applyAlignment="1">
      <alignment vertical="center"/>
    </xf>
    <xf numFmtId="0" fontId="22" fillId="11" borderId="3" xfId="0" applyFont="1" applyFill="1" applyBorder="1" applyAlignment="1">
      <alignment vertical="top"/>
    </xf>
    <xf numFmtId="0" fontId="22" fillId="8" borderId="28" xfId="0" applyFont="1" applyFill="1" applyBorder="1" applyAlignment="1">
      <alignment vertical="top"/>
    </xf>
    <xf numFmtId="0" fontId="22" fillId="8" borderId="0" xfId="0" applyFont="1" applyFill="1" applyBorder="1" applyAlignment="1">
      <alignment vertical="top"/>
    </xf>
    <xf numFmtId="0" fontId="22" fillId="8" borderId="29" xfId="0" applyFont="1" applyFill="1" applyBorder="1" applyAlignment="1">
      <alignment vertical="top"/>
    </xf>
    <xf numFmtId="164" fontId="19" fillId="4" borderId="5" xfId="8" applyFont="1" applyFill="1" applyBorder="1" applyAlignment="1" applyProtection="1">
      <alignment horizontal="left" vertical="center"/>
      <protection hidden="1"/>
    </xf>
    <xf numFmtId="0" fontId="38" fillId="0" borderId="5" xfId="0" applyFont="1" applyBorder="1" applyAlignment="1">
      <alignment vertical="center"/>
    </xf>
    <xf numFmtId="0" fontId="0" fillId="0" borderId="2" xfId="0" applyBorder="1" applyAlignment="1">
      <alignment vertical="center"/>
    </xf>
    <xf numFmtId="0" fontId="0" fillId="0" borderId="3" xfId="0" applyBorder="1" applyAlignment="1">
      <alignment vertical="center"/>
    </xf>
    <xf numFmtId="0" fontId="40" fillId="5" borderId="21" xfId="0" applyFont="1" applyFill="1" applyBorder="1" applyAlignment="1">
      <alignment horizontal="center" vertical="center"/>
    </xf>
    <xf numFmtId="0" fontId="0" fillId="0" borderId="23" xfId="0" applyBorder="1" applyAlignment="1">
      <alignment vertical="center"/>
    </xf>
    <xf numFmtId="0" fontId="0" fillId="0" borderId="22" xfId="0" applyBorder="1" applyAlignment="1">
      <alignment vertical="center"/>
    </xf>
    <xf numFmtId="0" fontId="0" fillId="0" borderId="24" xfId="0" applyBorder="1" applyAlignment="1">
      <alignment vertical="top" wrapText="1"/>
    </xf>
    <xf numFmtId="0" fontId="0" fillId="0" borderId="0" xfId="0" applyAlignment="1">
      <alignment vertical="top" wrapText="1"/>
    </xf>
    <xf numFmtId="0" fontId="0" fillId="0" borderId="25" xfId="0" applyBorder="1" applyAlignment="1">
      <alignment vertical="top" wrapText="1"/>
    </xf>
  </cellXfs>
  <cellStyles count="12">
    <cellStyle name="Cover" xfId="1"/>
    <cellStyle name="Hyperlink" xfId="2" builtinId="8"/>
    <cellStyle name="Normal" xfId="0" builtinId="0"/>
    <cellStyle name="Normal 10 2" xfId="10"/>
    <cellStyle name="Normal 10 2 2 5" xfId="11"/>
    <cellStyle name="Normal 2" xfId="3"/>
    <cellStyle name="Normal 2 2" xfId="4"/>
    <cellStyle name="Normal 3" xfId="5"/>
    <cellStyle name="Normal 4" xfId="6"/>
    <cellStyle name="Normal_Oilques" xfId="7"/>
    <cellStyle name="NumberCellStyle" xfId="8"/>
    <cellStyle name="Year" xfId="9"/>
  </cellStyles>
  <dxfs count="22">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s>
  <tableStyles count="0" defaultTableStyle="TableStyleMedium2" defaultPivotStyle="PivotStyleLight16"/>
  <colors>
    <mruColors>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2.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133350</xdr:colOff>
          <xdr:row>26</xdr:row>
          <xdr:rowOff>142875</xdr:rowOff>
        </xdr:from>
        <xdr:to>
          <xdr:col>1</xdr:col>
          <xdr:colOff>1924050</xdr:colOff>
          <xdr:row>28</xdr:row>
          <xdr:rowOff>133350</xdr:rowOff>
        </xdr:to>
        <xdr:sp macro="" textlink="">
          <xdr:nvSpPr>
            <xdr:cNvPr id="3172" name="START" hidden="1">
              <a:extLst>
                <a:ext uri="{63B3BB69-23CF-44E3-9099-C40C66FF867C}">
                  <a14:compatExt spid="_x0000_s3172"/>
                </a:ext>
                <a:ext uri="{FF2B5EF4-FFF2-40B4-BE49-F238E27FC236}">
                  <a16:creationId xmlns:a16="http://schemas.microsoft.com/office/drawing/2014/main" id="{00000000-0008-0000-0000-00006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TABLE 1 - Totals (specific units)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133350</xdr:colOff>
          <xdr:row>29</xdr:row>
          <xdr:rowOff>123825</xdr:rowOff>
        </xdr:from>
        <xdr:to>
          <xdr:col>1</xdr:col>
          <xdr:colOff>1924050</xdr:colOff>
          <xdr:row>31</xdr:row>
          <xdr:rowOff>114300</xdr:rowOff>
        </xdr:to>
        <xdr:sp macro="" textlink="">
          <xdr:nvSpPr>
            <xdr:cNvPr id="3174" name="Button 102" hidden="1">
              <a:extLst>
                <a:ext uri="{63B3BB69-23CF-44E3-9099-C40C66FF867C}">
                  <a14:compatExt spid="_x0000_s3174"/>
                </a:ext>
                <a:ext uri="{FF2B5EF4-FFF2-40B4-BE49-F238E27FC236}">
                  <a16:creationId xmlns:a16="http://schemas.microsoft.com/office/drawing/2014/main" id="{00000000-0008-0000-0000-000066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Calorific Values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26</xdr:row>
          <xdr:rowOff>142875</xdr:rowOff>
        </xdr:from>
        <xdr:to>
          <xdr:col>3</xdr:col>
          <xdr:colOff>1943100</xdr:colOff>
          <xdr:row>28</xdr:row>
          <xdr:rowOff>114300</xdr:rowOff>
        </xdr:to>
        <xdr:sp macro="" textlink="">
          <xdr:nvSpPr>
            <xdr:cNvPr id="3176" name="Button 104" hidden="1">
              <a:extLst>
                <a:ext uri="{63B3BB69-23CF-44E3-9099-C40C66FF867C}">
                  <a14:compatExt spid="_x0000_s3176"/>
                </a:ext>
                <a:ext uri="{FF2B5EF4-FFF2-40B4-BE49-F238E27FC236}">
                  <a16:creationId xmlns:a16="http://schemas.microsoft.com/office/drawing/2014/main" id="{00000000-0008-0000-0000-000068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Lighting and electrical appliances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24</xdr:row>
          <xdr:rowOff>9525</xdr:rowOff>
        </xdr:from>
        <xdr:to>
          <xdr:col>2</xdr:col>
          <xdr:colOff>1933575</xdr:colOff>
          <xdr:row>25</xdr:row>
          <xdr:rowOff>133350</xdr:rowOff>
        </xdr:to>
        <xdr:sp macro="" textlink="">
          <xdr:nvSpPr>
            <xdr:cNvPr id="3177" name="Button 105" hidden="1">
              <a:extLst>
                <a:ext uri="{63B3BB69-23CF-44E3-9099-C40C66FF867C}">
                  <a14:compatExt spid="_x0000_s3177"/>
                </a:ext>
                <a:ext uri="{FF2B5EF4-FFF2-40B4-BE49-F238E27FC236}">
                  <a16:creationId xmlns:a16="http://schemas.microsoft.com/office/drawing/2014/main" id="{00000000-0008-0000-0000-000069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Space heating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29</xdr:row>
          <xdr:rowOff>123825</xdr:rowOff>
        </xdr:from>
        <xdr:to>
          <xdr:col>3</xdr:col>
          <xdr:colOff>1943100</xdr:colOff>
          <xdr:row>31</xdr:row>
          <xdr:rowOff>95250</xdr:rowOff>
        </xdr:to>
        <xdr:sp macro="" textlink="">
          <xdr:nvSpPr>
            <xdr:cNvPr id="3179" name="Button 107" hidden="1">
              <a:extLst>
                <a:ext uri="{63B3BB69-23CF-44E3-9099-C40C66FF867C}">
                  <a14:compatExt spid="_x0000_s3179"/>
                </a:ext>
                <a:ext uri="{FF2B5EF4-FFF2-40B4-BE49-F238E27FC236}">
                  <a16:creationId xmlns:a16="http://schemas.microsoft.com/office/drawing/2014/main" id="{00000000-0008-0000-0000-00006B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Other end uses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32</xdr:row>
          <xdr:rowOff>123825</xdr:rowOff>
        </xdr:from>
        <xdr:to>
          <xdr:col>2</xdr:col>
          <xdr:colOff>1933575</xdr:colOff>
          <xdr:row>34</xdr:row>
          <xdr:rowOff>104775</xdr:rowOff>
        </xdr:to>
        <xdr:sp macro="" textlink="">
          <xdr:nvSpPr>
            <xdr:cNvPr id="3180" name="Button 108" hidden="1">
              <a:extLst>
                <a:ext uri="{63B3BB69-23CF-44E3-9099-C40C66FF867C}">
                  <a14:compatExt spid="_x0000_s3180"/>
                </a:ext>
                <a:ext uri="{FF2B5EF4-FFF2-40B4-BE49-F238E27FC236}">
                  <a16:creationId xmlns:a16="http://schemas.microsoft.com/office/drawing/2014/main" id="{00000000-0008-0000-0000-00006C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Remarks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133350</xdr:colOff>
          <xdr:row>24</xdr:row>
          <xdr:rowOff>9525</xdr:rowOff>
        </xdr:from>
        <xdr:to>
          <xdr:col>1</xdr:col>
          <xdr:colOff>1924050</xdr:colOff>
          <xdr:row>25</xdr:row>
          <xdr:rowOff>133350</xdr:rowOff>
        </xdr:to>
        <xdr:sp macro="" textlink="">
          <xdr:nvSpPr>
            <xdr:cNvPr id="3181" name="Button 109" hidden="1">
              <a:extLst>
                <a:ext uri="{63B3BB69-23CF-44E3-9099-C40C66FF867C}">
                  <a14:compatExt spid="_x0000_s3181"/>
                </a:ext>
                <a:ext uri="{FF2B5EF4-FFF2-40B4-BE49-F238E27FC236}">
                  <a16:creationId xmlns:a16="http://schemas.microsoft.com/office/drawing/2014/main" id="{00000000-0008-0000-0000-00006D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Definitions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24</xdr:row>
          <xdr:rowOff>9525</xdr:rowOff>
        </xdr:from>
        <xdr:to>
          <xdr:col>3</xdr:col>
          <xdr:colOff>1943100</xdr:colOff>
          <xdr:row>25</xdr:row>
          <xdr:rowOff>133350</xdr:rowOff>
        </xdr:to>
        <xdr:sp macro="" textlink="">
          <xdr:nvSpPr>
            <xdr:cNvPr id="3182" name="Button 110" hidden="1">
              <a:extLst>
                <a:ext uri="{63B3BB69-23CF-44E3-9099-C40C66FF867C}">
                  <a14:compatExt spid="_x0000_s3182"/>
                </a:ext>
                <a:ext uri="{FF2B5EF4-FFF2-40B4-BE49-F238E27FC236}">
                  <a16:creationId xmlns:a16="http://schemas.microsoft.com/office/drawing/2014/main" id="{00000000-0008-0000-0000-00006E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Cooking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26</xdr:row>
          <xdr:rowOff>142875</xdr:rowOff>
        </xdr:from>
        <xdr:to>
          <xdr:col>2</xdr:col>
          <xdr:colOff>1924050</xdr:colOff>
          <xdr:row>28</xdr:row>
          <xdr:rowOff>133350</xdr:rowOff>
        </xdr:to>
        <xdr:sp macro="" textlink="">
          <xdr:nvSpPr>
            <xdr:cNvPr id="3184" name="Button 112" hidden="1">
              <a:extLst>
                <a:ext uri="{63B3BB69-23CF-44E3-9099-C40C66FF867C}">
                  <a14:compatExt spid="_x0000_s3184"/>
                </a:ext>
                <a:ext uri="{FF2B5EF4-FFF2-40B4-BE49-F238E27FC236}">
                  <a16:creationId xmlns:a16="http://schemas.microsoft.com/office/drawing/2014/main" id="{00000000-0008-0000-0000-000070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Space cooling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29</xdr:row>
          <xdr:rowOff>123825</xdr:rowOff>
        </xdr:from>
        <xdr:to>
          <xdr:col>2</xdr:col>
          <xdr:colOff>1924050</xdr:colOff>
          <xdr:row>31</xdr:row>
          <xdr:rowOff>95250</xdr:rowOff>
        </xdr:to>
        <xdr:sp macro="" textlink="">
          <xdr:nvSpPr>
            <xdr:cNvPr id="3185" name="Button 113" hidden="1">
              <a:extLst>
                <a:ext uri="{63B3BB69-23CF-44E3-9099-C40C66FF867C}">
                  <a14:compatExt spid="_x0000_s3185"/>
                </a:ext>
                <a:ext uri="{FF2B5EF4-FFF2-40B4-BE49-F238E27FC236}">
                  <a16:creationId xmlns:a16="http://schemas.microsoft.com/office/drawing/2014/main" id="{00000000-0008-0000-0000-00007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Water heating</a:t>
              </a:r>
            </a:p>
          </xdr:txBody>
        </xdr:sp>
        <xdr:clientData fPrintsWithSheet="0"/>
      </xdr:twoCellAnchor>
    </mc:Choice>
    <mc:Fallback/>
  </mc:AlternateContent>
  <xdr:twoCellAnchor editAs="oneCell">
    <xdr:from>
      <xdr:col>1</xdr:col>
      <xdr:colOff>66675</xdr:colOff>
      <xdr:row>0</xdr:row>
      <xdr:rowOff>0</xdr:rowOff>
    </xdr:from>
    <xdr:to>
      <xdr:col>3</xdr:col>
      <xdr:colOff>1971675</xdr:colOff>
      <xdr:row>11</xdr:row>
      <xdr:rowOff>0</xdr:rowOff>
    </xdr:to>
    <xdr:pic>
      <xdr:nvPicPr>
        <xdr:cNvPr id="3293" name="Picture 17" descr="https://myintracomm.ec.europa.eu/dg/ESTAT/1-whoswho/org_chart/PublishingImages/logo%20RGB-POS.png">
          <a:extLst>
            <a:ext uri="{FF2B5EF4-FFF2-40B4-BE49-F238E27FC236}">
              <a16:creationId xmlns:a16="http://schemas.microsoft.com/office/drawing/2014/main" id="{00000000-0008-0000-0000-0000DD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04900" y="0"/>
          <a:ext cx="6000750" cy="1943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133350</xdr:colOff>
          <xdr:row>32</xdr:row>
          <xdr:rowOff>66675</xdr:rowOff>
        </xdr:from>
        <xdr:to>
          <xdr:col>1</xdr:col>
          <xdr:colOff>1924050</xdr:colOff>
          <xdr:row>34</xdr:row>
          <xdr:rowOff>133350</xdr:rowOff>
        </xdr:to>
        <xdr:sp macro="" textlink="">
          <xdr:nvSpPr>
            <xdr:cNvPr id="3192" name="START" hidden="1">
              <a:extLst>
                <a:ext uri="{63B3BB69-23CF-44E3-9099-C40C66FF867C}">
                  <a14:compatExt spid="_x0000_s3192"/>
                </a:ext>
                <a:ext uri="{FF2B5EF4-FFF2-40B4-BE49-F238E27FC236}">
                  <a16:creationId xmlns:a16="http://schemas.microsoft.com/office/drawing/2014/main" id="{00000000-0008-0000-0000-000078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TABLE 2 - Totals (energy units)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161925</xdr:colOff>
          <xdr:row>32</xdr:row>
          <xdr:rowOff>114300</xdr:rowOff>
        </xdr:from>
        <xdr:to>
          <xdr:col>3</xdr:col>
          <xdr:colOff>1962150</xdr:colOff>
          <xdr:row>34</xdr:row>
          <xdr:rowOff>95250</xdr:rowOff>
        </xdr:to>
        <xdr:sp macro="" textlink="">
          <xdr:nvSpPr>
            <xdr:cNvPr id="3197" name="Button 125" hidden="1">
              <a:extLst>
                <a:ext uri="{63B3BB69-23CF-44E3-9099-C40C66FF867C}">
                  <a14:compatExt spid="_x0000_s3197"/>
                </a:ext>
                <a:ext uri="{FF2B5EF4-FFF2-40B4-BE49-F238E27FC236}">
                  <a16:creationId xmlns:a16="http://schemas.microsoft.com/office/drawing/2014/main" id="{00000000-0008-0000-0000-00007D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100" b="1" i="1" u="none" strike="noStrike" baseline="0">
                  <a:solidFill>
                    <a:srgbClr val="000000"/>
                  </a:solidFill>
                  <a:latin typeface="Calibri"/>
                  <a:cs typeface="Calibri"/>
                </a:rPr>
                <a:t>Validation checks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8258175</xdr:colOff>
          <xdr:row>1</xdr:row>
          <xdr:rowOff>9525</xdr:rowOff>
        </xdr:from>
        <xdr:to>
          <xdr:col>2</xdr:col>
          <xdr:colOff>9906000</xdr:colOff>
          <xdr:row>1</xdr:row>
          <xdr:rowOff>485775</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1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28575</xdr:rowOff>
        </xdr:from>
        <xdr:to>
          <xdr:col>1</xdr:col>
          <xdr:colOff>1028700</xdr:colOff>
          <xdr:row>21</xdr:row>
          <xdr:rowOff>28575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200-000001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18</xdr:row>
          <xdr:rowOff>38100</xdr:rowOff>
        </xdr:from>
        <xdr:to>
          <xdr:col>1</xdr:col>
          <xdr:colOff>1028700</xdr:colOff>
          <xdr:row>21</xdr:row>
          <xdr:rowOff>19050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19</xdr:row>
          <xdr:rowOff>38100</xdr:rowOff>
        </xdr:from>
        <xdr:to>
          <xdr:col>1</xdr:col>
          <xdr:colOff>1028700</xdr:colOff>
          <xdr:row>22</xdr:row>
          <xdr:rowOff>19050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400-0000016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28575</xdr:rowOff>
        </xdr:from>
        <xdr:to>
          <xdr:col>1</xdr:col>
          <xdr:colOff>1028700</xdr:colOff>
          <xdr:row>21</xdr:row>
          <xdr:rowOff>19050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5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6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7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800-000004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6</xdr:row>
          <xdr:rowOff>9525</xdr:rowOff>
        </xdr:from>
        <xdr:to>
          <xdr:col>1</xdr:col>
          <xdr:colOff>1019175</xdr:colOff>
          <xdr:row>9</xdr:row>
          <xdr:rowOff>9525</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9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A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4991100</xdr:colOff>
          <xdr:row>1</xdr:row>
          <xdr:rowOff>180975</xdr:rowOff>
        </xdr:from>
        <xdr:to>
          <xdr:col>3</xdr:col>
          <xdr:colOff>161925</xdr:colOff>
          <xdr:row>3</xdr:row>
          <xdr:rowOff>9525</xdr:rowOff>
        </xdr:to>
        <xdr:sp macro="" textlink="">
          <xdr:nvSpPr>
            <xdr:cNvPr id="11268" name="Button 4" hidden="1">
              <a:extLst>
                <a:ext uri="{63B3BB69-23CF-44E3-9099-C40C66FF867C}">
                  <a14:compatExt spid="_x0000_s11268"/>
                </a:ext>
                <a:ext uri="{FF2B5EF4-FFF2-40B4-BE49-F238E27FC236}">
                  <a16:creationId xmlns:a16="http://schemas.microsoft.com/office/drawing/2014/main" id="{00000000-0008-0000-0B00-000004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0</xdr:row>
          <xdr:rowOff>19050</xdr:rowOff>
        </xdr:from>
        <xdr:to>
          <xdr:col>4</xdr:col>
          <xdr:colOff>171450</xdr:colOff>
          <xdr:row>2</xdr:row>
          <xdr:rowOff>0</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0D00-0000018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et1.cec.eu.int\commonservices\estat_edamis_prod\EDAMIS\PER\ENERGY\2017\NTGAS_A\ENERGY_NTGAS_A_FR_2017_0000_V0002.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net1.cec.eu.int\commonservices\Professionnel\AIE\Dev_Coal\DEV_COAL_2017\CoalQues_2017%20-%20Dev.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fetiecr\AppData\Local\Microsoft\Windows\Temporary%20Internet%20Files\Content.Outlook\8Z67Y9C3\Copy%20of%20EnergyEfficiencyIndicatorsTemplate.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Cover"/>
      <sheetName val="Menu"/>
      <sheetName val="TABLE1"/>
      <sheetName val="TABLE2a"/>
      <sheetName val="TABLE2b"/>
      <sheetName val="TABLE3"/>
      <sheetName val="TABLE4"/>
      <sheetName val="TABLE5a"/>
      <sheetName val="TABLE5b"/>
      <sheetName val="TABLE5c"/>
      <sheetName val="TABLE6"/>
      <sheetName val="Parameter_mapping"/>
      <sheetName val="Parameters"/>
      <sheetName val="Parameters_TABLE5-6"/>
      <sheetName val="1_Supply"/>
      <sheetName val="2a_Consumption"/>
      <sheetName val="2b_TFC_EnergyUse"/>
      <sheetName val="2b_TFC_Non-EnergyUse"/>
      <sheetName val="3i_Imports"/>
      <sheetName val="3ii_Imports_OfWhich LNG"/>
      <sheetName val="4i_Exports"/>
      <sheetName val="4ii_Exports_OfWhich LNG"/>
      <sheetName val="Remarks"/>
    </sheetNames>
    <sheetDataSet>
      <sheetData sheetId="0"/>
      <sheetData sheetId="1">
        <row r="2">
          <cell r="AA2" t="str">
            <v>English version</v>
          </cell>
          <cell r="AB2" t="str">
            <v>French version</v>
          </cell>
          <cell r="AC2" t="str">
            <v>Russian version</v>
          </cell>
        </row>
        <row r="3">
          <cell r="AA3" t="str">
            <v>ANNUAL QUESTIONNAIRE</v>
          </cell>
          <cell r="AB3" t="str">
            <v>QUESTIONNAIRE ANNUEL</v>
          </cell>
          <cell r="AC3" t="str">
            <v>ГОДОВОЙ ВОПРОСНИК</v>
          </cell>
        </row>
        <row r="4">
          <cell r="AA4" t="str">
            <v>NATURAL GAS</v>
          </cell>
          <cell r="AB4" t="str">
            <v>GAZ NATUREL</v>
          </cell>
          <cell r="AC4" t="str">
            <v>ПРИРОДНЫЙ ГАЗ</v>
          </cell>
        </row>
        <row r="5">
          <cell r="AA5" t="str">
            <v>IEA - Eurostat - UNECE</v>
          </cell>
          <cell r="AB5" t="str">
            <v>AIE - Eurostat - UNECE</v>
          </cell>
          <cell r="AC5" t="str">
            <v>IEA - Eurostat - UNECE</v>
          </cell>
        </row>
        <row r="7">
          <cell r="AA7" t="str">
            <v>EXPLANATORY NOTES</v>
          </cell>
          <cell r="AB7" t="str">
            <v>NOTES EXPLICATIVES</v>
          </cell>
          <cell r="AC7" t="str">
            <v>ПОЯСНИТЕЛЬНЫЕ ЗАМЕТКИ</v>
          </cell>
        </row>
        <row r="9">
          <cell r="AA9" t="str">
            <v xml:space="preserve">The objective of the electronic questionnaire is to facilitate data entry for administrations and at the same time to try to avoid errors, </v>
          </cell>
          <cell r="AB9" t="str">
            <v>Le but du questionnaire électronique est de faciliter l'entrée de données par les administrations et d'éviter en même temps des erreurs</v>
          </cell>
          <cell r="AC9" t="str">
            <v xml:space="preserve">Электронный вопросник позволяет упростить администраторам обработку данных, и одновременно снижает вероятность </v>
          </cell>
        </row>
        <row r="10">
          <cell r="AA10" t="str">
            <v>which would require a substantial time investment, both for the IEA and/or Eurostat and also the national administrations, to correct.</v>
          </cell>
          <cell r="AB10" t="str">
            <v>dont la correction demanderait beaucoup de temps aux administrations et à l'AIE ainsi qu'à Eurostat.</v>
          </cell>
          <cell r="AC10" t="str">
            <v xml:space="preserve">ошибок, на устранение которых уходит много времени, как со стороны МЭА, так и со стороны опрашиваемых организаций.   </v>
          </cell>
        </row>
        <row r="11">
          <cell r="AA11" t="str">
            <v>To facilitate data entry, three options are provided:</v>
          </cell>
          <cell r="AB11" t="str">
            <v>Pour faciliter l'entrée de données, trois options sont offertes :</v>
          </cell>
          <cell r="AC11" t="str">
            <v>Для облегчения ввода данных, у Вас есть выбор:</v>
          </cell>
        </row>
        <row r="12">
          <cell r="AA12" t="str">
            <v>- Data import using ASCII data transfers</v>
          </cell>
          <cell r="AB12" t="str">
            <v>- l'importation de données via un transfert de données ASCII</v>
          </cell>
          <cell r="AC12" t="str">
            <v>- Импорт данных из файла ASCII</v>
          </cell>
        </row>
        <row r="13">
          <cell r="AA13" t="str">
            <v>- Data entry through time series</v>
          </cell>
          <cell r="AB13" t="str">
            <v>- l'entrée de données dans les séries historiques</v>
          </cell>
          <cell r="AC13" t="str">
            <v>- Ввод данных через временные серии</v>
          </cell>
        </row>
        <row r="14">
          <cell r="AA14" t="str">
            <v>- Data entry through forms</v>
          </cell>
          <cell r="AB14" t="str">
            <v>- l'entrée de données dans les tableaux</v>
          </cell>
          <cell r="AC14" t="str">
            <v>- Ввод данных через формы (таблицы)</v>
          </cell>
        </row>
        <row r="15">
          <cell r="AA15" t="str">
            <v>The time series format enables the user to see the data for all the years for one given product/subject.</v>
          </cell>
          <cell r="AB15" t="str">
            <v xml:space="preserve">Les séries historiques permettent à l'utilisateur de voir les données d'un produit pour toutes les années. </v>
          </cell>
          <cell r="AC15" t="str">
            <v>Формат временных серий показывает пользователю данные за все годы по одному конкретному продукту/вопросу.</v>
          </cell>
        </row>
        <row r="16">
          <cell r="AA16" t="str">
            <v>The forms format enables the user to choose the year they want to enter data for on all the tables.</v>
          </cell>
          <cell r="AB16" t="str">
            <v>Les tableaux permettent à l'utilisateur de voir les données d'une année pour tous les produits.</v>
          </cell>
          <cell r="AC16" t="str">
            <v>Формат форм позволяет пользователю выбрать год, за который он желает ввести данные во все таблицы.</v>
          </cell>
        </row>
        <row r="18">
          <cell r="AA18" t="str">
            <v>The revision of historical data is allowed and encouraged. To assist the user in this process, the revised cells are highlighted in yellow.</v>
          </cell>
          <cell r="AB18" t="str">
            <v>Les données peuvent être révisées et nous encourageons l'utilisateur à le faire. Les révisions apparaissent sur fond jaune.</v>
          </cell>
          <cell r="AC18" t="str">
            <v xml:space="preserve">Уточнение данных за предыдущие годы возможно и приветствуется. Для упрощения данного процесса, изменённые ячейки </v>
          </cell>
        </row>
        <row r="19">
          <cell r="AA19" t="str">
            <v/>
          </cell>
          <cell r="AB19" t="str">
            <v/>
          </cell>
          <cell r="AC19" t="str">
            <v>обозначаются жёлтым цветом.</v>
          </cell>
        </row>
        <row r="20">
          <cell r="AA20" t="str">
            <v>Internal consistency checks can be run for one given year at a time. The error messages appear on a separate sheet at the end of the</v>
          </cell>
          <cell r="AB20" t="str">
            <v>Il est possible de vérifier la cohérence interne des données pour une année à la fois. Les messages d'erreur figurent sur une feuille</v>
          </cell>
          <cell r="AC20" t="str">
            <v>Проверки согласованности введённых данных возможны за каждый конкретный год. Сообщения об ошибках показываются на</v>
          </cell>
        </row>
        <row r="21">
          <cell r="AA21" t="str">
            <v>questionnaire. The user should consider error messages and try to correct the errors before returning the document to the IEA and/or Eurostat.</v>
          </cell>
          <cell r="AB21" t="str">
            <v>séparée à la fin du questionnaire. Nous demandons à l'utilisateur de bien vouloir prendre en compte ces messages et de corriger les</v>
          </cell>
          <cell r="AC21" t="str">
            <v>отдельной странице в конце вопросника. Прежде чем возвращать заполненный вопросник МЭА, пользователю рекомендуется</v>
          </cell>
        </row>
        <row r="22">
          <cell r="AA22" t="str">
            <v/>
          </cell>
          <cell r="AB22" t="str">
            <v>erreurs avant de renvoyer le questionnaire à l'AIE et/ou à Eurostat.</v>
          </cell>
          <cell r="AC22" t="str">
            <v>ознакомиться с сообщениями об ошибках и устранить данные ошибки.</v>
          </cell>
        </row>
        <row r="23">
          <cell r="AA23" t="str">
            <v>It is strongly recommended to read the user documentation for further setup instructions before working on the questionnaire.</v>
          </cell>
          <cell r="AB23" t="str">
            <v>Nous recommandons fortement de lire la documentation pour avoir d'autres informations avant de travailler sur le questionnaire.</v>
          </cell>
          <cell r="AC23" t="str">
            <v xml:space="preserve">Мы настойчиво рекомендуем пользователю ознакомиться с документацией для дальнейших инструкций по </v>
          </cell>
        </row>
        <row r="24">
          <cell r="AA24" t="str">
            <v/>
          </cell>
          <cell r="AB24" t="str">
            <v/>
          </cell>
          <cell r="AC24" t="str">
            <v xml:space="preserve">установке, прежде чем начинать работу над вопросником. </v>
          </cell>
        </row>
        <row r="25">
          <cell r="AA25" t="str">
            <v>Should you have any questions regarding the functions of this file or other logistics please do not hesitate to contact:</v>
          </cell>
          <cell r="AB25" t="str">
            <v>Pour d'autres informations, n'hésitez pas à contacter :</v>
          </cell>
          <cell r="AC25" t="str">
            <v>За дополнительной информацией, пожалуйста, обращайтесь:</v>
          </cell>
        </row>
        <row r="26">
          <cell r="AA26" t="str">
            <v xml:space="preserve">                                           IEA                                         Eurostat</v>
          </cell>
          <cell r="AB26" t="str">
            <v xml:space="preserve">                                           AIE                                         Eurostat</v>
          </cell>
          <cell r="AC26" t="str">
            <v xml:space="preserve">                                           IEA                                         Eurostat</v>
          </cell>
        </row>
        <row r="27">
          <cell r="AA27" t="str">
            <v xml:space="preserve">                                                                                         FETIE Cristian</v>
          </cell>
          <cell r="AB27" t="str">
            <v xml:space="preserve">                                                                                         FETIE Cristian</v>
          </cell>
          <cell r="AC27" t="str">
            <v xml:space="preserve">                                                                                         FETIE Cristian</v>
          </cell>
        </row>
        <row r="28">
          <cell r="AA28" t="str">
            <v xml:space="preserve">Email address:                     gasaq@iea.org                        estat-energy@ec.europa.eu </v>
          </cell>
          <cell r="AB28" t="str">
            <v xml:space="preserve">Email :                                 gasaq@iea.org                        estat-energy@ec.europa.eu </v>
          </cell>
          <cell r="AC28" t="str">
            <v xml:space="preserve">Эмайл :                             gasaq@iea.org                          estat-energy@ec.europa.eu </v>
          </cell>
        </row>
        <row r="29">
          <cell r="AA29" t="str">
            <v>Telephone:                           33 1 40 57 65 92</v>
          </cell>
          <cell r="AB29" t="str">
            <v>Téléphone :                          33 1 40 57 65 92</v>
          </cell>
          <cell r="AC29" t="str">
            <v xml:space="preserve">Телефон :                          33 1 40 57 65 92 </v>
          </cell>
        </row>
        <row r="32">
          <cell r="AA32" t="str">
            <v>Countries reporting to Eurostat should transmit the completed questionnaire via the Single Entry Point (SEP) following</v>
          </cell>
          <cell r="AB32" t="str">
            <v>Les Pays déclarants à Eurostat sont invités à transmettre le questionnaire complété par l'intermédiaire du Point d'Entrée Unique en suivant</v>
          </cell>
          <cell r="AC32" t="str">
            <v>Страны-члены Евросоюза упрашиваются направлять копию заполненного вопросника в Евростат с помощью</v>
          </cell>
        </row>
        <row r="33">
          <cell r="AA33" t="str">
            <v>the implementing procedures of eDAMIS (electronic Data files Administration and Management Information System).</v>
          </cell>
          <cell r="AB33" t="str">
            <v>les procédures de mise en œuvre du système eDAMIS (electronic Data files Administration and Management Information System).</v>
          </cell>
          <cell r="AC33" t="str">
            <v>Единой Точки Входа следуя процедурам системы eDAMIS (электронной системы администрации и управления файлами</v>
          </cell>
        </row>
        <row r="34">
          <cell r="AA34" t="str">
            <v>https://webgate.ec.europa.eu/edamis</v>
          </cell>
          <cell r="AB34" t="str">
            <v>https://webgate.ec.europa.eu/edamis</v>
          </cell>
          <cell r="AC34" t="str">
            <v xml:space="preserve">данных). </v>
          </cell>
        </row>
        <row r="38">
          <cell r="AA38" t="str">
            <v>Data entry menu:</v>
          </cell>
          <cell r="AB38" t="str">
            <v>Menu d'entrée de données :</v>
          </cell>
          <cell r="AC38" t="str">
            <v>Меню ввода данных:</v>
          </cell>
        </row>
        <row r="43">
          <cell r="F43" t="str">
            <v>France</v>
          </cell>
          <cell r="AA43" t="str">
            <v>Please choose your country:</v>
          </cell>
          <cell r="AB43" t="str">
            <v>Veuillez choisir votre pays :</v>
          </cell>
          <cell r="AC43" t="str">
            <v>Выберите свою страну:</v>
          </cell>
        </row>
        <row r="112">
          <cell r="D112">
            <v>2021</v>
          </cell>
          <cell r="K112" t="str">
            <v>Australie</v>
          </cell>
          <cell r="L112" t="str">
            <v>AUSTRALI</v>
          </cell>
          <cell r="M112" t="str">
            <v>AU</v>
          </cell>
          <cell r="P112" t="str">
            <v>Australia</v>
          </cell>
          <cell r="Q112" t="str">
            <v>Australie</v>
          </cell>
          <cell r="R112" t="str">
            <v>Australia</v>
          </cell>
        </row>
        <row r="113">
          <cell r="D113">
            <v>2020</v>
          </cell>
          <cell r="G113" t="str">
            <v>France</v>
          </cell>
          <cell r="K113" t="str">
            <v>Autriche</v>
          </cell>
          <cell r="L113" t="str">
            <v>AUSTRIA</v>
          </cell>
          <cell r="M113" t="str">
            <v>AT</v>
          </cell>
          <cell r="P113" t="str">
            <v>Austria</v>
          </cell>
          <cell r="Q113" t="str">
            <v>Autriche</v>
          </cell>
          <cell r="R113" t="str">
            <v>Austria</v>
          </cell>
        </row>
        <row r="114">
          <cell r="D114">
            <v>2019</v>
          </cell>
          <cell r="K114" t="str">
            <v>Belgique</v>
          </cell>
          <cell r="L114" t="str">
            <v>BELGIUM</v>
          </cell>
          <cell r="M114" t="str">
            <v>BE</v>
          </cell>
          <cell r="P114" t="str">
            <v>Belgium</v>
          </cell>
          <cell r="Q114" t="str">
            <v>Belgique</v>
          </cell>
          <cell r="R114" t="str">
            <v>Belgium</v>
          </cell>
        </row>
        <row r="115">
          <cell r="D115">
            <v>2018</v>
          </cell>
          <cell r="K115" t="str">
            <v>Canada</v>
          </cell>
          <cell r="L115" t="str">
            <v>CANADA</v>
          </cell>
          <cell r="M115" t="str">
            <v>CA</v>
          </cell>
          <cell r="P115" t="str">
            <v>Canada</v>
          </cell>
          <cell r="Q115" t="str">
            <v>Canada</v>
          </cell>
          <cell r="R115" t="str">
            <v>Canada</v>
          </cell>
        </row>
        <row r="116">
          <cell r="D116">
            <v>2017</v>
          </cell>
          <cell r="K116" t="str">
            <v>Chili</v>
          </cell>
          <cell r="L116" t="str">
            <v>CHILE</v>
          </cell>
          <cell r="M116" t="str">
            <v>CL</v>
          </cell>
          <cell r="P116" t="str">
            <v>Chile</v>
          </cell>
          <cell r="Q116" t="str">
            <v>Chili</v>
          </cell>
          <cell r="R116" t="str">
            <v>Chile</v>
          </cell>
        </row>
        <row r="117">
          <cell r="D117">
            <v>2016</v>
          </cell>
          <cell r="G117">
            <v>0</v>
          </cell>
          <cell r="K117" t="str">
            <v>République tchèque</v>
          </cell>
          <cell r="L117" t="str">
            <v>CZECH</v>
          </cell>
          <cell r="M117" t="str">
            <v>CZ</v>
          </cell>
          <cell r="P117" t="str">
            <v>Czech Republic</v>
          </cell>
          <cell r="Q117" t="str">
            <v>République tchèque</v>
          </cell>
          <cell r="R117" t="str">
            <v>Czech Republic</v>
          </cell>
        </row>
        <row r="118">
          <cell r="D118">
            <v>2015</v>
          </cell>
          <cell r="K118" t="str">
            <v>Danemark</v>
          </cell>
          <cell r="L118" t="str">
            <v>DENMARK</v>
          </cell>
          <cell r="M118" t="str">
            <v>DK</v>
          </cell>
          <cell r="P118" t="str">
            <v>Denmark</v>
          </cell>
          <cell r="Q118" t="str">
            <v>Danemark</v>
          </cell>
          <cell r="R118" t="str">
            <v>Denmark</v>
          </cell>
        </row>
        <row r="119">
          <cell r="D119">
            <v>2014</v>
          </cell>
          <cell r="G119">
            <v>2</v>
          </cell>
          <cell r="K119" t="str">
            <v>Estonie</v>
          </cell>
          <cell r="L119" t="str">
            <v>ESTONIA</v>
          </cell>
          <cell r="M119" t="str">
            <v>EE</v>
          </cell>
          <cell r="P119" t="str">
            <v>Estonia</v>
          </cell>
          <cell r="Q119" t="str">
            <v>Estonie</v>
          </cell>
          <cell r="R119" t="str">
            <v xml:space="preserve">Эстония </v>
          </cell>
        </row>
        <row r="120">
          <cell r="D120">
            <v>2013</v>
          </cell>
          <cell r="K120" t="str">
            <v>Finlande</v>
          </cell>
          <cell r="L120" t="str">
            <v>FINLAND</v>
          </cell>
          <cell r="M120" t="str">
            <v>FI</v>
          </cell>
          <cell r="P120" t="str">
            <v>Finland</v>
          </cell>
          <cell r="Q120" t="str">
            <v>Finlande</v>
          </cell>
          <cell r="R120" t="str">
            <v>Finland</v>
          </cell>
        </row>
        <row r="121">
          <cell r="D121">
            <v>2012</v>
          </cell>
          <cell r="K121" t="str">
            <v>France</v>
          </cell>
          <cell r="L121" t="str">
            <v>FRANCE</v>
          </cell>
          <cell r="M121" t="str">
            <v>FR</v>
          </cell>
          <cell r="P121" t="str">
            <v>France</v>
          </cell>
          <cell r="Q121" t="str">
            <v>France</v>
          </cell>
          <cell r="R121" t="str">
            <v>France</v>
          </cell>
        </row>
        <row r="122">
          <cell r="D122">
            <v>2011</v>
          </cell>
          <cell r="G122">
            <v>10</v>
          </cell>
          <cell r="K122" t="str">
            <v>Allemagne</v>
          </cell>
          <cell r="L122" t="str">
            <v>GERMANY</v>
          </cell>
          <cell r="M122" t="str">
            <v>DE</v>
          </cell>
          <cell r="P122" t="str">
            <v>Germany</v>
          </cell>
          <cell r="Q122" t="str">
            <v>Allemagne</v>
          </cell>
          <cell r="R122" t="str">
            <v>Germany</v>
          </cell>
        </row>
        <row r="123">
          <cell r="D123">
            <v>2010</v>
          </cell>
          <cell r="K123" t="str">
            <v>Grèce</v>
          </cell>
          <cell r="L123" t="str">
            <v>GREECE</v>
          </cell>
          <cell r="M123" t="str">
            <v>GR</v>
          </cell>
          <cell r="P123" t="str">
            <v>Greece</v>
          </cell>
          <cell r="Q123" t="str">
            <v>Grèce</v>
          </cell>
          <cell r="R123" t="str">
            <v>Greece</v>
          </cell>
        </row>
        <row r="124">
          <cell r="D124">
            <v>2009</v>
          </cell>
          <cell r="K124" t="str">
            <v>Hongrie</v>
          </cell>
          <cell r="L124" t="str">
            <v>HUNGARY</v>
          </cell>
          <cell r="M124" t="str">
            <v>HU</v>
          </cell>
          <cell r="P124" t="str">
            <v>Hungary</v>
          </cell>
          <cell r="Q124" t="str">
            <v>Hongrie</v>
          </cell>
          <cell r="R124" t="str">
            <v>Hungary</v>
          </cell>
        </row>
        <row r="125">
          <cell r="D125">
            <v>2008</v>
          </cell>
          <cell r="K125" t="str">
            <v>Islande</v>
          </cell>
          <cell r="L125" t="str">
            <v>ICELAND</v>
          </cell>
          <cell r="M125" t="str">
            <v>IS</v>
          </cell>
          <cell r="P125" t="str">
            <v>Iceland</v>
          </cell>
          <cell r="Q125" t="str">
            <v>Islande</v>
          </cell>
          <cell r="R125" t="str">
            <v>Iceland</v>
          </cell>
        </row>
        <row r="126">
          <cell r="D126">
            <v>2007</v>
          </cell>
          <cell r="K126" t="str">
            <v>Irlande</v>
          </cell>
          <cell r="L126" t="str">
            <v>IRELAND</v>
          </cell>
          <cell r="M126" t="str">
            <v>IE</v>
          </cell>
          <cell r="P126" t="str">
            <v>Ireland</v>
          </cell>
          <cell r="Q126" t="str">
            <v>Irlande</v>
          </cell>
          <cell r="R126" t="str">
            <v>Ireland</v>
          </cell>
        </row>
        <row r="127">
          <cell r="D127">
            <v>2006</v>
          </cell>
          <cell r="G127">
            <v>2018</v>
          </cell>
          <cell r="K127" t="str">
            <v>Israël</v>
          </cell>
          <cell r="L127" t="str">
            <v>ISRAEL</v>
          </cell>
          <cell r="M127" t="str">
            <v>IL</v>
          </cell>
          <cell r="P127" t="str">
            <v>Israel</v>
          </cell>
          <cell r="Q127" t="str">
            <v>Israël</v>
          </cell>
          <cell r="R127" t="str">
            <v>Израиль</v>
          </cell>
        </row>
        <row r="128">
          <cell r="D128">
            <v>2005</v>
          </cell>
          <cell r="G128">
            <v>4</v>
          </cell>
          <cell r="K128" t="str">
            <v>Italie</v>
          </cell>
          <cell r="L128" t="str">
            <v>ITALY</v>
          </cell>
          <cell r="M128" t="str">
            <v>IT</v>
          </cell>
          <cell r="P128" t="str">
            <v>Italy</v>
          </cell>
          <cell r="Q128" t="str">
            <v>Italie</v>
          </cell>
          <cell r="R128" t="str">
            <v>Italy</v>
          </cell>
        </row>
        <row r="129">
          <cell r="D129">
            <v>2004</v>
          </cell>
          <cell r="G129" t="b">
            <v>0</v>
          </cell>
          <cell r="K129" t="str">
            <v>Japon</v>
          </cell>
          <cell r="L129" t="str">
            <v>JAPAN</v>
          </cell>
          <cell r="M129" t="str">
            <v>JP</v>
          </cell>
          <cell r="P129" t="str">
            <v>Japan</v>
          </cell>
          <cell r="Q129" t="str">
            <v>Japon</v>
          </cell>
          <cell r="R129" t="str">
            <v>Japan</v>
          </cell>
        </row>
        <row r="130">
          <cell r="D130">
            <v>2003</v>
          </cell>
          <cell r="K130" t="str">
            <v>Corée</v>
          </cell>
          <cell r="L130" t="str">
            <v>KOREA</v>
          </cell>
          <cell r="M130" t="str">
            <v>KR</v>
          </cell>
          <cell r="P130" t="str">
            <v>Korea</v>
          </cell>
          <cell r="Q130" t="str">
            <v>Corée</v>
          </cell>
          <cell r="R130" t="str">
            <v>Korea</v>
          </cell>
        </row>
        <row r="131">
          <cell r="D131">
            <v>2002</v>
          </cell>
          <cell r="K131" t="str">
            <v>Lettonie</v>
          </cell>
          <cell r="L131" t="str">
            <v>LATVIA</v>
          </cell>
          <cell r="M131" t="str">
            <v>LV</v>
          </cell>
          <cell r="P131" t="str">
            <v>Latvia</v>
          </cell>
          <cell r="Q131" t="str">
            <v>Lettonie</v>
          </cell>
          <cell r="R131" t="str">
            <v>Латвия</v>
          </cell>
        </row>
        <row r="132">
          <cell r="D132">
            <v>2001</v>
          </cell>
          <cell r="K132" t="str">
            <v>Luxembourg</v>
          </cell>
          <cell r="L132" t="str">
            <v>LUXEMBOU</v>
          </cell>
          <cell r="M132" t="str">
            <v>LU</v>
          </cell>
          <cell r="P132" t="str">
            <v>Luxembourg</v>
          </cell>
          <cell r="Q132" t="str">
            <v>Luxembourg</v>
          </cell>
          <cell r="R132" t="str">
            <v>Luxembourg</v>
          </cell>
        </row>
        <row r="133">
          <cell r="D133">
            <v>2000</v>
          </cell>
          <cell r="K133" t="str">
            <v>Mexique</v>
          </cell>
          <cell r="L133" t="str">
            <v>MEXICO</v>
          </cell>
          <cell r="M133" t="str">
            <v>MX</v>
          </cell>
          <cell r="P133" t="str">
            <v>Mexico</v>
          </cell>
          <cell r="Q133" t="str">
            <v>Mexique</v>
          </cell>
          <cell r="R133" t="str">
            <v>Mexico</v>
          </cell>
        </row>
        <row r="134">
          <cell r="D134">
            <v>1999</v>
          </cell>
          <cell r="G134">
            <v>2018</v>
          </cell>
          <cell r="K134" t="str">
            <v>Pays-Bas</v>
          </cell>
          <cell r="L134" t="str">
            <v>NETHLAND</v>
          </cell>
          <cell r="M134" t="str">
            <v>NL</v>
          </cell>
          <cell r="P134" t="str">
            <v>Netherlands</v>
          </cell>
          <cell r="Q134" t="str">
            <v>Pays-Bas</v>
          </cell>
          <cell r="R134" t="str">
            <v>Netherlands</v>
          </cell>
        </row>
        <row r="135">
          <cell r="D135">
            <v>1998</v>
          </cell>
          <cell r="K135" t="str">
            <v>Nouvelle-Zélande</v>
          </cell>
          <cell r="L135" t="str">
            <v>NZ</v>
          </cell>
          <cell r="M135" t="str">
            <v>NZ</v>
          </cell>
          <cell r="P135" t="str">
            <v>New Zealand</v>
          </cell>
          <cell r="Q135" t="str">
            <v>Nouvelle-Zélande</v>
          </cell>
          <cell r="R135" t="str">
            <v>New Zealand</v>
          </cell>
        </row>
        <row r="136">
          <cell r="D136">
            <v>1997</v>
          </cell>
          <cell r="K136" t="str">
            <v>Norvège</v>
          </cell>
          <cell r="L136" t="str">
            <v>NORWAY</v>
          </cell>
          <cell r="M136" t="str">
            <v>NO</v>
          </cell>
          <cell r="P136" t="str">
            <v>Norway</v>
          </cell>
          <cell r="Q136" t="str">
            <v>Norvège</v>
          </cell>
          <cell r="R136" t="str">
            <v>Norway</v>
          </cell>
        </row>
        <row r="137">
          <cell r="D137">
            <v>1996</v>
          </cell>
          <cell r="K137" t="str">
            <v>Pologne</v>
          </cell>
          <cell r="L137" t="str">
            <v>POLAND</v>
          </cell>
          <cell r="M137" t="str">
            <v>PL</v>
          </cell>
          <cell r="P137" t="str">
            <v>Poland</v>
          </cell>
          <cell r="Q137" t="str">
            <v>Pologne</v>
          </cell>
          <cell r="R137" t="str">
            <v>Poland</v>
          </cell>
        </row>
        <row r="138">
          <cell r="D138">
            <v>1995</v>
          </cell>
          <cell r="K138" t="str">
            <v>Portugal</v>
          </cell>
          <cell r="L138" t="str">
            <v>PORTUGAL</v>
          </cell>
          <cell r="M138" t="str">
            <v>PT</v>
          </cell>
          <cell r="P138" t="str">
            <v>Portugal</v>
          </cell>
          <cell r="Q138" t="str">
            <v>Portugal</v>
          </cell>
          <cell r="R138" t="str">
            <v>Portugal</v>
          </cell>
        </row>
        <row r="139">
          <cell r="D139">
            <v>1994</v>
          </cell>
          <cell r="K139" t="str">
            <v>République slovaque</v>
          </cell>
          <cell r="L139" t="str">
            <v>SLOVAKIA</v>
          </cell>
          <cell r="M139" t="str">
            <v>SK</v>
          </cell>
          <cell r="P139" t="str">
            <v>Slovak Republic</v>
          </cell>
          <cell r="Q139" t="str">
            <v>République slovaque</v>
          </cell>
          <cell r="R139" t="str">
            <v>Slovak Republic</v>
          </cell>
        </row>
        <row r="140">
          <cell r="D140">
            <v>1993</v>
          </cell>
          <cell r="K140" t="str">
            <v>Slovénie</v>
          </cell>
          <cell r="L140" t="str">
            <v>SLOVENIA</v>
          </cell>
          <cell r="M140" t="str">
            <v>SI</v>
          </cell>
          <cell r="P140" t="str">
            <v>Slovenia</v>
          </cell>
          <cell r="Q140" t="str">
            <v>Slovénie</v>
          </cell>
          <cell r="R140" t="str">
            <v>Словения</v>
          </cell>
        </row>
        <row r="141">
          <cell r="D141">
            <v>1992</v>
          </cell>
          <cell r="K141" t="str">
            <v>Espagne</v>
          </cell>
          <cell r="L141" t="str">
            <v>SPAIN</v>
          </cell>
          <cell r="M141" t="str">
            <v>ES</v>
          </cell>
          <cell r="P141" t="str">
            <v>Spain</v>
          </cell>
          <cell r="Q141" t="str">
            <v>Espagne</v>
          </cell>
          <cell r="R141" t="str">
            <v>Spain</v>
          </cell>
        </row>
        <row r="142">
          <cell r="D142">
            <v>1991</v>
          </cell>
          <cell r="K142" t="str">
            <v>Suède</v>
          </cell>
          <cell r="L142" t="str">
            <v>SWEDEN</v>
          </cell>
          <cell r="M142" t="str">
            <v>SE</v>
          </cell>
          <cell r="P142" t="str">
            <v>Sweden</v>
          </cell>
          <cell r="Q142" t="str">
            <v>Suède</v>
          </cell>
          <cell r="R142" t="str">
            <v>Sweden</v>
          </cell>
        </row>
        <row r="143">
          <cell r="D143">
            <v>1990</v>
          </cell>
          <cell r="K143" t="str">
            <v>Suisse</v>
          </cell>
          <cell r="L143" t="str">
            <v>SWITLAND</v>
          </cell>
          <cell r="M143" t="str">
            <v>CH</v>
          </cell>
          <cell r="P143" t="str">
            <v>Switzerland</v>
          </cell>
          <cell r="Q143" t="str">
            <v>Suisse</v>
          </cell>
          <cell r="R143" t="str">
            <v>Switzerland</v>
          </cell>
        </row>
        <row r="144">
          <cell r="K144" t="str">
            <v>Turquie</v>
          </cell>
          <cell r="L144" t="str">
            <v>TURKEY</v>
          </cell>
          <cell r="M144" t="str">
            <v>TR</v>
          </cell>
          <cell r="P144" t="str">
            <v>Turkey</v>
          </cell>
          <cell r="Q144" t="str">
            <v>Turquie</v>
          </cell>
          <cell r="R144" t="str">
            <v>Turkey</v>
          </cell>
        </row>
        <row r="145">
          <cell r="K145" t="str">
            <v>Royaume-Uni</v>
          </cell>
          <cell r="L145" t="str">
            <v>UK</v>
          </cell>
          <cell r="M145" t="str">
            <v>GB</v>
          </cell>
          <cell r="P145" t="str">
            <v>United Kingdom</v>
          </cell>
          <cell r="Q145" t="str">
            <v>Royaume-Uni</v>
          </cell>
          <cell r="R145" t="str">
            <v>United Kingdom</v>
          </cell>
        </row>
        <row r="146">
          <cell r="K146" t="str">
            <v>Etats-Unis</v>
          </cell>
          <cell r="L146" t="str">
            <v>USA</v>
          </cell>
          <cell r="M146" t="str">
            <v>US</v>
          </cell>
          <cell r="P146" t="str">
            <v>United States</v>
          </cell>
          <cell r="Q146" t="str">
            <v>Etats-Unis</v>
          </cell>
          <cell r="R146" t="str">
            <v>United States</v>
          </cell>
        </row>
        <row r="147">
          <cell r="K147" t="str">
            <v>Albanie</v>
          </cell>
          <cell r="L147" t="str">
            <v>ALBANIA</v>
          </cell>
          <cell r="M147" t="str">
            <v>AL</v>
          </cell>
          <cell r="P147" t="str">
            <v>Albania</v>
          </cell>
          <cell r="Q147" t="str">
            <v>Albanie</v>
          </cell>
          <cell r="R147" t="str">
            <v>Albania</v>
          </cell>
        </row>
        <row r="148">
          <cell r="K148" t="str">
            <v>Arménie</v>
          </cell>
          <cell r="L148" t="str">
            <v>ARMENIA</v>
          </cell>
          <cell r="M148" t="str">
            <v>AM</v>
          </cell>
          <cell r="N148" t="str">
            <v>X</v>
          </cell>
          <cell r="P148" t="str">
            <v>Armenia</v>
          </cell>
          <cell r="Q148" t="str">
            <v>Arménie</v>
          </cell>
          <cell r="R148" t="str">
            <v>Армения</v>
          </cell>
        </row>
        <row r="149">
          <cell r="K149" t="str">
            <v>Azerbaïdjan</v>
          </cell>
          <cell r="L149" t="str">
            <v>AZERBAIJAN</v>
          </cell>
          <cell r="M149" t="str">
            <v>AZ</v>
          </cell>
          <cell r="N149" t="str">
            <v>X</v>
          </cell>
          <cell r="P149" t="str">
            <v>Azerbaijan</v>
          </cell>
          <cell r="Q149" t="str">
            <v>Azerbaïdjan</v>
          </cell>
          <cell r="R149" t="str">
            <v xml:space="preserve">Азербайджан    </v>
          </cell>
        </row>
        <row r="150">
          <cell r="K150" t="str">
            <v>Bélarus</v>
          </cell>
          <cell r="L150" t="str">
            <v>BELARUS</v>
          </cell>
          <cell r="M150" t="str">
            <v>BY</v>
          </cell>
          <cell r="N150" t="str">
            <v>X</v>
          </cell>
          <cell r="P150" t="str">
            <v>Belarus</v>
          </cell>
          <cell r="Q150" t="str">
            <v>Bélarus</v>
          </cell>
          <cell r="R150" t="str">
            <v xml:space="preserve">Беларусь   </v>
          </cell>
        </row>
        <row r="151">
          <cell r="K151" t="str">
            <v>Bosnie-Herzégovine</v>
          </cell>
          <cell r="L151" t="str">
            <v>BOSNIAHERZ</v>
          </cell>
          <cell r="M151" t="str">
            <v>BA</v>
          </cell>
          <cell r="P151" t="str">
            <v>Bosnia and Herzegovina</v>
          </cell>
          <cell r="Q151" t="str">
            <v>Bosnie-Herzégovine</v>
          </cell>
          <cell r="R151" t="str">
            <v>Босния и Герцеговина</v>
          </cell>
        </row>
        <row r="152">
          <cell r="K152" t="str">
            <v>Brésil</v>
          </cell>
          <cell r="L152" t="str">
            <v>BRAZIL</v>
          </cell>
          <cell r="M152" t="str">
            <v>BR</v>
          </cell>
          <cell r="P152" t="str">
            <v>Brazil</v>
          </cell>
          <cell r="Q152" t="str">
            <v>Brésil</v>
          </cell>
          <cell r="R152" t="str">
            <v>Бразилия</v>
          </cell>
        </row>
        <row r="153">
          <cell r="K153" t="str">
            <v>Bulgarie</v>
          </cell>
          <cell r="L153" t="str">
            <v>BULGARIA</v>
          </cell>
          <cell r="M153" t="str">
            <v>BG</v>
          </cell>
          <cell r="P153" t="str">
            <v>Bulgaria</v>
          </cell>
          <cell r="Q153" t="str">
            <v>Bulgarie</v>
          </cell>
          <cell r="R153" t="str">
            <v xml:space="preserve">Болгария             </v>
          </cell>
        </row>
        <row r="154">
          <cell r="K154" t="str">
            <v>Chine</v>
          </cell>
          <cell r="L154" t="str">
            <v>CHINA</v>
          </cell>
          <cell r="M154" t="str">
            <v>CN</v>
          </cell>
          <cell r="P154" t="str">
            <v>China</v>
          </cell>
          <cell r="Q154" t="str">
            <v>Chine</v>
          </cell>
          <cell r="R154" t="str">
            <v>Китай</v>
          </cell>
        </row>
        <row r="155">
          <cell r="K155" t="str">
            <v>Croatie</v>
          </cell>
          <cell r="L155" t="str">
            <v>CROATIA</v>
          </cell>
          <cell r="M155" t="str">
            <v>HR</v>
          </cell>
          <cell r="P155" t="str">
            <v>Croatia</v>
          </cell>
          <cell r="Q155" t="str">
            <v>Croatie</v>
          </cell>
          <cell r="R155" t="str">
            <v>Хорватия</v>
          </cell>
        </row>
        <row r="156">
          <cell r="K156" t="str">
            <v>Chypre</v>
          </cell>
          <cell r="L156" t="str">
            <v>CYPRUS</v>
          </cell>
          <cell r="M156" t="str">
            <v>CY</v>
          </cell>
          <cell r="P156" t="str">
            <v>Cyprus</v>
          </cell>
          <cell r="Q156" t="str">
            <v>Chypre</v>
          </cell>
          <cell r="R156" t="str">
            <v>Кипр</v>
          </cell>
        </row>
        <row r="157">
          <cell r="K157" t="str">
            <v>Ex-République yougoslave de Macédoine</v>
          </cell>
          <cell r="L157" t="str">
            <v>FYROM</v>
          </cell>
          <cell r="M157" t="str">
            <v>MK</v>
          </cell>
          <cell r="P157" t="str">
            <v>Former Yugoslav Republic of Macedonia</v>
          </cell>
          <cell r="Q157" t="str">
            <v>Ex-République yougoslave de Macédoine</v>
          </cell>
          <cell r="R157" t="str">
            <v>Бывшая Югославская Республика Македония</v>
          </cell>
        </row>
        <row r="158">
          <cell r="K158" t="str">
            <v>Géorgie</v>
          </cell>
          <cell r="L158" t="str">
            <v>GEORGIA</v>
          </cell>
          <cell r="M158" t="str">
            <v>GE</v>
          </cell>
          <cell r="N158" t="str">
            <v>X</v>
          </cell>
          <cell r="P158" t="str">
            <v>Georgia</v>
          </cell>
          <cell r="Q158" t="str">
            <v>Géorgie</v>
          </cell>
          <cell r="R158" t="str">
            <v>Грузия</v>
          </cell>
        </row>
        <row r="159">
          <cell r="K159" t="str">
            <v>Inde</v>
          </cell>
          <cell r="L159" t="str">
            <v>INDIA</v>
          </cell>
          <cell r="M159" t="str">
            <v>IN</v>
          </cell>
          <cell r="P159" t="str">
            <v>India</v>
          </cell>
          <cell r="Q159" t="str">
            <v>Inde</v>
          </cell>
          <cell r="R159" t="str">
            <v>Индия</v>
          </cell>
        </row>
        <row r="160">
          <cell r="K160" t="str">
            <v>Indonésie</v>
          </cell>
          <cell r="L160" t="str">
            <v>INDONESIA</v>
          </cell>
          <cell r="M160" t="str">
            <v>ID</v>
          </cell>
          <cell r="P160" t="str">
            <v>Indonesia</v>
          </cell>
          <cell r="Q160" t="str">
            <v>Indonésie</v>
          </cell>
          <cell r="R160" t="str">
            <v>Индонезия</v>
          </cell>
        </row>
        <row r="161">
          <cell r="K161" t="str">
            <v>Kazakhstan</v>
          </cell>
          <cell r="L161" t="str">
            <v>KAZAKHSTAN</v>
          </cell>
          <cell r="M161" t="str">
            <v>KZ</v>
          </cell>
          <cell r="N161" t="str">
            <v>X</v>
          </cell>
          <cell r="P161" t="str">
            <v>Kazakhstan</v>
          </cell>
          <cell r="Q161" t="str">
            <v>Kazakhstan</v>
          </cell>
          <cell r="R161" t="str">
            <v>Казахстан</v>
          </cell>
        </row>
        <row r="162">
          <cell r="K162" t="str">
            <v>Kosovo</v>
          </cell>
          <cell r="L162" t="str">
            <v>KOSOVO</v>
          </cell>
          <cell r="M162" t="str">
            <v>XK</v>
          </cell>
          <cell r="P162" t="str">
            <v>Kosovo</v>
          </cell>
          <cell r="Q162" t="str">
            <v>Kosovo</v>
          </cell>
          <cell r="R162" t="str">
            <v>Косово</v>
          </cell>
        </row>
        <row r="163">
          <cell r="K163" t="str">
            <v>Kirghizistan</v>
          </cell>
          <cell r="L163" t="str">
            <v>KYRGYZSTAN</v>
          </cell>
          <cell r="M163" t="str">
            <v>KG</v>
          </cell>
          <cell r="N163" t="str">
            <v>X</v>
          </cell>
          <cell r="P163" t="str">
            <v>Kyrgyzstan</v>
          </cell>
          <cell r="Q163" t="str">
            <v>Kirghizistan</v>
          </cell>
          <cell r="R163" t="str">
            <v>Кыргызстан</v>
          </cell>
        </row>
        <row r="164">
          <cell r="K164" t="str">
            <v>Liechtenstein</v>
          </cell>
          <cell r="L164" t="str">
            <v>LIECHTEN</v>
          </cell>
          <cell r="M164" t="str">
            <v>LI</v>
          </cell>
          <cell r="P164" t="str">
            <v>Liechtenstein</v>
          </cell>
          <cell r="Q164" t="str">
            <v>Liechtenstein</v>
          </cell>
          <cell r="R164" t="str">
            <v>Liechtenstein</v>
          </cell>
        </row>
        <row r="165">
          <cell r="K165" t="str">
            <v>Lituanie</v>
          </cell>
          <cell r="L165" t="str">
            <v>LITHUANIA</v>
          </cell>
          <cell r="M165" t="str">
            <v>LT</v>
          </cell>
          <cell r="P165" t="str">
            <v>Lithuania</v>
          </cell>
          <cell r="Q165" t="str">
            <v>Lituanie</v>
          </cell>
          <cell r="R165" t="str">
            <v>Литва</v>
          </cell>
        </row>
        <row r="166">
          <cell r="K166" t="str">
            <v>Malte</v>
          </cell>
          <cell r="L166" t="str">
            <v>MALTA</v>
          </cell>
          <cell r="M166" t="str">
            <v>MT</v>
          </cell>
          <cell r="P166" t="str">
            <v>Malta</v>
          </cell>
          <cell r="Q166" t="str">
            <v>Malte</v>
          </cell>
          <cell r="R166" t="str">
            <v>Мальта</v>
          </cell>
        </row>
        <row r="167">
          <cell r="K167" t="str">
            <v>Moldavie</v>
          </cell>
          <cell r="L167" t="str">
            <v>MOLDOVA</v>
          </cell>
          <cell r="M167" t="str">
            <v>MD</v>
          </cell>
          <cell r="N167" t="str">
            <v>X</v>
          </cell>
          <cell r="P167" t="str">
            <v>Moldova</v>
          </cell>
          <cell r="Q167" t="str">
            <v>Moldavie</v>
          </cell>
          <cell r="R167" t="str">
            <v>Молдова</v>
          </cell>
        </row>
        <row r="168">
          <cell r="K168" t="str">
            <v>Monténégro</v>
          </cell>
          <cell r="L168" t="str">
            <v>MONTENEGRO</v>
          </cell>
          <cell r="M168" t="str">
            <v>ME</v>
          </cell>
          <cell r="P168" t="str">
            <v>Montenegro</v>
          </cell>
          <cell r="Q168" t="str">
            <v>Monténégro</v>
          </cell>
          <cell r="R168" t="str">
            <v>Черногория</v>
          </cell>
        </row>
        <row r="169">
          <cell r="K169" t="str">
            <v>Maroc</v>
          </cell>
          <cell r="L169" t="str">
            <v>MOROCCO</v>
          </cell>
          <cell r="M169" t="str">
            <v>MA</v>
          </cell>
          <cell r="P169" t="str">
            <v>Morocco</v>
          </cell>
          <cell r="Q169" t="str">
            <v>Maroc</v>
          </cell>
          <cell r="R169" t="str">
            <v>Марокко</v>
          </cell>
        </row>
        <row r="170">
          <cell r="K170" t="str">
            <v>Roumanie</v>
          </cell>
          <cell r="L170" t="str">
            <v>ROMANIA</v>
          </cell>
          <cell r="M170" t="str">
            <v>RO</v>
          </cell>
          <cell r="P170" t="str">
            <v>Romania</v>
          </cell>
          <cell r="Q170" t="str">
            <v>Roumanie</v>
          </cell>
          <cell r="R170" t="str">
            <v xml:space="preserve">Румыния                </v>
          </cell>
        </row>
        <row r="171">
          <cell r="K171" t="str">
            <v>Fédération de Russie</v>
          </cell>
          <cell r="L171" t="str">
            <v>RUSSIA</v>
          </cell>
          <cell r="M171" t="str">
            <v>RU</v>
          </cell>
          <cell r="N171" t="str">
            <v>X</v>
          </cell>
          <cell r="P171" t="str">
            <v>Russian Federation</v>
          </cell>
          <cell r="Q171" t="str">
            <v>Fédération de Russie</v>
          </cell>
          <cell r="R171" t="str">
            <v>Российская Федерация</v>
          </cell>
        </row>
        <row r="172">
          <cell r="K172" t="str">
            <v>Serbie</v>
          </cell>
          <cell r="L172" t="str">
            <v>SERBIA</v>
          </cell>
          <cell r="M172" t="str">
            <v>RS</v>
          </cell>
          <cell r="P172" t="str">
            <v>Serbia</v>
          </cell>
          <cell r="Q172" t="str">
            <v>Serbie</v>
          </cell>
          <cell r="R172" t="str">
            <v>Сербия</v>
          </cell>
        </row>
        <row r="173">
          <cell r="K173" t="str">
            <v>Statisland</v>
          </cell>
          <cell r="L173" t="str">
            <v>STATISLAND</v>
          </cell>
          <cell r="M173" t="str">
            <v>Q1</v>
          </cell>
          <cell r="P173" t="str">
            <v>Statisland</v>
          </cell>
          <cell r="Q173" t="str">
            <v>Statisland</v>
          </cell>
          <cell r="R173" t="str">
            <v>Statisland</v>
          </cell>
        </row>
        <row r="174">
          <cell r="K174" t="str">
            <v>Tadjikistan</v>
          </cell>
          <cell r="L174" t="str">
            <v>TAJIKISTAN</v>
          </cell>
          <cell r="M174" t="str">
            <v>TJ</v>
          </cell>
          <cell r="N174" t="str">
            <v>X</v>
          </cell>
          <cell r="P174" t="str">
            <v>Tajikistan</v>
          </cell>
          <cell r="Q174" t="str">
            <v>Tadjikistan</v>
          </cell>
          <cell r="R174" t="str">
            <v>Таджикистан</v>
          </cell>
        </row>
        <row r="175">
          <cell r="K175" t="str">
            <v>Tunisie</v>
          </cell>
          <cell r="L175" t="str">
            <v>TUNISIA</v>
          </cell>
          <cell r="M175" t="str">
            <v>TN</v>
          </cell>
          <cell r="P175" t="str">
            <v>Tunisia</v>
          </cell>
          <cell r="Q175" t="str">
            <v>Tunisie</v>
          </cell>
          <cell r="R175" t="str">
            <v>Тунис</v>
          </cell>
        </row>
        <row r="176">
          <cell r="K176" t="str">
            <v>Turkménistan</v>
          </cell>
          <cell r="L176" t="str">
            <v>TURKMENIST</v>
          </cell>
          <cell r="M176" t="str">
            <v>TM</v>
          </cell>
          <cell r="N176" t="str">
            <v>X</v>
          </cell>
          <cell r="P176" t="str">
            <v>Turkmenistan</v>
          </cell>
          <cell r="Q176" t="str">
            <v>Turkménistan</v>
          </cell>
          <cell r="R176" t="str">
            <v>Туркменистан</v>
          </cell>
        </row>
        <row r="177">
          <cell r="K177" t="str">
            <v>Ukraine</v>
          </cell>
          <cell r="L177" t="str">
            <v>UKRAINE</v>
          </cell>
          <cell r="M177" t="str">
            <v>UA</v>
          </cell>
          <cell r="N177" t="str">
            <v>X</v>
          </cell>
          <cell r="P177" t="str">
            <v>Ukraine</v>
          </cell>
          <cell r="Q177" t="str">
            <v>Ukraine</v>
          </cell>
          <cell r="R177" t="str">
            <v>Украина</v>
          </cell>
        </row>
        <row r="178">
          <cell r="K178" t="str">
            <v>Ouzbékistan</v>
          </cell>
          <cell r="L178" t="str">
            <v>UZBEKISTAN</v>
          </cell>
          <cell r="M178" t="str">
            <v>UZ</v>
          </cell>
          <cell r="N178" t="str">
            <v>X</v>
          </cell>
          <cell r="P178" t="str">
            <v>Uzbekistan</v>
          </cell>
          <cell r="Q178" t="str">
            <v>Ouzbékistan</v>
          </cell>
          <cell r="R178" t="str">
            <v>Узбекистан</v>
          </cell>
        </row>
      </sheetData>
      <sheetData sheetId="2">
        <row r="2">
          <cell r="AG2" t="str">
            <v>English version</v>
          </cell>
          <cell r="AM2" t="str">
            <v>Other language version</v>
          </cell>
          <cell r="AS2" t="str">
            <v>Other language version</v>
          </cell>
        </row>
        <row r="3">
          <cell r="AG3" t="str">
            <v>Column 1</v>
          </cell>
          <cell r="AH3" t="str">
            <v>Column 2</v>
          </cell>
          <cell r="AI3" t="str">
            <v>Column 3</v>
          </cell>
          <cell r="AJ3" t="str">
            <v>Column 4</v>
          </cell>
          <cell r="AK3" t="str">
            <v>Column 5</v>
          </cell>
          <cell r="AM3" t="str">
            <v>Column 1</v>
          </cell>
          <cell r="AN3" t="str">
            <v>Column 2</v>
          </cell>
          <cell r="AO3" t="str">
            <v>Column 3</v>
          </cell>
          <cell r="AP3" t="str">
            <v>Column 4</v>
          </cell>
          <cell r="AQ3" t="str">
            <v>Column 5</v>
          </cell>
          <cell r="AS3" t="str">
            <v>Column 1</v>
          </cell>
          <cell r="AT3" t="str">
            <v>Column 2</v>
          </cell>
          <cell r="AU3" t="str">
            <v>Column 3</v>
          </cell>
          <cell r="AV3" t="str">
            <v>Column 4</v>
          </cell>
          <cell r="AW3" t="str">
            <v>Column 5</v>
          </cell>
        </row>
        <row r="4">
          <cell r="AG4" t="str">
            <v>DATA ENTRY MENU</v>
          </cell>
          <cell r="AM4" t="str">
            <v>MENU D'ENTREE DE DONNEES</v>
          </cell>
          <cell r="AS4" t="str">
            <v xml:space="preserve">Меню ввода данных </v>
          </cell>
        </row>
        <row r="5">
          <cell r="AG5" t="str">
            <v>Control the integrity and coherence of your entries:</v>
          </cell>
          <cell r="AI5" t="str">
            <v>Check data</v>
          </cell>
          <cell r="AM5" t="str">
            <v>Contrôlez l'intégrité et la cohérence des données saisies :</v>
          </cell>
          <cell r="AO5" t="str">
            <v>Vérification des données</v>
          </cell>
          <cell r="AS5" t="str">
            <v>Контролируйте целостность и согласованность вводимых</v>
          </cell>
          <cell r="AU5" t="str">
            <v xml:space="preserve">Проверка данных </v>
          </cell>
        </row>
        <row r="6">
          <cell r="AG6" t="str">
            <v>Run the "Check data" program.</v>
          </cell>
          <cell r="AM6" t="str">
            <v>Lancez le programme de vérification des données.</v>
          </cell>
          <cell r="AS6" t="str">
            <v>данных: Используйте программу проверки данных</v>
          </cell>
        </row>
        <row r="8">
          <cell r="AG8" t="str">
            <v>DATA ENTRY IN TIME SERIES</v>
          </cell>
          <cell r="AM8" t="str">
            <v>ENTREE DE DONNEES DANS LES SERIES</v>
          </cell>
          <cell r="AS8" t="str">
            <v>Меню ввода данных во временные ряды</v>
          </cell>
        </row>
        <row r="10">
          <cell r="AG10" t="str">
            <v>1. Supply</v>
          </cell>
          <cell r="AH10" t="str">
            <v>2a. Consumption</v>
          </cell>
          <cell r="AI10" t="str">
            <v>2b. TFC 
Energy Use</v>
          </cell>
          <cell r="AJ10" t="str">
            <v>2b. TFC 
Non-Energy Use</v>
          </cell>
          <cell r="AM10" t="str">
            <v>1. Approvisionnement</v>
          </cell>
          <cell r="AN10" t="str">
            <v>2a. Consommation</v>
          </cell>
          <cell r="AO10" t="str">
            <v>2b. CFT 
Util. énergétiques</v>
          </cell>
          <cell r="AP10" t="str">
            <v>2b. CFT 
Util. non énergé.</v>
          </cell>
          <cell r="AS10" t="str">
            <v>1. Поставки природного газа</v>
          </cell>
          <cell r="AT10" t="str">
            <v>2i. Потребление по секторам</v>
          </cell>
          <cell r="AU10" t="str">
            <v>2ii. Исп. газа для энергет. целей</v>
          </cell>
          <cell r="AV10" t="str">
            <v xml:space="preserve">2iii. Исп. газа для неэнергет. целей </v>
          </cell>
        </row>
        <row r="12">
          <cell r="AG12" t="str">
            <v>3i. Imports</v>
          </cell>
          <cell r="AH12" t="str">
            <v>3ii. Imports 
of which LNG</v>
          </cell>
          <cell r="AI12" t="str">
            <v>4i. Exports</v>
          </cell>
          <cell r="AJ12" t="str">
            <v>4ii. Exports 
of which LNG</v>
          </cell>
          <cell r="AM12" t="str">
            <v>3i. Importations</v>
          </cell>
          <cell r="AN12" t="str">
            <v>3ii. Importations 
de GNL</v>
          </cell>
          <cell r="AO12" t="str">
            <v>4i. Exportations</v>
          </cell>
          <cell r="AP12" t="str">
            <v>4ii. Exportations 
de GNL</v>
          </cell>
          <cell r="AS12" t="str">
            <v>3i. Импорт</v>
          </cell>
          <cell r="AT12" t="str">
            <v>3ii. Импорт СПГ</v>
          </cell>
          <cell r="AU12" t="str">
            <v>4i. Экспорт</v>
          </cell>
          <cell r="AV12" t="str">
            <v>4ii. Экспорт СПГ</v>
          </cell>
        </row>
        <row r="15">
          <cell r="AG15" t="str">
            <v>DATA ENTRY IN FORMS</v>
          </cell>
          <cell r="AM15" t="str">
            <v>ENTREE DE DONNEES DANS LES TABLEAUX</v>
          </cell>
          <cell r="AS15" t="str">
            <v>Меню ввода данных в таблицы</v>
          </cell>
        </row>
        <row r="17">
          <cell r="AG17" t="str">
            <v xml:space="preserve">Please select the year and click on the form : </v>
          </cell>
          <cell r="AM17" t="str">
            <v xml:space="preserve">Choisissez l'année puis sélectionnez le tableau : </v>
          </cell>
          <cell r="AS17" t="str">
            <v>Пожалуйста выберите год и таблицу:</v>
          </cell>
        </row>
        <row r="19">
          <cell r="AG19" t="str">
            <v>Table 1</v>
          </cell>
          <cell r="AH19" t="str">
            <v>Table 2a</v>
          </cell>
          <cell r="AI19" t="str">
            <v>Table 2b</v>
          </cell>
          <cell r="AJ19" t="str">
            <v>Table 3</v>
          </cell>
          <cell r="AM19" t="str">
            <v>Tableau 1</v>
          </cell>
          <cell r="AN19" t="str">
            <v>Tableau 2a</v>
          </cell>
          <cell r="AO19" t="str">
            <v>Tableau 2b</v>
          </cell>
          <cell r="AP19" t="str">
            <v>Tableau 3</v>
          </cell>
          <cell r="AS19" t="str">
            <v>Tаблица 1</v>
          </cell>
          <cell r="AT19" t="str">
            <v>Tаблица 2a</v>
          </cell>
          <cell r="AU19" t="str">
            <v>Tаблица 2b</v>
          </cell>
          <cell r="AV19" t="str">
            <v>Tаблица 3</v>
          </cell>
        </row>
        <row r="21">
          <cell r="AG21" t="str">
            <v>Table 4</v>
          </cell>
          <cell r="AH21" t="str">
            <v>Table 5a</v>
          </cell>
          <cell r="AI21" t="str">
            <v>Table 5b</v>
          </cell>
          <cell r="AJ21" t="str">
            <v>Table 5c</v>
          </cell>
          <cell r="AM21" t="str">
            <v>Tableau 4</v>
          </cell>
          <cell r="AN21" t="str">
            <v>Tableau 5a</v>
          </cell>
          <cell r="AO21" t="str">
            <v>Tableau 5b</v>
          </cell>
          <cell r="AP21" t="str">
            <v>Tableau 5c</v>
          </cell>
          <cell r="AS21" t="str">
            <v>Tаблица 4</v>
          </cell>
          <cell r="AT21" t="str">
            <v>Tаблица 5a</v>
          </cell>
          <cell r="AU21" t="str">
            <v>Tаблица 5b</v>
          </cell>
          <cell r="AV21" t="str">
            <v>Tаблица 5c</v>
          </cell>
        </row>
        <row r="23">
          <cell r="AG23" t="str">
            <v>Table 6</v>
          </cell>
          <cell r="AJ23" t="str">
            <v>Remarks</v>
          </cell>
          <cell r="AM23" t="str">
            <v>Tableau 6</v>
          </cell>
          <cell r="AP23" t="str">
            <v>Remarques</v>
          </cell>
          <cell r="AS23" t="str">
            <v>Tаблица 6</v>
          </cell>
          <cell r="AV23" t="str">
            <v>Замечания</v>
          </cell>
        </row>
        <row r="25">
          <cell r="AG25" t="str">
            <v>ASCII DATA TRANSFERS</v>
          </cell>
          <cell r="AM25" t="str">
            <v>TRANSFERTS DE DONNEES ASCII</v>
          </cell>
          <cell r="AS25" t="str">
            <v>Передача данных ASCII</v>
          </cell>
        </row>
        <row r="27">
          <cell r="AE27" t="str">
            <v>Menu</v>
          </cell>
          <cell r="AG27" t="str">
            <v>Import</v>
          </cell>
          <cell r="AH27" t="str">
            <v>Export</v>
          </cell>
          <cell r="AK27" t="str">
            <v>Menu</v>
          </cell>
          <cell r="AM27" t="str">
            <v>Import</v>
          </cell>
          <cell r="AN27" t="str">
            <v>Export</v>
          </cell>
          <cell r="AQ27" t="str">
            <v>Menu</v>
          </cell>
          <cell r="AS27" t="str">
            <v>Импорт</v>
          </cell>
          <cell r="AT27" t="str">
            <v>Экспорт</v>
          </cell>
          <cell r="AW27" t="str">
            <v>Меню</v>
          </cell>
        </row>
        <row r="28">
          <cell r="AE28" t="str">
            <v>Millions mètres cube</v>
          </cell>
          <cell r="AK28" t="str">
            <v>Million cubic metres</v>
          </cell>
          <cell r="AQ28" t="str">
            <v>Millions mètres cube</v>
          </cell>
          <cell r="AW28" t="str">
            <v>Миллионы кубических метров</v>
          </cell>
        </row>
        <row r="29">
          <cell r="AE29" t="str">
            <v>Terajoules</v>
          </cell>
          <cell r="AI29" t="str">
            <v>Tip : press Ctrl+M to come</v>
          </cell>
          <cell r="AK29" t="str">
            <v>Terajoules</v>
          </cell>
          <cell r="AO29" t="str">
            <v>Astuce : Appuyez sur Ctrl+M</v>
          </cell>
          <cell r="AQ29" t="str">
            <v>Terajoules</v>
          </cell>
          <cell r="AU29" t="str">
            <v xml:space="preserve">Подсказка: Нажмите Ctrl+M чтобы </v>
          </cell>
          <cell r="AW29" t="str">
            <v>Тераджоули</v>
          </cell>
        </row>
        <row r="30">
          <cell r="AE30" t="str">
            <v>Pouvoirs calorifiques supérieurs</v>
          </cell>
          <cell r="AI30" t="str">
            <v>back to this page from anywhere</v>
          </cell>
          <cell r="AK30" t="str">
            <v>Gross Calorific Values</v>
          </cell>
          <cell r="AO30" t="str">
            <v>pour revenir à ce menu à tout moment</v>
          </cell>
          <cell r="AQ30" t="str">
            <v>Pouvoirs calorifiques supérieurs</v>
          </cell>
          <cell r="AU30" t="str">
            <v>вернуться к этому меню в любой момент</v>
          </cell>
          <cell r="AW30" t="str">
            <v>Высшая теплотворная способность (ВТС)</v>
          </cell>
        </row>
      </sheetData>
      <sheetData sheetId="3">
        <row r="1">
          <cell r="AH1" t="str">
            <v>TABLE 1 - SUPPLY OF NATURAL GAS</v>
          </cell>
          <cell r="AI1" t="str">
            <v>APPROVISIONNEMENT EN GAZ NATUREL</v>
          </cell>
          <cell r="AJ1" t="str">
            <v>ПОСТАВКИ ПРИРОДНОГО ГАЗА</v>
          </cell>
        </row>
        <row r="6">
          <cell r="AH6" t="str">
            <v>Indigenous production</v>
          </cell>
          <cell r="AI6" t="str">
            <v>+ Production nationale</v>
          </cell>
          <cell r="AJ6" t="str">
            <v>Внутреннее производство (+)</v>
          </cell>
        </row>
        <row r="7">
          <cell r="AH7" t="str">
            <v>Associated gas</v>
          </cell>
          <cell r="AI7" t="str">
            <v xml:space="preserve">  Gaz associé</v>
          </cell>
          <cell r="AJ7" t="str">
            <v>в том числе Попутный газ</v>
          </cell>
        </row>
        <row r="8">
          <cell r="AH8" t="str">
            <v>Non-associated gas</v>
          </cell>
          <cell r="AI8" t="str">
            <v xml:space="preserve">   Gaz non-associé</v>
          </cell>
          <cell r="AJ8" t="str">
            <v>Непопутный газ</v>
          </cell>
        </row>
        <row r="9">
          <cell r="AH9" t="str">
            <v>Colliery gas</v>
          </cell>
          <cell r="AI9" t="str">
            <v xml:space="preserve">   Grisou</v>
          </cell>
          <cell r="AJ9" t="str">
            <v>Шахтный газ</v>
          </cell>
        </row>
        <row r="10">
          <cell r="AH10" t="str">
            <v>Receipts from other sources</v>
          </cell>
          <cell r="AI10" t="str">
            <v>+ Autres sources</v>
          </cell>
          <cell r="AJ10" t="str">
            <v>+ из других источников:</v>
          </cell>
        </row>
        <row r="11">
          <cell r="AH11" t="str">
            <v>Imports (Balance)</v>
          </cell>
          <cell r="AI11" t="str">
            <v>+ Importations</v>
          </cell>
          <cell r="AJ11" t="str">
            <v>+Импорт</v>
          </cell>
        </row>
        <row r="12">
          <cell r="AH12" t="str">
            <v>Exports (Balance)</v>
          </cell>
          <cell r="AI12" t="str">
            <v>- Exportations</v>
          </cell>
          <cell r="AJ12" t="str">
            <v>-Экспорт</v>
          </cell>
        </row>
        <row r="13">
          <cell r="AH13" t="str">
            <v>International marine bunkers</v>
          </cell>
          <cell r="AI13" t="str">
            <v>- Soutages maritimes internationaux</v>
          </cell>
          <cell r="AJ13" t="str">
            <v>- Международная морская бункеровка</v>
          </cell>
        </row>
        <row r="14">
          <cell r="AH14" t="str">
            <v>Stock changes (National territory)</v>
          </cell>
          <cell r="AI14" t="str">
            <v>+ Variations des stocks</v>
          </cell>
          <cell r="AJ14" t="str">
            <v>Изменения запасов (+/-)</v>
          </cell>
        </row>
        <row r="15">
          <cell r="AH15" t="str">
            <v>Inland consumption (Calculated)</v>
          </cell>
          <cell r="AI15" t="str">
            <v>= Consommation intérieure (calc)</v>
          </cell>
          <cell r="AJ15" t="str">
            <v>=Внутреннее потребление (расчетное)</v>
          </cell>
        </row>
        <row r="16">
          <cell r="AH16" t="str">
            <v>Statistical difference</v>
          </cell>
          <cell r="AI16" t="str">
            <v>- Ecart statistique</v>
          </cell>
          <cell r="AJ16" t="str">
            <v>Статистические расхождения (с.10 минус 12)</v>
          </cell>
        </row>
        <row r="17">
          <cell r="AH17" t="str">
            <v>Inland consumption (Observed)</v>
          </cell>
          <cell r="AI17" t="str">
            <v>= Consommation intérieure (obs)</v>
          </cell>
          <cell r="AJ17" t="str">
            <v>=Внутреннее потребление (наблюдаемое)</v>
          </cell>
        </row>
        <row r="19">
          <cell r="AH19" t="str">
            <v>Recoverable gas</v>
          </cell>
          <cell r="AI19" t="str">
            <v>Gaz récupérable</v>
          </cell>
          <cell r="AJ19" t="str">
            <v>Извлекаемый газ</v>
          </cell>
        </row>
        <row r="20">
          <cell r="AH20" t="str">
            <v>Opening stock level (National territory)</v>
          </cell>
          <cell r="AI20" t="str">
            <v>Niveau stocks en début de période (territoire national)</v>
          </cell>
          <cell r="AJ20" t="str">
            <v>Объем запасов в начале периода (национальная территория)</v>
          </cell>
        </row>
        <row r="21">
          <cell r="AH21" t="str">
            <v>Closing stock level (National territory)</v>
          </cell>
          <cell r="AI21" t="str">
            <v>Niveau stocks en fin de période (territoire national)</v>
          </cell>
          <cell r="AJ21" t="str">
            <v>Объем запасов в конце периода (национальная территория)</v>
          </cell>
        </row>
        <row r="22">
          <cell r="AH22" t="str">
            <v>Opening stock level (Held abroad)</v>
          </cell>
          <cell r="AI22" t="str">
            <v>Niveau stocks en début de période (détenu à l'étranger)</v>
          </cell>
          <cell r="AJ22" t="str">
            <v>Объем запасов в начале периода (удерживаемый за рубежом)</v>
          </cell>
        </row>
        <row r="23">
          <cell r="AH23" t="str">
            <v>Closing stock level (Held abroad)</v>
          </cell>
          <cell r="AI23" t="str">
            <v>Niveau stocks en fin de période (détenu à l'étranger)</v>
          </cell>
          <cell r="AJ23" t="str">
            <v>Объем запасов в конце периода (удерживаемый за рубежом)</v>
          </cell>
        </row>
        <row r="25">
          <cell r="AH25" t="str">
            <v>Memo:</v>
          </cell>
          <cell r="AI25" t="str">
            <v>Memo:</v>
          </cell>
          <cell r="AJ25" t="str">
            <v xml:space="preserve">  Примечание:</v>
          </cell>
        </row>
        <row r="26">
          <cell r="AH26" t="str">
            <v>Gas vented</v>
          </cell>
          <cell r="AI26" t="str">
            <v>Gaz rejetés</v>
          </cell>
          <cell r="AJ26" t="str">
            <v>Газ отброшенный в атмосферу</v>
          </cell>
        </row>
        <row r="27">
          <cell r="AH27" t="str">
            <v>Gas flared</v>
          </cell>
          <cell r="AI27" t="str">
            <v>Gaz brûlés à la torche</v>
          </cell>
          <cell r="AJ27" t="str">
            <v>Газ сожженный в факеле</v>
          </cell>
        </row>
        <row r="28">
          <cell r="AH28" t="str">
            <v>Memo: Cushion gas</v>
          </cell>
          <cell r="AI28" t="str">
            <v>Memo: Gaz coussin</v>
          </cell>
          <cell r="AJ28" t="str">
            <v xml:space="preserve"> Примечание: Буферный газ</v>
          </cell>
        </row>
        <row r="29">
          <cell r="AH29" t="str">
            <v>Cushion gas closing stock level</v>
          </cell>
          <cell r="AI29" t="str">
            <v>Niveau des stocks en fin de période</v>
          </cell>
          <cell r="AJ29" t="str">
            <v>Объем запасов на конец отчетного периода</v>
          </cell>
        </row>
        <row r="31">
          <cell r="AH31" t="str">
            <v>Memo: Receipts from other sources</v>
          </cell>
          <cell r="AI31" t="str">
            <v>Memo: Autres sources</v>
          </cell>
          <cell r="AJ31" t="str">
            <v>Примечание: Из других источников</v>
          </cell>
        </row>
        <row r="32">
          <cell r="AH32" t="str">
            <v>Oil</v>
          </cell>
          <cell r="AI32" t="str">
            <v>Pétrole</v>
          </cell>
          <cell r="AJ32" t="str">
            <v>нефти</v>
          </cell>
        </row>
        <row r="33">
          <cell r="AH33" t="str">
            <v>Coal</v>
          </cell>
          <cell r="AI33" t="str">
            <v>Charbon</v>
          </cell>
          <cell r="AJ33" t="str">
            <v>угля</v>
          </cell>
        </row>
        <row r="34">
          <cell r="AH34" t="str">
            <v>Renewables</v>
          </cell>
          <cell r="AI34" t="str">
            <v>Energies renouvelables</v>
          </cell>
          <cell r="AJ34" t="str">
            <v>возобновляемых источников</v>
          </cell>
        </row>
        <row r="35">
          <cell r="AH35" t="str">
            <v>Row 6: should correspond to total imports on table 3, row 164.</v>
          </cell>
          <cell r="AI35" t="str">
            <v>Ligne 6 : Doit correspondre aux importations totales du tableau 3, ligne 164.</v>
          </cell>
          <cell r="AJ35" t="str">
            <v>Строка 6 : Должна соответствовать общему объему Импорта в Таблице 3, строка 164.</v>
          </cell>
        </row>
        <row r="36">
          <cell r="AH36" t="str">
            <v>Row 7: should correspond to total exports on table 4, row 164.</v>
          </cell>
          <cell r="AI36" t="str">
            <v>Ligne 7 : Doit correspondre aux exportations totales du tableau 4, ligne 164.</v>
          </cell>
          <cell r="AJ36" t="str">
            <v xml:space="preserve">Строка 7 : Должна соответствовать общему объему Экспорта в Таблице 4, строка 164. </v>
          </cell>
        </row>
        <row r="37">
          <cell r="AH37" t="str">
            <v>Row 9: opening stock level minus closing stock level of stocks held on National territory (i.e. row 13 - row14)</v>
          </cell>
          <cell r="AI37" t="str">
            <v>Ligne 9 : Niveau des stocks en début de période moins niveau des stocks en fin de période.</v>
          </cell>
          <cell r="AJ37" t="str">
            <v>Строка 9 : Объем запасов на начало отчетного периода минус объем запасов на конец отчетного периода.</v>
          </cell>
        </row>
        <row r="38">
          <cell r="AH38" t="str">
            <v>Row 12: should correspond to cell 1A on table 2a.</v>
          </cell>
          <cell r="AI38" t="str">
            <v>Ligne 12 : Doit correspondre à la cellule 1A du tableau 2a.</v>
          </cell>
          <cell r="AJ38" t="str">
            <v>Строка 12 : Должна соответствовать клетке 1A Таблицы 2a.</v>
          </cell>
        </row>
        <row r="39">
          <cell r="AH39" t="str">
            <v>GCV = Gross calorific value</v>
          </cell>
        </row>
        <row r="40">
          <cell r="AH40" t="str">
            <v>NCV = Net calorifc value</v>
          </cell>
        </row>
        <row r="100">
          <cell r="E100" t="str">
            <v>Million m3 (at 15°C, 760 mm Hg)</v>
          </cell>
          <cell r="F100" t="str">
            <v>TJ
(Gross calor. value)</v>
          </cell>
          <cell r="G100" t="str">
            <v>Average GCV    (kJ/m3)</v>
          </cell>
          <cell r="H100" t="str">
            <v>Average NCV    (kJ/m3)</v>
          </cell>
        </row>
        <row r="101">
          <cell r="E101" t="str">
            <v>Millions de m3 (à 15°C, 760 mm Hg)</v>
          </cell>
          <cell r="F101" t="str">
            <v>TJ
(Pouvoir Calorifique Sup.)</v>
          </cell>
          <cell r="G101" t="str">
            <v>PCS moyen    (kJ/m3)</v>
          </cell>
          <cell r="H101" t="str">
            <v>PCI moyen    (kJ/m3)</v>
          </cell>
        </row>
        <row r="102">
          <cell r="E102" t="str">
            <v>Млн. м3 при 15°С и 760 мм рт. ст.</v>
          </cell>
          <cell r="F102" t="str">
            <v>ТДж (ВТС)</v>
          </cell>
          <cell r="G102" t="str">
            <v>Средняя ВТС
(кДж/м3)</v>
          </cell>
          <cell r="H102" t="str">
            <v>Средняя НТС   
(кДж/м3)</v>
          </cell>
        </row>
      </sheetData>
      <sheetData sheetId="4">
        <row r="1">
          <cell r="AE1" t="str">
            <v>TABLE 2a - CONSUMPTION BY SECTOR</v>
          </cell>
          <cell r="AF1" t="str">
            <v>CONSOMMATION INTERIEURE PAR SECTEUR</v>
          </cell>
          <cell r="AG1" t="str">
            <v>ВНУТРЕННЕЕ ПОТРЕБЛЕНИЕ ПО СЕКТОРАМ</v>
          </cell>
        </row>
        <row r="3">
          <cell r="AE3" t="str">
            <v xml:space="preserve">Unit: TJ (GCV)                                                                                                         </v>
          </cell>
          <cell r="AF3" t="str">
            <v>Unité: TJ (PCS)</v>
          </cell>
          <cell r="AG3" t="str">
            <v>Ед. измер.: ТДж (ВТС)</v>
          </cell>
        </row>
        <row r="4">
          <cell r="AE4" t="str">
            <v>Consumption</v>
          </cell>
          <cell r="AF4" t="str">
            <v>Consommation</v>
          </cell>
          <cell r="AG4" t="str">
            <v>Потребление</v>
          </cell>
        </row>
        <row r="6">
          <cell r="AE6" t="str">
            <v>Inland demand (Total consumption)</v>
          </cell>
          <cell r="AF6" t="str">
            <v>Consommation intérieure</v>
          </cell>
          <cell r="AG6" t="str">
            <v>Внутреннее потребление</v>
          </cell>
        </row>
        <row r="7">
          <cell r="AE7" t="str">
            <v>Transformation sector</v>
          </cell>
          <cell r="AF7" t="str">
            <v>Secteur Transformation - Total</v>
          </cell>
          <cell r="AG7" t="str">
            <v>СЕКТОР ПРЕОБРАЗОВАНИЯ - Всего</v>
          </cell>
        </row>
        <row r="8">
          <cell r="AE8" t="str">
            <v>Main activity producer electricity</v>
          </cell>
          <cell r="AF8" t="str">
            <v>Centrales électriques dont c’est l’activité principale</v>
          </cell>
          <cell r="AG8" t="str">
            <v>Электрост. произв. энергии (основной вид деятельности)</v>
          </cell>
        </row>
        <row r="9">
          <cell r="AE9" t="str">
            <v>Autoproducer electricity</v>
          </cell>
          <cell r="AF9" t="str">
            <v>Centrales autoproductrices d’électricité</v>
          </cell>
          <cell r="AG9" t="str">
            <v>Электрост. предпр., производ. энергию для собственных нужд</v>
          </cell>
        </row>
        <row r="10">
          <cell r="AE10" t="str">
            <v>Main activity producer CHP</v>
          </cell>
          <cell r="AF10" t="str">
            <v>Centrales de cogénération dont c’est l’activité principale</v>
          </cell>
          <cell r="AG10" t="str">
            <v>ТЭЦ произв. энергии (основной вид деятельности)</v>
          </cell>
        </row>
        <row r="11">
          <cell r="AE11" t="str">
            <v>Autoproducer CHP</v>
          </cell>
          <cell r="AF11" t="str">
            <v>Centrales autoproductrices de cogénération</v>
          </cell>
          <cell r="AG11" t="str">
            <v>ТЭЦ предпр., производ. энергию для собственных нужд</v>
          </cell>
        </row>
        <row r="12">
          <cell r="AE12" t="str">
            <v>Main activity producer heat</v>
          </cell>
          <cell r="AF12" t="str">
            <v>Centrales calogènes dont c’est l’activité principale</v>
          </cell>
          <cell r="AG12" t="str">
            <v>Теплоцентр. производителей энергии (основной вид деятельности)</v>
          </cell>
        </row>
        <row r="13">
          <cell r="AE13" t="str">
            <v>Autoproducer heat</v>
          </cell>
          <cell r="AF13" t="str">
            <v>Centrales autoproductrices calogènes</v>
          </cell>
          <cell r="AG13" t="str">
            <v>Теплоцентр. предпр., производ. энергию для собственных нужд</v>
          </cell>
        </row>
        <row r="14">
          <cell r="AE14" t="str">
            <v>Gas works (Transformation)</v>
          </cell>
          <cell r="AF14" t="str">
            <v>Usines à gaz</v>
          </cell>
          <cell r="AG14" t="str">
            <v>Газовые заводы</v>
          </cell>
        </row>
        <row r="15">
          <cell r="AE15" t="str">
            <v>Coke ovens (Transformation)</v>
          </cell>
          <cell r="AF15" t="str">
            <v>Cokeries</v>
          </cell>
          <cell r="AG15" t="str">
            <v>Коксовые печи</v>
          </cell>
        </row>
        <row r="16">
          <cell r="AE16" t="str">
            <v>Blast furnaces (Transformation)</v>
          </cell>
          <cell r="AF16" t="str">
            <v>Hauts fourneaux</v>
          </cell>
          <cell r="AG16" t="str">
            <v>Доменные печи</v>
          </cell>
        </row>
        <row r="17">
          <cell r="AE17" t="str">
            <v>Gas-to-liquids plants (Transformation)</v>
          </cell>
          <cell r="AF17" t="str">
            <v>Conversion en liquides</v>
          </cell>
          <cell r="AG17" t="str">
            <v>Газ-в-жидкость</v>
          </cell>
        </row>
        <row r="18">
          <cell r="AE18" t="str">
            <v>of which GTL technology</v>
          </cell>
          <cell r="AF18" t="str">
            <v>dont technologie GTL</v>
          </cell>
          <cell r="AG18" t="str">
            <v>of which GTL technology (waiting for Russian)</v>
          </cell>
        </row>
        <row r="19">
          <cell r="AE19" t="str">
            <v>Not elsewhere specified (Transformation)</v>
          </cell>
          <cell r="AF19" t="str">
            <v>Non spécifié - Transformation</v>
          </cell>
          <cell r="AG19" t="str">
            <v>Прочее - с.преобразования</v>
          </cell>
        </row>
        <row r="20">
          <cell r="AE20" t="str">
            <v>Energy sector</v>
          </cell>
          <cell r="AF20" t="str">
            <v>Secteur Energie - Total</v>
          </cell>
          <cell r="AG20" t="str">
            <v>СЕКТОР ЭНЕРГЕТИКИ - Всего</v>
          </cell>
        </row>
        <row r="21">
          <cell r="AE21" t="str">
            <v>Coal mines</v>
          </cell>
          <cell r="AF21" t="str">
            <v>Mines de charbon</v>
          </cell>
          <cell r="AG21" t="str">
            <v>Угольные шахты</v>
          </cell>
        </row>
        <row r="22">
          <cell r="AE22" t="str">
            <v>Oil and gas extraction</v>
          </cell>
          <cell r="AF22" t="str">
            <v>Extraction de pétrole et de gaz</v>
          </cell>
          <cell r="AG22" t="str">
            <v>Добыча нефти и газа</v>
          </cell>
        </row>
        <row r="23">
          <cell r="AE23" t="str">
            <v>Oil refineries</v>
          </cell>
          <cell r="AF23" t="str">
            <v>Approvisionnement des raffineries</v>
          </cell>
          <cell r="AG23" t="str">
            <v>Сырье для нефтеперерабатывающих заводов</v>
          </cell>
        </row>
        <row r="24">
          <cell r="AE24" t="str">
            <v>Coke ovens (Energy)</v>
          </cell>
          <cell r="AF24" t="str">
            <v>Cokeries</v>
          </cell>
          <cell r="AG24" t="str">
            <v>Коксовые печи</v>
          </cell>
        </row>
        <row r="25">
          <cell r="AE25" t="str">
            <v>Blast furnaces (Energy)</v>
          </cell>
          <cell r="AF25" t="str">
            <v>Hauts fourneaux</v>
          </cell>
          <cell r="AG25" t="str">
            <v>Доменные печи</v>
          </cell>
        </row>
        <row r="26">
          <cell r="AE26" t="str">
            <v>Gas works (Energy)</v>
          </cell>
          <cell r="AF26" t="str">
            <v>Usines à gaz</v>
          </cell>
          <cell r="AG26" t="str">
            <v>Газовые заводы</v>
          </cell>
        </row>
        <row r="27">
          <cell r="AE27" t="str">
            <v>Electricity, CHP and heat</v>
          </cell>
          <cell r="AF27" t="str">
            <v>Centrales électriques, de cogénération et calogènes</v>
          </cell>
          <cell r="AG27" t="str">
            <v>Электростанции, ТЭЦ и теплоцентрали</v>
          </cell>
        </row>
        <row r="28">
          <cell r="AE28" t="str">
            <v>Liquefaction (LNG) / regasification plants</v>
          </cell>
          <cell r="AF28" t="str">
            <v>Unités de liquéfaction du gaz</v>
          </cell>
          <cell r="AG28" t="str">
            <v>Заводы по производству сжиженного газа</v>
          </cell>
        </row>
        <row r="29">
          <cell r="AE29" t="str">
            <v>Gas-to-liquids plants (Energy)</v>
          </cell>
          <cell r="AF29" t="str">
            <v>Conversion en liquides</v>
          </cell>
          <cell r="AG29" t="str">
            <v>Газ-в-жидкость</v>
          </cell>
        </row>
        <row r="30">
          <cell r="AE30" t="str">
            <v>of which GTL technology</v>
          </cell>
          <cell r="AF30" t="str">
            <v>dont technologie GTL</v>
          </cell>
          <cell r="AG30" t="str">
            <v>of which GTL technology (waiting for Russian)</v>
          </cell>
        </row>
        <row r="31">
          <cell r="AE31" t="str">
            <v>Not elsewhere specified (Energy)</v>
          </cell>
          <cell r="AF31" t="str">
            <v>Non spécifié - Energie</v>
          </cell>
          <cell r="AG31" t="str">
            <v>Прочее - с.энергетики</v>
          </cell>
        </row>
        <row r="32">
          <cell r="AE32" t="str">
            <v>Distribution losses</v>
          </cell>
          <cell r="AF32" t="str">
            <v>Pertes de distribution</v>
          </cell>
          <cell r="AG32" t="str">
            <v>Потери при распределении</v>
          </cell>
        </row>
        <row r="33">
          <cell r="AE33" t="str">
            <v>Total final consumption</v>
          </cell>
          <cell r="AF33" t="str">
            <v>Consommation finale totale</v>
          </cell>
          <cell r="AG33" t="str">
            <v>Конечное потребление всего</v>
          </cell>
        </row>
        <row r="34">
          <cell r="AE34" t="str">
            <v>Row 1: Equals the sum of rows 2, 15, 27, 28; should correspond to cell 12B on table 1.</v>
          </cell>
          <cell r="AF34" t="str">
            <v>Ligne 1 : Egal à la somme des lignes 2, 15, 27, 28; doit correspondre à la cellule 12B du tableau 1.</v>
          </cell>
          <cell r="AG34" t="str">
            <v>Строка 1 : Равна сумме строк 2, 15, 27, 28; должна соответствовать клетке 12B Таблицы 1.</v>
          </cell>
        </row>
        <row r="35">
          <cell r="AE35" t="str">
            <v>Rows 3 to 8: Should correspond to quantities in row 1 of table 6C in the Electricity and heat annual questionnaire.</v>
          </cell>
          <cell r="AF35" t="str">
            <v>Lignes 3 à 8 : Doit correspondre aux quantités dans la ligne 1 du tableau 6C dans le questionnaire annuel Electricité et Chaleur.</v>
          </cell>
          <cell r="AG35" t="str">
            <v>Строки с 3 по 8 : Должны соответствовать содержанию Таблицы 6C "Ежегодного опросника по электроэнергии и теплу".</v>
          </cell>
        </row>
        <row r="36">
          <cell r="AE36" t="str">
            <v>Row 28 : Should correspond to the sum of cells 1A and 1B in table 2b.</v>
          </cell>
          <cell r="AF36" t="str">
            <v>Ligne 28 : Doit correspondre à la somme des cellules 1A et 1B dans le tableau 2b.</v>
          </cell>
          <cell r="AG36" t="str">
            <v>Строка 28 : Должна соответствовать сумме клеток 1A и 1B Таблицы 2b.</v>
          </cell>
        </row>
      </sheetData>
      <sheetData sheetId="5">
        <row r="1">
          <cell r="AF1" t="str">
            <v>TABLE 2b - TOTAL FINAL CONSUMPTION BY SECTOR</v>
          </cell>
          <cell r="AG1" t="str">
            <v>CONSOMMATION FINALE TOTALE PAR SECTEUR</v>
          </cell>
          <cell r="AH1" t="str">
            <v>ВНУТРЕННЕЕ ПОТРЕБЛЕНИЕ ПО СЕКТОРАМ</v>
          </cell>
        </row>
        <row r="3">
          <cell r="AF3" t="str">
            <v>Unit: TJ (GCV)</v>
          </cell>
          <cell r="AG3" t="str">
            <v>Unité: TJ (PCS)</v>
          </cell>
          <cell r="AH3" t="str">
            <v>Единица измерения: ТДж (ВТС)</v>
          </cell>
        </row>
        <row r="6">
          <cell r="AF6" t="str">
            <v>Total final consumption</v>
          </cell>
          <cell r="AG6" t="str">
            <v>Consommation finale totale (1, 3)</v>
          </cell>
          <cell r="AH6" t="str">
            <v xml:space="preserve">Всего - Конечное потребление </v>
          </cell>
        </row>
        <row r="7">
          <cell r="AF7" t="str">
            <v>Transport sector</v>
          </cell>
          <cell r="AG7" t="str">
            <v>Secteur Transports - Total</v>
          </cell>
          <cell r="AH7" t="str">
            <v>СЕКТОР ТРАНСПОРТА - Всего</v>
          </cell>
        </row>
        <row r="8">
          <cell r="AF8" t="str">
            <v>Road</v>
          </cell>
          <cell r="AG8" t="str">
            <v>Transport  routier</v>
          </cell>
          <cell r="AH8" t="str">
            <v>Автодорожный транспорт</v>
          </cell>
        </row>
        <row r="9">
          <cell r="AF9" t="str">
            <v>of which biogas</v>
          </cell>
          <cell r="AG9" t="str">
            <v>dont le biogaz</v>
          </cell>
          <cell r="AH9" t="str">
            <v xml:space="preserve"> В т.ч. Биогаз</v>
          </cell>
        </row>
        <row r="10">
          <cell r="AF10" t="str">
            <v>Pipeline transport</v>
          </cell>
          <cell r="AG10" t="str">
            <v>Transport par conduites</v>
          </cell>
          <cell r="AH10" t="str">
            <v>Трубопроводы</v>
          </cell>
        </row>
        <row r="11">
          <cell r="AF11" t="str">
            <v>Not elsewhere specified (Transport)</v>
          </cell>
          <cell r="AG11" t="str">
            <v>Non spécifié - Transports</v>
          </cell>
          <cell r="AH11" t="str">
            <v>Прочее</v>
          </cell>
        </row>
        <row r="12">
          <cell r="AF12" t="str">
            <v>Industry sector</v>
          </cell>
          <cell r="AG12" t="str">
            <v>Secteur Industrie - Total</v>
          </cell>
          <cell r="AH12" t="str">
            <v>СЕКТОР ПРОМЫШЛЕННОСТИ - Всего</v>
          </cell>
        </row>
        <row r="13">
          <cell r="AF13" t="str">
            <v>Iron and steel</v>
          </cell>
          <cell r="AG13" t="str">
            <v>Sidérurgie</v>
          </cell>
          <cell r="AH13" t="str">
            <v>Черная металлургия</v>
          </cell>
        </row>
        <row r="14">
          <cell r="AF14" t="str">
            <v>Chemical and petrochemical</v>
          </cell>
          <cell r="AG14" t="str">
            <v>Chimie et pétrochimie (2)</v>
          </cell>
          <cell r="AH14" t="str">
            <v>Производство хим. прод., включая нефтехимию</v>
          </cell>
        </row>
        <row r="15">
          <cell r="AF15" t="str">
            <v>Non-ferrous metals</v>
          </cell>
          <cell r="AG15" t="str">
            <v>Metaux non-ferreux</v>
          </cell>
          <cell r="AH15" t="str">
            <v>Цветная металлургия</v>
          </cell>
        </row>
        <row r="16">
          <cell r="AF16" t="str">
            <v>Non-metallic minerals</v>
          </cell>
          <cell r="AG16" t="str">
            <v>Produits minéraux non-métalliques</v>
          </cell>
          <cell r="AH16" t="str">
            <v>Производство неметаллических минеральных продуктов</v>
          </cell>
        </row>
        <row r="17">
          <cell r="AF17" t="str">
            <v>Transport equipment</v>
          </cell>
          <cell r="AG17" t="str">
            <v>Matériel de transport</v>
          </cell>
          <cell r="AH17" t="str">
            <v>Транспортное оборудование</v>
          </cell>
        </row>
        <row r="18">
          <cell r="AF18" t="str">
            <v>Machinery</v>
          </cell>
          <cell r="AG18" t="str">
            <v>Machines</v>
          </cell>
          <cell r="AH18" t="str">
            <v>Машиностроение</v>
          </cell>
        </row>
        <row r="19">
          <cell r="AF19" t="str">
            <v>Mining and quarrying</v>
          </cell>
          <cell r="AG19" t="str">
            <v>Industries extractives</v>
          </cell>
          <cell r="AH19" t="str">
            <v>Горнодобываяющая промышленность и разработка карьеров</v>
          </cell>
        </row>
        <row r="20">
          <cell r="AF20" t="str">
            <v>Food beverages and tobacco</v>
          </cell>
          <cell r="AG20" t="str">
            <v>Produits alimentaires, boissons et tabac</v>
          </cell>
          <cell r="AH20" t="str">
            <v>Пищевая пром-сть, производство напитков и табачных изделий</v>
          </cell>
        </row>
        <row r="21">
          <cell r="AF21" t="str">
            <v>Paper, pulp and printing</v>
          </cell>
          <cell r="AG21" t="str">
            <v>Pâte à papier, papier et imprimerie</v>
          </cell>
          <cell r="AH21" t="str">
            <v>Целлюлозно-бумажная и полиграфическая промышленность</v>
          </cell>
        </row>
        <row r="22">
          <cell r="AF22" t="str">
            <v>Wood and wood products</v>
          </cell>
          <cell r="AG22" t="str">
            <v>Bois et ouvrages en bois</v>
          </cell>
          <cell r="AH22" t="str">
            <v>Производство древесины и изделий из дерева</v>
          </cell>
        </row>
        <row r="23">
          <cell r="AF23" t="str">
            <v>Construction</v>
          </cell>
          <cell r="AG23" t="str">
            <v xml:space="preserve">Construction </v>
          </cell>
          <cell r="AH23" t="str">
            <v>Строительство</v>
          </cell>
        </row>
        <row r="24">
          <cell r="AF24" t="str">
            <v>Textiles and leather</v>
          </cell>
          <cell r="AG24" t="str">
            <v>Textiles et cuir</v>
          </cell>
          <cell r="AH24" t="str">
            <v>Текстильная и кожевенная промышленность</v>
          </cell>
        </row>
        <row r="25">
          <cell r="AF25" t="str">
            <v>Not elsewhere specified (Industry)</v>
          </cell>
          <cell r="AG25" t="str">
            <v>Non spécifié - Industrie</v>
          </cell>
          <cell r="AH25" t="str">
            <v>Прочее</v>
          </cell>
        </row>
        <row r="26">
          <cell r="AF26" t="str">
            <v>Other sectors</v>
          </cell>
          <cell r="AG26" t="str">
            <v>Autres secteurs - Total</v>
          </cell>
          <cell r="AH26" t="str">
            <v>ПРОЧИЕ СЕКТОРЫ - Всего</v>
          </cell>
        </row>
        <row r="27">
          <cell r="AF27" t="str">
            <v>Commercial and public services</v>
          </cell>
          <cell r="AG27" t="str">
            <v>Commerce et services publics</v>
          </cell>
          <cell r="AH27" t="str">
            <v>Коммерческие предприятия и государственные учреждения</v>
          </cell>
        </row>
        <row r="28">
          <cell r="AF28" t="str">
            <v>Residential</v>
          </cell>
          <cell r="AG28" t="str">
            <v>Secteur résidentiel</v>
          </cell>
          <cell r="AH28" t="str">
            <v>Жилищное хозяйство</v>
          </cell>
        </row>
        <row r="29">
          <cell r="AF29" t="str">
            <v>Agriculture/forestry</v>
          </cell>
          <cell r="AG29" t="str">
            <v>Agriculture</v>
          </cell>
          <cell r="AH29" t="str">
            <v>Сельское хозяйство</v>
          </cell>
        </row>
        <row r="30">
          <cell r="AF30" t="str">
            <v>Fishing</v>
          </cell>
          <cell r="AG30" t="str">
            <v>Pêche</v>
          </cell>
          <cell r="AH30" t="str">
            <v>Рыболовство</v>
          </cell>
        </row>
        <row r="31">
          <cell r="AF31" t="str">
            <v>Not elsewhere specified (Other)</v>
          </cell>
          <cell r="AG31" t="str">
            <v>Non spécifié - Autres</v>
          </cell>
          <cell r="AH31" t="str">
            <v>Прочее</v>
          </cell>
        </row>
        <row r="32">
          <cell r="AF32" t="str">
            <v>Row 1: Corresponds to the sum of rows 2, 7, 21.</v>
          </cell>
          <cell r="AG32" t="str">
            <v>Ligne 1 : Correspond à la somme des lignes 2, 7, 21.</v>
          </cell>
          <cell r="AH32" t="str">
            <v>Строка 1 : Соответствует сумме строк 2,7,21.</v>
          </cell>
        </row>
        <row r="33">
          <cell r="AF33" t="str">
            <v>Row 1: The sum of cells 1A and 1B should correspond to cell A28 in table 2a.</v>
          </cell>
          <cell r="AG33" t="str">
            <v>Ligne 1 : La somme des cellules 1A et 1B doit correspondre à la cellule A28 dans le tableau 2a.</v>
          </cell>
          <cell r="AH33" t="str">
            <v>Строка 1 : Сумма клеток 1A и 1B должна соответствовать клетке A28 в Таблице 2a.</v>
          </cell>
        </row>
        <row r="34">
          <cell r="AF34" t="str">
            <v>Row 9: Please report fuel use in column A.</v>
          </cell>
          <cell r="AG34" t="str">
            <v>Ligne 9 : Veuillez reporter l'utilisation en tant que combustible dans la colonne A.</v>
          </cell>
          <cell r="AH34" t="str">
            <v>Строка 9 : Сообщите о расходе топлива в колонне A.</v>
          </cell>
        </row>
        <row r="100">
          <cell r="E100" t="str">
            <v>Energy use</v>
          </cell>
          <cell r="F100" t="str">
            <v>Non-energy use</v>
          </cell>
        </row>
        <row r="101">
          <cell r="E101" t="str">
            <v>Utilisations énergétiques</v>
          </cell>
          <cell r="F101" t="str">
            <v>Utilisations non énergétiques</v>
          </cell>
        </row>
        <row r="102">
          <cell r="E102" t="str">
            <v>Использование газа для энергетических целей</v>
          </cell>
          <cell r="F102" t="str">
            <v xml:space="preserve">Использование газа для неэнергетических целей </v>
          </cell>
        </row>
      </sheetData>
      <sheetData sheetId="6">
        <row r="1">
          <cell r="AM1" t="str">
            <v>TABLE 3 - IMPORTS BY ORIGIN</v>
          </cell>
          <cell r="AN1" t="str">
            <v>IMPORTATIONS PAR PAYS D'ORIGINE</v>
          </cell>
          <cell r="AO1" t="str">
            <v>Импорт по странам происхождения</v>
          </cell>
        </row>
        <row r="4">
          <cell r="AM4" t="str">
            <v>ORIGIN</v>
          </cell>
          <cell r="AN4" t="str">
            <v>ORIGINE</v>
          </cell>
          <cell r="AO4" t="str">
            <v>ПРОИСХОЖДЕНИЕ</v>
          </cell>
        </row>
        <row r="6">
          <cell r="AM6" t="str">
            <v>Albania</v>
          </cell>
          <cell r="AN6" t="str">
            <v>Albanie</v>
          </cell>
          <cell r="AO6" t="str">
            <v>Албания</v>
          </cell>
        </row>
        <row r="7">
          <cell r="AM7" t="str">
            <v>Algeria</v>
          </cell>
          <cell r="AN7" t="str">
            <v>Algérie</v>
          </cell>
          <cell r="AO7" t="str">
            <v>Алжир</v>
          </cell>
        </row>
        <row r="8">
          <cell r="AM8" t="str">
            <v>Andorra</v>
          </cell>
          <cell r="AN8" t="str">
            <v>Andorre</v>
          </cell>
          <cell r="AO8" t="str">
            <v>андорра</v>
          </cell>
        </row>
        <row r="9">
          <cell r="AM9" t="str">
            <v>Angola</v>
          </cell>
          <cell r="AN9" t="str">
            <v>Angola</v>
          </cell>
          <cell r="AO9" t="str">
            <v>Ангола</v>
          </cell>
        </row>
        <row r="10">
          <cell r="AM10" t="str">
            <v>Argentina</v>
          </cell>
          <cell r="AN10" t="str">
            <v>Argentine</v>
          </cell>
          <cell r="AO10" t="str">
            <v>Аргентина</v>
          </cell>
        </row>
        <row r="11">
          <cell r="AM11" t="str">
            <v>Armenia</v>
          </cell>
          <cell r="AN11" t="str">
            <v>Arménie</v>
          </cell>
          <cell r="AO11" t="str">
            <v>Армения</v>
          </cell>
        </row>
        <row r="12">
          <cell r="AM12" t="str">
            <v>Aruba</v>
          </cell>
          <cell r="AN12" t="str">
            <v>Aruba</v>
          </cell>
          <cell r="AO12" t="str">
            <v>Аруба</v>
          </cell>
        </row>
        <row r="13">
          <cell r="AM13" t="str">
            <v>Australia</v>
          </cell>
          <cell r="AN13" t="str">
            <v>Australie</v>
          </cell>
          <cell r="AO13" t="str">
            <v>Австралия</v>
          </cell>
        </row>
        <row r="14">
          <cell r="AM14" t="str">
            <v>Austria</v>
          </cell>
          <cell r="AN14" t="str">
            <v>Autriche</v>
          </cell>
          <cell r="AO14" t="str">
            <v>Австрия</v>
          </cell>
        </row>
        <row r="15">
          <cell r="AM15" t="str">
            <v>Azerbaijan</v>
          </cell>
          <cell r="AN15" t="str">
            <v>Azerbaïdjan</v>
          </cell>
          <cell r="AO15" t="str">
            <v>Азербайджан</v>
          </cell>
        </row>
        <row r="16">
          <cell r="AM16" t="str">
            <v>Bahamas</v>
          </cell>
          <cell r="AN16" t="str">
            <v>Bahamas</v>
          </cell>
          <cell r="AO16" t="str">
            <v>Багамские о-ва</v>
          </cell>
        </row>
        <row r="17">
          <cell r="AM17" t="str">
            <v>Bahrain</v>
          </cell>
          <cell r="AN17" t="str">
            <v>Bahreïn</v>
          </cell>
          <cell r="AO17" t="str">
            <v>Бахрейн</v>
          </cell>
        </row>
        <row r="18">
          <cell r="AM18" t="str">
            <v>Bangladesh</v>
          </cell>
          <cell r="AN18" t="str">
            <v>Bangladesh</v>
          </cell>
          <cell r="AO18" t="str">
            <v>Бангладеш</v>
          </cell>
        </row>
        <row r="19">
          <cell r="AM19" t="str">
            <v>Barbados</v>
          </cell>
          <cell r="AN19" t="str">
            <v>Barbade</v>
          </cell>
          <cell r="AO19" t="str">
            <v>Барбадос</v>
          </cell>
        </row>
        <row r="20">
          <cell r="AM20" t="str">
            <v>Belarus</v>
          </cell>
          <cell r="AN20" t="str">
            <v>Biélorussie</v>
          </cell>
          <cell r="AO20" t="str">
            <v>Беларусь</v>
          </cell>
        </row>
        <row r="21">
          <cell r="AM21" t="str">
            <v>Belgium</v>
          </cell>
          <cell r="AN21" t="str">
            <v>Belgique</v>
          </cell>
          <cell r="AO21" t="str">
            <v>Бельгия</v>
          </cell>
        </row>
        <row r="22">
          <cell r="AM22" t="str">
            <v>Belize</v>
          </cell>
          <cell r="AN22" t="str">
            <v>Belize</v>
          </cell>
          <cell r="AO22" t="str">
            <v>Белиз</v>
          </cell>
        </row>
        <row r="23">
          <cell r="AM23" t="str">
            <v>Benin</v>
          </cell>
          <cell r="AN23" t="str">
            <v>Bénin</v>
          </cell>
          <cell r="AO23" t="str">
            <v>Бенин</v>
          </cell>
        </row>
        <row r="24">
          <cell r="AM24" t="str">
            <v>Bolivia</v>
          </cell>
          <cell r="AN24" t="str">
            <v>Bolivie</v>
          </cell>
          <cell r="AO24" t="str">
            <v>Боливия</v>
          </cell>
        </row>
        <row r="25">
          <cell r="AM25" t="str">
            <v>Bosnia and Herzegovina</v>
          </cell>
          <cell r="AN25" t="str">
            <v>Bosnie-Herzégovine</v>
          </cell>
          <cell r="AO25" t="str">
            <v>Босния и Герцеговина</v>
          </cell>
        </row>
        <row r="26">
          <cell r="AM26" t="str">
            <v>Brazil</v>
          </cell>
          <cell r="AN26" t="str">
            <v>Brésil</v>
          </cell>
          <cell r="AO26" t="str">
            <v>Бразилия</v>
          </cell>
        </row>
        <row r="27">
          <cell r="AM27" t="str">
            <v>British Virgin Islands</v>
          </cell>
          <cell r="AN27" t="str">
            <v>Îles Vierges britanniques</v>
          </cell>
          <cell r="AO27" t="str">
            <v>Британские Виргинские острова</v>
          </cell>
        </row>
        <row r="28">
          <cell r="AM28" t="str">
            <v>Brunei Darussalam</v>
          </cell>
          <cell r="AN28" t="str">
            <v>Brunei Darussalam</v>
          </cell>
          <cell r="AO28" t="str">
            <v>Бруней-Даруссалам</v>
          </cell>
        </row>
        <row r="29">
          <cell r="AM29" t="str">
            <v>Bulgaria</v>
          </cell>
          <cell r="AN29" t="str">
            <v>Bulgarie</v>
          </cell>
          <cell r="AO29" t="str">
            <v>Болгария</v>
          </cell>
        </row>
        <row r="30">
          <cell r="AM30" t="str">
            <v>Cambodia</v>
          </cell>
          <cell r="AN30" t="str">
            <v>Cambodge</v>
          </cell>
          <cell r="AO30" t="str">
            <v>Камбоджа</v>
          </cell>
        </row>
        <row r="31">
          <cell r="AM31" t="str">
            <v>Cameroon</v>
          </cell>
          <cell r="AN31" t="str">
            <v>Cameroun</v>
          </cell>
          <cell r="AO31" t="str">
            <v>Камерун</v>
          </cell>
        </row>
        <row r="32">
          <cell r="AM32" t="str">
            <v>Canada</v>
          </cell>
          <cell r="AN32" t="str">
            <v>Canada</v>
          </cell>
          <cell r="AO32" t="str">
            <v>Канада</v>
          </cell>
        </row>
        <row r="33">
          <cell r="AM33" t="str">
            <v>Cape Verde / Cabo Verde</v>
          </cell>
          <cell r="AN33" t="str">
            <v>Cap-Vert / Cabo Verde</v>
          </cell>
          <cell r="AO33" t="str">
            <v>Кабо-Верде / Кабо-Верде</v>
          </cell>
        </row>
        <row r="34">
          <cell r="AM34" t="str">
            <v>Chile</v>
          </cell>
          <cell r="AN34" t="str">
            <v>Chili</v>
          </cell>
          <cell r="AO34" t="str">
            <v>Чили</v>
          </cell>
        </row>
        <row r="35">
          <cell r="AM35" t="str">
            <v>China, People's Republic of</v>
          </cell>
          <cell r="AN35" t="str">
            <v>Chine, République populaire de</v>
          </cell>
          <cell r="AO35" t="str">
            <v>Китай, Народная Республика</v>
          </cell>
        </row>
        <row r="36">
          <cell r="AM36" t="str">
            <v>Colombia</v>
          </cell>
          <cell r="AN36" t="str">
            <v>Colombie</v>
          </cell>
          <cell r="AO36" t="str">
            <v>Колумбия</v>
          </cell>
        </row>
        <row r="37">
          <cell r="AM37" t="str">
            <v>Congo</v>
          </cell>
          <cell r="AN37" t="str">
            <v>Congo</v>
          </cell>
          <cell r="AO37" t="str">
            <v>Конго</v>
          </cell>
        </row>
        <row r="38">
          <cell r="AM38" t="str">
            <v>Costa Rica</v>
          </cell>
          <cell r="AN38" t="str">
            <v>Costa Rica</v>
          </cell>
          <cell r="AO38" t="str">
            <v>Коста-Рика</v>
          </cell>
        </row>
        <row r="39">
          <cell r="AM39" t="str">
            <v>Côte d’Ivoire</v>
          </cell>
          <cell r="AN39" t="str">
            <v>Côte d’Ivoire</v>
          </cell>
          <cell r="AO39" t="str">
            <v>Берег Слоновой Кости</v>
          </cell>
        </row>
        <row r="40">
          <cell r="AM40" t="str">
            <v>Croatia</v>
          </cell>
          <cell r="AN40" t="str">
            <v>Croatie</v>
          </cell>
          <cell r="AO40" t="str">
            <v>Хорватия</v>
          </cell>
        </row>
        <row r="41">
          <cell r="AM41" t="str">
            <v>Cuba</v>
          </cell>
          <cell r="AN41" t="str">
            <v>Cuba</v>
          </cell>
          <cell r="AO41" t="str">
            <v>Куба</v>
          </cell>
        </row>
        <row r="42">
          <cell r="AM42" t="str">
            <v>Curaçao</v>
          </cell>
          <cell r="AN42" t="str">
            <v>Curaçao</v>
          </cell>
          <cell r="AO42" t="str">
            <v>Кюрасао</v>
          </cell>
        </row>
        <row r="43">
          <cell r="AM43" t="str">
            <v>Cyprus</v>
          </cell>
          <cell r="AN43" t="str">
            <v>Chypre</v>
          </cell>
          <cell r="AO43" t="str">
            <v>Кипр</v>
          </cell>
        </row>
        <row r="44">
          <cell r="AM44" t="str">
            <v>Czech Republic</v>
          </cell>
          <cell r="AN44" t="str">
            <v>République tchèque</v>
          </cell>
          <cell r="AO44" t="str">
            <v>Чешская Республика</v>
          </cell>
        </row>
        <row r="45">
          <cell r="AM45" t="str">
            <v>Korea, Democratic People's Republic of</v>
          </cell>
          <cell r="AN45" t="str">
            <v>Corée, République populaire démocratique de</v>
          </cell>
          <cell r="AO45" t="str">
            <v>Корейская Народно-Демократическая Республика</v>
          </cell>
        </row>
        <row r="46">
          <cell r="AM46" t="str">
            <v>Congo, Democratic Republic of the</v>
          </cell>
          <cell r="AN46" t="str">
            <v>Congo, République démocratique du</v>
          </cell>
          <cell r="AO46" t="str">
            <v>Демократическая Республика Конго</v>
          </cell>
        </row>
        <row r="47">
          <cell r="AM47" t="str">
            <v>Denmark</v>
          </cell>
          <cell r="AN47" t="str">
            <v>Danemark</v>
          </cell>
          <cell r="AO47" t="str">
            <v>Дания</v>
          </cell>
        </row>
        <row r="48">
          <cell r="AM48" t="str">
            <v>Djibouti</v>
          </cell>
          <cell r="AN48" t="str">
            <v>Djibouti</v>
          </cell>
          <cell r="AO48" t="str">
            <v>Джибути</v>
          </cell>
        </row>
        <row r="49">
          <cell r="AM49" t="str">
            <v>Dominican Republic</v>
          </cell>
          <cell r="AN49" t="str">
            <v>République dominicaine</v>
          </cell>
          <cell r="AO49" t="str">
            <v>Доминиканская Республика</v>
          </cell>
        </row>
        <row r="50">
          <cell r="AM50" t="str">
            <v>Ecuador</v>
          </cell>
          <cell r="AN50" t="str">
            <v>Équateur</v>
          </cell>
          <cell r="AO50" t="str">
            <v>Эквадор</v>
          </cell>
        </row>
        <row r="51">
          <cell r="AM51" t="str">
            <v>Egypt</v>
          </cell>
          <cell r="AN51" t="str">
            <v>Égypte</v>
          </cell>
          <cell r="AO51" t="str">
            <v>Египет</v>
          </cell>
        </row>
        <row r="52">
          <cell r="AM52" t="str">
            <v>Equatorial Guinea</v>
          </cell>
          <cell r="AN52" t="str">
            <v>Guinée équatoriale</v>
          </cell>
          <cell r="AO52" t="str">
            <v>Экваториальная Гвинея</v>
          </cell>
        </row>
        <row r="53">
          <cell r="AM53" t="str">
            <v>Eritrea</v>
          </cell>
          <cell r="AN53" t="str">
            <v>Érythrée</v>
          </cell>
          <cell r="AO53" t="str">
            <v>Эритрея</v>
          </cell>
        </row>
        <row r="54">
          <cell r="AM54" t="str">
            <v>Estonia</v>
          </cell>
          <cell r="AN54" t="str">
            <v>Estonie</v>
          </cell>
          <cell r="AO54" t="str">
            <v>Эстония</v>
          </cell>
        </row>
        <row r="55">
          <cell r="AM55" t="str">
            <v>Ethiopia</v>
          </cell>
          <cell r="AN55" t="str">
            <v>Éthiopie</v>
          </cell>
          <cell r="AO55" t="str">
            <v>Эфиопия</v>
          </cell>
        </row>
        <row r="56">
          <cell r="AM56" t="str">
            <v>Finland</v>
          </cell>
          <cell r="AN56" t="str">
            <v>Finlande</v>
          </cell>
          <cell r="AO56" t="str">
            <v>Финляндия</v>
          </cell>
        </row>
        <row r="57">
          <cell r="AM57" t="str">
            <v>Macedonia, Former Yugoslav Republic of</v>
          </cell>
          <cell r="AN57" t="str">
            <v>Macédoine, Ex-République yougoslave de</v>
          </cell>
          <cell r="AO57" t="str">
            <v>Бывшая югославская Республика Македония</v>
          </cell>
        </row>
        <row r="58">
          <cell r="AM58" t="str">
            <v>France</v>
          </cell>
          <cell r="AN58" t="str">
            <v>France</v>
          </cell>
          <cell r="AO58" t="str">
            <v>Франция</v>
          </cell>
        </row>
        <row r="59">
          <cell r="AM59" t="str">
            <v>Gabon</v>
          </cell>
          <cell r="AN59" t="str">
            <v>Gabon</v>
          </cell>
          <cell r="AO59" t="str">
            <v>Габон</v>
          </cell>
        </row>
        <row r="60">
          <cell r="AM60" t="str">
            <v>Georgia</v>
          </cell>
          <cell r="AN60" t="str">
            <v>Géorgie</v>
          </cell>
          <cell r="AO60" t="str">
            <v>Грузия</v>
          </cell>
        </row>
        <row r="61">
          <cell r="AM61" t="str">
            <v>Germany</v>
          </cell>
          <cell r="AN61" t="str">
            <v>Allemagne</v>
          </cell>
          <cell r="AO61" t="str">
            <v>Германия</v>
          </cell>
        </row>
        <row r="62">
          <cell r="AM62" t="str">
            <v>Ghana</v>
          </cell>
          <cell r="AN62" t="str">
            <v>Ghana</v>
          </cell>
          <cell r="AO62" t="str">
            <v>Гана</v>
          </cell>
        </row>
        <row r="63">
          <cell r="AM63" t="str">
            <v>Gibraltar</v>
          </cell>
          <cell r="AN63" t="str">
            <v>Gibraltar</v>
          </cell>
          <cell r="AO63" t="str">
            <v>Гибралтар</v>
          </cell>
        </row>
        <row r="64">
          <cell r="AM64" t="str">
            <v>Greece</v>
          </cell>
          <cell r="AN64" t="str">
            <v>Grèce</v>
          </cell>
          <cell r="AO64" t="str">
            <v>Греция</v>
          </cell>
        </row>
        <row r="65">
          <cell r="AM65" t="str">
            <v>Guatemala</v>
          </cell>
          <cell r="AN65" t="str">
            <v>Guatemala</v>
          </cell>
          <cell r="AO65" t="str">
            <v>Гватемала</v>
          </cell>
        </row>
        <row r="66">
          <cell r="AM66" t="str">
            <v>Guinea-Bissau</v>
          </cell>
          <cell r="AN66" t="str">
            <v>Guinée-Bissau</v>
          </cell>
          <cell r="AO66" t="str">
            <v>Гвинея-Бисау</v>
          </cell>
        </row>
        <row r="67">
          <cell r="AM67" t="str">
            <v>Honduras</v>
          </cell>
          <cell r="AN67" t="str">
            <v>Honduras</v>
          </cell>
          <cell r="AO67" t="str">
            <v>Гондурас</v>
          </cell>
        </row>
        <row r="68">
          <cell r="AM68" t="str">
            <v>Hong Kong, China</v>
          </cell>
          <cell r="AN68" t="str">
            <v>Hong Kong, Chine</v>
          </cell>
          <cell r="AO68" t="str">
            <v>Гонконг, Китай</v>
          </cell>
        </row>
        <row r="69">
          <cell r="AM69" t="str">
            <v>Hungary</v>
          </cell>
          <cell r="AN69" t="str">
            <v>Hongrie</v>
          </cell>
          <cell r="AO69" t="str">
            <v>Венгрия</v>
          </cell>
        </row>
        <row r="70">
          <cell r="AM70" t="str">
            <v>Iceland</v>
          </cell>
          <cell r="AN70" t="str">
            <v>Islande</v>
          </cell>
          <cell r="AO70" t="str">
            <v>Исландия</v>
          </cell>
        </row>
        <row r="71">
          <cell r="AM71" t="str">
            <v>India</v>
          </cell>
          <cell r="AN71" t="str">
            <v>Inde</v>
          </cell>
          <cell r="AO71" t="str">
            <v>Индия</v>
          </cell>
        </row>
        <row r="72">
          <cell r="AM72" t="str">
            <v>Indonesia</v>
          </cell>
          <cell r="AN72" t="str">
            <v>Indonésie</v>
          </cell>
          <cell r="AO72" t="str">
            <v>Индонезия</v>
          </cell>
        </row>
        <row r="73">
          <cell r="AM73" t="str">
            <v>Iran, Islamic Republic of</v>
          </cell>
          <cell r="AN73" t="str">
            <v>Iran</v>
          </cell>
          <cell r="AO73" t="str">
            <v>Исламская Республика Иран</v>
          </cell>
        </row>
        <row r="74">
          <cell r="AM74" t="str">
            <v>Iraq</v>
          </cell>
          <cell r="AN74" t="str">
            <v>Iraq</v>
          </cell>
          <cell r="AO74" t="str">
            <v>Ирак</v>
          </cell>
        </row>
        <row r="75">
          <cell r="AM75" t="str">
            <v>Ireland</v>
          </cell>
          <cell r="AN75" t="str">
            <v>Irlande</v>
          </cell>
          <cell r="AO75" t="str">
            <v>Ирландия</v>
          </cell>
        </row>
        <row r="76">
          <cell r="AM76" t="str">
            <v>Israel</v>
          </cell>
          <cell r="AN76" t="str">
            <v>Israël</v>
          </cell>
          <cell r="AO76" t="str">
            <v>Израиль</v>
          </cell>
        </row>
        <row r="77">
          <cell r="AM77" t="str">
            <v>Italy</v>
          </cell>
          <cell r="AN77" t="str">
            <v>Italie</v>
          </cell>
          <cell r="AO77" t="str">
            <v>Италия</v>
          </cell>
        </row>
        <row r="78">
          <cell r="AM78" t="str">
            <v>Jamaica</v>
          </cell>
          <cell r="AN78" t="str">
            <v>Jamaïque</v>
          </cell>
          <cell r="AO78" t="str">
            <v>Ямайка</v>
          </cell>
        </row>
        <row r="79">
          <cell r="AM79" t="str">
            <v>Japan</v>
          </cell>
          <cell r="AN79" t="str">
            <v>Japon</v>
          </cell>
          <cell r="AO79" t="str">
            <v>Япония</v>
          </cell>
        </row>
        <row r="80">
          <cell r="AM80" t="str">
            <v>Jordan</v>
          </cell>
          <cell r="AN80" t="str">
            <v>Jordanie</v>
          </cell>
          <cell r="AO80" t="str">
            <v>Иордания</v>
          </cell>
        </row>
        <row r="81">
          <cell r="AM81" t="str">
            <v>Kazakhstan</v>
          </cell>
          <cell r="AN81" t="str">
            <v>Kazakhstan</v>
          </cell>
          <cell r="AO81" t="str">
            <v>Казахстан</v>
          </cell>
        </row>
        <row r="82">
          <cell r="AM82" t="str">
            <v>Kenya</v>
          </cell>
          <cell r="AN82" t="str">
            <v>Kenya</v>
          </cell>
          <cell r="AO82" t="str">
            <v>Кения</v>
          </cell>
        </row>
        <row r="83">
          <cell r="AM83" t="str">
            <v>Korea</v>
          </cell>
          <cell r="AN83" t="str">
            <v>Corée</v>
          </cell>
          <cell r="AO83" t="str">
            <v>Корея</v>
          </cell>
        </row>
        <row r="84">
          <cell r="AM84" t="str">
            <v>Kosovo*</v>
          </cell>
          <cell r="AN84" t="str">
            <v>Kosovo*</v>
          </cell>
          <cell r="AO84" t="str">
            <v>Косово*</v>
          </cell>
        </row>
        <row r="85">
          <cell r="AM85" t="str">
            <v>Kuwait</v>
          </cell>
          <cell r="AN85" t="str">
            <v>Koweït</v>
          </cell>
          <cell r="AO85" t="str">
            <v>Кувейт</v>
          </cell>
        </row>
        <row r="86">
          <cell r="AM86" t="str">
            <v>Kyrgyzstan</v>
          </cell>
          <cell r="AN86" t="str">
            <v>Kirghizistan</v>
          </cell>
          <cell r="AO86" t="str">
            <v>Киргизия</v>
          </cell>
        </row>
        <row r="87">
          <cell r="AM87" t="str">
            <v>Lao People's Democratic Republic</v>
          </cell>
          <cell r="AN87" t="str">
            <v>Laos</v>
          </cell>
          <cell r="AO87" t="str">
            <v>Лаосская Народно-Демократическая Республика</v>
          </cell>
        </row>
        <row r="88">
          <cell r="AM88" t="str">
            <v>Latvia</v>
          </cell>
          <cell r="AN88" t="str">
            <v>Lettonie</v>
          </cell>
          <cell r="AO88" t="str">
            <v>Латвия</v>
          </cell>
        </row>
        <row r="89">
          <cell r="AM89" t="str">
            <v>Lebanon</v>
          </cell>
          <cell r="AN89" t="str">
            <v>Liban</v>
          </cell>
          <cell r="AO89" t="str">
            <v>Ливан</v>
          </cell>
        </row>
        <row r="90">
          <cell r="AM90" t="str">
            <v>Liberia</v>
          </cell>
          <cell r="AN90" t="str">
            <v>Libéria</v>
          </cell>
          <cell r="AO90" t="str">
            <v>Либерия</v>
          </cell>
        </row>
        <row r="91">
          <cell r="AM91" t="str">
            <v>Libya</v>
          </cell>
          <cell r="AN91" t="str">
            <v>Libye</v>
          </cell>
          <cell r="AO91" t="str">
            <v>Ливия</v>
          </cell>
        </row>
        <row r="92">
          <cell r="AM92" t="str">
            <v>Liechtenstein</v>
          </cell>
          <cell r="AN92" t="str">
            <v>Liechtenstein</v>
          </cell>
          <cell r="AO92" t="str">
            <v>Лихтенштейн</v>
          </cell>
        </row>
        <row r="93">
          <cell r="AM93" t="str">
            <v>Lithuania</v>
          </cell>
          <cell r="AN93" t="str">
            <v>Lituanie</v>
          </cell>
          <cell r="AO93" t="str">
            <v>Литва</v>
          </cell>
        </row>
        <row r="94">
          <cell r="AM94" t="str">
            <v>Luxembourg</v>
          </cell>
          <cell r="AN94" t="str">
            <v>Luxembourg</v>
          </cell>
          <cell r="AO94" t="str">
            <v>Люксембург</v>
          </cell>
        </row>
        <row r="95">
          <cell r="AM95" t="str">
            <v>Madagascar</v>
          </cell>
          <cell r="AN95" t="str">
            <v>Madagascar</v>
          </cell>
          <cell r="AO95" t="str">
            <v>Мадагаскар</v>
          </cell>
        </row>
        <row r="96">
          <cell r="AM96" t="str">
            <v>Malaysia</v>
          </cell>
          <cell r="AN96" t="str">
            <v>Malaisie</v>
          </cell>
          <cell r="AO96" t="str">
            <v>Малайзия</v>
          </cell>
        </row>
        <row r="97">
          <cell r="AM97" t="str">
            <v>Malta</v>
          </cell>
          <cell r="AN97" t="str">
            <v>Malte</v>
          </cell>
          <cell r="AO97" t="str">
            <v>Мальта</v>
          </cell>
        </row>
        <row r="98">
          <cell r="AM98" t="str">
            <v>Marshall Islands</v>
          </cell>
          <cell r="AN98" t="str">
            <v>Îles Marshall</v>
          </cell>
          <cell r="AO98" t="str">
            <v>Маршалловы острова</v>
          </cell>
        </row>
        <row r="99">
          <cell r="AM99" t="str">
            <v>Mauritania</v>
          </cell>
          <cell r="AN99" t="str">
            <v>Mauritanie</v>
          </cell>
          <cell r="AO99" t="str">
            <v>Мавритания</v>
          </cell>
        </row>
        <row r="100">
          <cell r="AM100" t="str">
            <v>Mauritius</v>
          </cell>
          <cell r="AN100" t="str">
            <v>Maurice</v>
          </cell>
          <cell r="AO100" t="str">
            <v>Маврикий</v>
          </cell>
        </row>
        <row r="101">
          <cell r="AM101" t="str">
            <v>Mexico</v>
          </cell>
          <cell r="AN101" t="str">
            <v>Mexique</v>
          </cell>
          <cell r="AO101" t="str">
            <v>Мексика</v>
          </cell>
        </row>
        <row r="102">
          <cell r="AM102" t="str">
            <v>Moldova, Republic of</v>
          </cell>
          <cell r="AN102" t="str">
            <v>Moldavie, République de</v>
          </cell>
          <cell r="AO102" t="str">
            <v>Молдова</v>
          </cell>
        </row>
        <row r="103">
          <cell r="AM103" t="str">
            <v>Mongolia</v>
          </cell>
          <cell r="AN103" t="str">
            <v>Mongolie</v>
          </cell>
          <cell r="AO103" t="str">
            <v>Монголия</v>
          </cell>
        </row>
        <row r="104">
          <cell r="AM104" t="str">
            <v>Montenegro</v>
          </cell>
          <cell r="AN104" t="str">
            <v>Monténégro</v>
          </cell>
          <cell r="AO104" t="str">
            <v>Черногория</v>
          </cell>
        </row>
        <row r="105">
          <cell r="AM105" t="str">
            <v>Morocco</v>
          </cell>
          <cell r="AN105" t="str">
            <v>Maroc</v>
          </cell>
          <cell r="AO105" t="str">
            <v>Марокко</v>
          </cell>
        </row>
        <row r="106">
          <cell r="AM106" t="str">
            <v>Mozambique</v>
          </cell>
          <cell r="AN106" t="str">
            <v>Mozambique</v>
          </cell>
          <cell r="AO106" t="str">
            <v>Мозамбик</v>
          </cell>
        </row>
        <row r="107">
          <cell r="AM107" t="str">
            <v>Myanmar</v>
          </cell>
          <cell r="AN107" t="str">
            <v>Myanmar</v>
          </cell>
          <cell r="AO107" t="str">
            <v>Мьянма</v>
          </cell>
        </row>
        <row r="108">
          <cell r="AM108" t="str">
            <v>Namibia</v>
          </cell>
          <cell r="AN108" t="str">
            <v>Namibie</v>
          </cell>
          <cell r="AO108" t="str">
            <v>Намибия</v>
          </cell>
        </row>
        <row r="109">
          <cell r="AM109" t="str">
            <v>Nepal</v>
          </cell>
          <cell r="AN109" t="str">
            <v>Népal</v>
          </cell>
          <cell r="AO109" t="str">
            <v>Непал</v>
          </cell>
        </row>
        <row r="110">
          <cell r="AM110" t="str">
            <v>Netherlands</v>
          </cell>
          <cell r="AN110" t="str">
            <v>Pays-Bas</v>
          </cell>
          <cell r="AO110" t="str">
            <v>Нидерланды</v>
          </cell>
        </row>
        <row r="111">
          <cell r="AM111" t="str">
            <v>New Caledonia</v>
          </cell>
          <cell r="AN111" t="str">
            <v>Nouvelle-Calédonie</v>
          </cell>
          <cell r="AO111" t="str">
            <v>Новая Каледония</v>
          </cell>
        </row>
        <row r="112">
          <cell r="AM112" t="str">
            <v>New Zealand</v>
          </cell>
          <cell r="AN112" t="str">
            <v>Nouvelle-Zélande</v>
          </cell>
          <cell r="AO112" t="str">
            <v>Новая Зеландия</v>
          </cell>
        </row>
        <row r="113">
          <cell r="AM113" t="str">
            <v>Nigeria</v>
          </cell>
          <cell r="AN113" t="str">
            <v>Nigéria</v>
          </cell>
          <cell r="AO113" t="str">
            <v>Нигерия</v>
          </cell>
        </row>
        <row r="114">
          <cell r="AM114" t="str">
            <v>Norway</v>
          </cell>
          <cell r="AN114" t="str">
            <v>Norvège</v>
          </cell>
          <cell r="AO114" t="str">
            <v>Норвегия</v>
          </cell>
        </row>
        <row r="115">
          <cell r="AM115" t="str">
            <v>Oman</v>
          </cell>
          <cell r="AN115" t="str">
            <v>Oman</v>
          </cell>
          <cell r="AO115" t="str">
            <v>Оман</v>
          </cell>
        </row>
        <row r="116">
          <cell r="AM116" t="str">
            <v>Other Africa</v>
          </cell>
          <cell r="AN116" t="str">
            <v>Autres Afrique</v>
          </cell>
          <cell r="AO116" t="str">
            <v>Другие страны Африки</v>
          </cell>
        </row>
        <row r="117">
          <cell r="AM117" t="str">
            <v>Other Asia Oceania</v>
          </cell>
          <cell r="AN117" t="str">
            <v>Autres Asie Océanie</v>
          </cell>
          <cell r="AO117" t="str">
            <v>Другие Азия Океания</v>
          </cell>
        </row>
        <row r="118">
          <cell r="AM118" t="str">
            <v>Other Europe</v>
          </cell>
          <cell r="AN118" t="str">
            <v>Autres Europe</v>
          </cell>
          <cell r="AO118" t="str">
            <v>Другая Европа</v>
          </cell>
        </row>
        <row r="119">
          <cell r="AM119" t="str">
            <v>Other Former Soviet Union</v>
          </cell>
          <cell r="AN119" t="str">
            <v>Autres ex-Union soviétique</v>
          </cell>
          <cell r="AO119" t="str">
            <v>Другой бывший Советский Союз</v>
          </cell>
        </row>
        <row r="120">
          <cell r="AM120" t="str">
            <v>Other Near and Middle East</v>
          </cell>
          <cell r="AN120" t="str">
            <v>Autres Proche et Moyen-Orient</v>
          </cell>
          <cell r="AO120" t="str">
            <v>Другие Ближний и Средний Восток</v>
          </cell>
        </row>
        <row r="121">
          <cell r="AM121" t="str">
            <v>Other Non-OECD Americas</v>
          </cell>
          <cell r="AN121" t="str">
            <v>Autres Amériques Non-OCDE</v>
          </cell>
          <cell r="AO121" t="str">
            <v>Другие страны, не входящие в ОЭСР</v>
          </cell>
        </row>
        <row r="122">
          <cell r="AM122" t="str">
            <v>Pakistan</v>
          </cell>
          <cell r="AN122" t="str">
            <v>Pakistan</v>
          </cell>
          <cell r="AO122" t="str">
            <v>Пакистан</v>
          </cell>
        </row>
        <row r="123">
          <cell r="AM123" t="str">
            <v>Panama</v>
          </cell>
          <cell r="AN123" t="str">
            <v>Panama</v>
          </cell>
          <cell r="AO123" t="str">
            <v>Панама</v>
          </cell>
        </row>
        <row r="124">
          <cell r="AM124" t="str">
            <v>Papua New Guinea</v>
          </cell>
          <cell r="AN124" t="str">
            <v>Papouasie-Nouvelle-Guinée</v>
          </cell>
          <cell r="AO124" t="str">
            <v>Папуа - Новая Гвинея</v>
          </cell>
        </row>
        <row r="125">
          <cell r="AM125" t="str">
            <v>Peru</v>
          </cell>
          <cell r="AN125" t="str">
            <v>Pérou</v>
          </cell>
          <cell r="AO125" t="str">
            <v>Перу</v>
          </cell>
        </row>
        <row r="126">
          <cell r="AM126" t="str">
            <v>Philippines</v>
          </cell>
          <cell r="AN126" t="str">
            <v>Philippines</v>
          </cell>
          <cell r="AO126" t="str">
            <v>Филиппины</v>
          </cell>
        </row>
        <row r="127">
          <cell r="AM127" t="str">
            <v>Poland</v>
          </cell>
          <cell r="AN127" t="str">
            <v>Pologne</v>
          </cell>
          <cell r="AO127" t="str">
            <v>Польша</v>
          </cell>
        </row>
        <row r="128">
          <cell r="AM128" t="str">
            <v>Portugal</v>
          </cell>
          <cell r="AN128" t="str">
            <v>Portugal</v>
          </cell>
          <cell r="AO128" t="str">
            <v>Португалия</v>
          </cell>
        </row>
        <row r="129">
          <cell r="AM129" t="str">
            <v>Qatar</v>
          </cell>
          <cell r="AN129" t="str">
            <v>Qatar</v>
          </cell>
          <cell r="AO129" t="str">
            <v>Катар</v>
          </cell>
        </row>
        <row r="130">
          <cell r="AM130" t="str">
            <v>Romania</v>
          </cell>
          <cell r="AN130" t="str">
            <v>Roumanie</v>
          </cell>
          <cell r="AO130" t="str">
            <v>Румыния</v>
          </cell>
        </row>
        <row r="131">
          <cell r="AM131" t="str">
            <v>Russian Federation</v>
          </cell>
          <cell r="AN131" t="str">
            <v>Fédération de Russie</v>
          </cell>
          <cell r="AO131" t="str">
            <v>Российская Федерация</v>
          </cell>
        </row>
        <row r="132">
          <cell r="AM132" t="str">
            <v>Sao Tome and Principe</v>
          </cell>
          <cell r="AN132" t="str">
            <v>Sao Tomé-et-Principe</v>
          </cell>
          <cell r="AO132" t="str">
            <v>Сан-Томе и Принсипи</v>
          </cell>
        </row>
        <row r="133">
          <cell r="AM133" t="str">
            <v>Saudi Arabia</v>
          </cell>
          <cell r="AN133" t="str">
            <v>Arabie saoudite</v>
          </cell>
          <cell r="AO133" t="str">
            <v>Саудовская Аравия</v>
          </cell>
        </row>
        <row r="134">
          <cell r="AM134" t="str">
            <v>Senegal</v>
          </cell>
          <cell r="AN134" t="str">
            <v>Sénégal</v>
          </cell>
          <cell r="AO134" t="str">
            <v>Сенегал</v>
          </cell>
        </row>
        <row r="135">
          <cell r="AM135" t="str">
            <v>Serbia</v>
          </cell>
          <cell r="AN135" t="str">
            <v>Serbie</v>
          </cell>
          <cell r="AO135" t="str">
            <v>Сербия</v>
          </cell>
        </row>
        <row r="136">
          <cell r="AM136" t="str">
            <v>Sierra Leone</v>
          </cell>
          <cell r="AN136" t="str">
            <v>Sierra Leone</v>
          </cell>
          <cell r="AO136" t="str">
            <v>Сьерра-Леоне</v>
          </cell>
        </row>
        <row r="137">
          <cell r="AM137" t="str">
            <v>Singapore</v>
          </cell>
          <cell r="AN137" t="str">
            <v>Singapour</v>
          </cell>
          <cell r="AO137" t="str">
            <v>Сингапур</v>
          </cell>
        </row>
        <row r="138">
          <cell r="AM138" t="str">
            <v>Slovak Republic</v>
          </cell>
          <cell r="AN138" t="str">
            <v>République slovaque</v>
          </cell>
          <cell r="AO138" t="str">
            <v>Словацкая Республика</v>
          </cell>
        </row>
        <row r="139">
          <cell r="AM139" t="str">
            <v>Slovenia</v>
          </cell>
          <cell r="AN139" t="str">
            <v>Slovénie</v>
          </cell>
          <cell r="AO139" t="str">
            <v>Словения</v>
          </cell>
        </row>
        <row r="140">
          <cell r="AM140" t="str">
            <v>South Africa</v>
          </cell>
          <cell r="AN140" t="str">
            <v>Afrique du Sud</v>
          </cell>
          <cell r="AO140" t="str">
            <v>Южная Африка</v>
          </cell>
        </row>
        <row r="141">
          <cell r="AM141" t="str">
            <v>South Sudan</v>
          </cell>
          <cell r="AN141" t="str">
            <v>Soudan du Sud</v>
          </cell>
          <cell r="AO141" t="str">
            <v>южный Судан</v>
          </cell>
        </row>
        <row r="142">
          <cell r="AM142" t="str">
            <v>Spain</v>
          </cell>
          <cell r="AN142" t="str">
            <v>Espagne</v>
          </cell>
          <cell r="AO142" t="str">
            <v>Испания</v>
          </cell>
        </row>
        <row r="143">
          <cell r="AM143" t="str">
            <v>Sri Lanka</v>
          </cell>
          <cell r="AN143" t="str">
            <v>Sri Lanka</v>
          </cell>
          <cell r="AO143" t="str">
            <v>Шри-Ланка</v>
          </cell>
        </row>
        <row r="144">
          <cell r="AM144" t="str">
            <v>Sudan</v>
          </cell>
          <cell r="AN144" t="str">
            <v>Soudan</v>
          </cell>
          <cell r="AO144" t="str">
            <v>Судан</v>
          </cell>
        </row>
        <row r="145">
          <cell r="AM145" t="str">
            <v>Sweden</v>
          </cell>
          <cell r="AN145" t="str">
            <v>Suède</v>
          </cell>
          <cell r="AO145" t="str">
            <v>Швеция</v>
          </cell>
        </row>
        <row r="146">
          <cell r="AM146" t="str">
            <v>Switzerland</v>
          </cell>
          <cell r="AN146" t="str">
            <v>Suisse</v>
          </cell>
          <cell r="AO146" t="str">
            <v>Швейцария</v>
          </cell>
        </row>
        <row r="147">
          <cell r="AM147" t="str">
            <v>Syrian Arab Republic</v>
          </cell>
          <cell r="AN147" t="str">
            <v>Syrie</v>
          </cell>
          <cell r="AO147" t="str">
            <v>Сирийская Арабская Республика</v>
          </cell>
        </row>
        <row r="148">
          <cell r="AM148" t="str">
            <v>Taiwan / Chinese Taipei</v>
          </cell>
          <cell r="AN148" t="str">
            <v>Taïwan / Taipei chinois</v>
          </cell>
          <cell r="AO148" t="str">
            <v>Тайвань / Китайский Тайбэй</v>
          </cell>
        </row>
        <row r="149">
          <cell r="AM149" t="str">
            <v>Tajikistan</v>
          </cell>
          <cell r="AN149" t="str">
            <v>Tadjikistan</v>
          </cell>
          <cell r="AO149" t="str">
            <v>Таджикистан</v>
          </cell>
        </row>
        <row r="150">
          <cell r="AM150" t="str">
            <v>Tanzania, United Republic of</v>
          </cell>
          <cell r="AN150" t="str">
            <v>Tanzanie, République Unie de</v>
          </cell>
          <cell r="AO150" t="str">
            <v>Танзания</v>
          </cell>
        </row>
        <row r="151">
          <cell r="AM151" t="str">
            <v>Thailand</v>
          </cell>
          <cell r="AN151" t="str">
            <v>Thaïlande</v>
          </cell>
          <cell r="AO151" t="str">
            <v>Таиланд</v>
          </cell>
        </row>
        <row r="152">
          <cell r="AM152" t="str">
            <v>Timor-Leste</v>
          </cell>
          <cell r="AN152" t="str">
            <v>Timor-Leste</v>
          </cell>
          <cell r="AO152" t="str">
            <v>Восточный Тимор</v>
          </cell>
        </row>
        <row r="153">
          <cell r="AM153" t="str">
            <v>Togo</v>
          </cell>
          <cell r="AN153" t="str">
            <v>Togo</v>
          </cell>
          <cell r="AO153" t="str">
            <v>Идти</v>
          </cell>
        </row>
        <row r="154">
          <cell r="AM154" t="str">
            <v>Trinidad and Tobago</v>
          </cell>
          <cell r="AN154" t="str">
            <v>Trinité-et-Tobago</v>
          </cell>
          <cell r="AO154" t="str">
            <v>Тринидад и Тобаго</v>
          </cell>
        </row>
        <row r="155">
          <cell r="AM155" t="str">
            <v>Tunisia</v>
          </cell>
          <cell r="AN155" t="str">
            <v>Tunisie</v>
          </cell>
          <cell r="AO155" t="str">
            <v>Тунис</v>
          </cell>
        </row>
        <row r="156">
          <cell r="AM156" t="str">
            <v>Turkey</v>
          </cell>
          <cell r="AN156" t="str">
            <v>Turquie</v>
          </cell>
          <cell r="AO156" t="str">
            <v>Турция</v>
          </cell>
        </row>
        <row r="157">
          <cell r="AM157" t="str">
            <v>Turkmenistan</v>
          </cell>
          <cell r="AN157" t="str">
            <v>Turkménistan</v>
          </cell>
          <cell r="AO157" t="str">
            <v>Туркменистан</v>
          </cell>
        </row>
        <row r="158">
          <cell r="AM158" t="str">
            <v>Uganda</v>
          </cell>
          <cell r="AN158" t="str">
            <v>Ouganda</v>
          </cell>
          <cell r="AO158" t="str">
            <v>Уганда</v>
          </cell>
        </row>
        <row r="159">
          <cell r="AM159" t="str">
            <v>Ukraine</v>
          </cell>
          <cell r="AN159" t="str">
            <v>Ukraine</v>
          </cell>
          <cell r="AO159" t="str">
            <v>Украина</v>
          </cell>
        </row>
        <row r="160">
          <cell r="AM160" t="str">
            <v>United Arab Emirates</v>
          </cell>
          <cell r="AN160" t="str">
            <v>Émirats arabes unis</v>
          </cell>
          <cell r="AO160" t="str">
            <v>Объединенные Арабские Эмираты</v>
          </cell>
        </row>
        <row r="161">
          <cell r="AM161" t="str">
            <v>United Kingdom</v>
          </cell>
          <cell r="AN161" t="str">
            <v>Royaume-Uni</v>
          </cell>
          <cell r="AO161" t="str">
            <v>Великобритания</v>
          </cell>
        </row>
        <row r="162">
          <cell r="AM162" t="str">
            <v>United States</v>
          </cell>
          <cell r="AN162" t="str">
            <v>États-Unis</v>
          </cell>
          <cell r="AO162" t="str">
            <v>Соединенные Штаты</v>
          </cell>
        </row>
        <row r="163">
          <cell r="AM163" t="str">
            <v>Uruguay</v>
          </cell>
          <cell r="AN163" t="str">
            <v>Uruguay</v>
          </cell>
          <cell r="AO163" t="str">
            <v>Уругвай</v>
          </cell>
        </row>
        <row r="164">
          <cell r="AM164" t="str">
            <v>Uzbekistan</v>
          </cell>
          <cell r="AN164" t="str">
            <v>Ouzbékistan</v>
          </cell>
          <cell r="AO164" t="str">
            <v>Узбекистан</v>
          </cell>
        </row>
        <row r="165">
          <cell r="AM165" t="str">
            <v>Venezuela, Bolivarian Republic</v>
          </cell>
          <cell r="AN165" t="str">
            <v>Venezuela, République bolivarienne</v>
          </cell>
          <cell r="AO165" t="str">
            <v>Венесуэла</v>
          </cell>
        </row>
        <row r="166">
          <cell r="AM166" t="str">
            <v>Viet Nam</v>
          </cell>
          <cell r="AN166" t="str">
            <v>Viet Nam</v>
          </cell>
          <cell r="AO166" t="str">
            <v>Вьетнам</v>
          </cell>
        </row>
        <row r="167">
          <cell r="AM167" t="str">
            <v>Yemen</v>
          </cell>
          <cell r="AN167" t="str">
            <v>Yémen</v>
          </cell>
          <cell r="AO167" t="str">
            <v>Йемен</v>
          </cell>
        </row>
        <row r="168">
          <cell r="AM168" t="str">
            <v>Not elsewhere specified</v>
          </cell>
          <cell r="AN168" t="str">
            <v xml:space="preserve">Non spécifié ailleurs </v>
          </cell>
          <cell r="AO168" t="str">
            <v>В другом месте не указано</v>
          </cell>
        </row>
        <row r="169">
          <cell r="AM169" t="str">
            <v>Total Imports (Trade)</v>
          </cell>
          <cell r="AN169" t="str">
            <v>Total des importations</v>
          </cell>
          <cell r="AO169" t="str">
            <v>ВСЕГО</v>
          </cell>
        </row>
        <row r="170">
          <cell r="AM170" t="str">
            <v>Rows 111 to 116, and 163:  Please specify on the Remarks page.</v>
          </cell>
          <cell r="AN170" t="str">
            <v>Lignes 111 à 116, et 163 : Veuillez préciser à la page réservée aux remarques.</v>
          </cell>
          <cell r="AO170" t="str">
            <v>Строки от 111 до 116 и 163: Пожалуйста, укажите на странице «Комментарии».</v>
          </cell>
        </row>
        <row r="171">
          <cell r="AM171" t="str">
            <v>Row 164: This row should correspond to Imports in Table 1.</v>
          </cell>
          <cell r="AN171" t="str">
            <v>Ligne 164 : Cette ligne doit correspondre aux importations dans le tableau 1.</v>
          </cell>
          <cell r="AO171" t="str">
            <v>Строка 164: эта строка должна соответствовать импорту в таблице 1.</v>
          </cell>
        </row>
        <row r="172">
          <cell r="AM172" t="str">
            <v>* This designation is without prejudice to positions on status, and is line with UNSCR 1244 and the ICJ Opinion on the Kosovo declaration of independence.</v>
          </cell>
          <cell r="AN172" t="str">
            <v>* Cette désignation est sans préjudice des positions sur le statut, et est conforme à la résolution 1244 du Conseil de sécurité des Nations Unies et à l'avis de la CIJ sur la déclaration d'indépendance du Kosovo.</v>
          </cell>
          <cell r="AO172" t="str">
            <v>* Это обозначение не наносит ущерба позициям по статусу и соответствует положениям резолюции 1244 СБ ООН и МЮ по косовской декларации о независимости.</v>
          </cell>
        </row>
        <row r="200">
          <cell r="E200" t="str">
            <v>Million m3</v>
          </cell>
          <cell r="G200" t="str">
            <v>TJ (GCV)</v>
          </cell>
        </row>
        <row r="201">
          <cell r="E201" t="str">
            <v>Millions de m3</v>
          </cell>
          <cell r="G201" t="str">
            <v>TJ (PCS)</v>
          </cell>
        </row>
        <row r="202">
          <cell r="E202" t="str">
            <v>Млн. куб. М</v>
          </cell>
          <cell r="G202" t="str">
            <v>ТДж (ВТС)</v>
          </cell>
        </row>
        <row r="210">
          <cell r="E210" t="str">
            <v>Total imports</v>
          </cell>
          <cell r="F210" t="str">
            <v>of which: LNG</v>
          </cell>
          <cell r="G210" t="str">
            <v>Total imports</v>
          </cell>
          <cell r="H210" t="str">
            <v>of which: LNG</v>
          </cell>
        </row>
        <row r="211">
          <cell r="E211" t="str">
            <v>Importations totales</v>
          </cell>
          <cell r="F211" t="str">
            <v>dont: GNL</v>
          </cell>
          <cell r="G211" t="str">
            <v>Importations totales</v>
          </cell>
          <cell r="H211" t="str">
            <v>dont: GNL</v>
          </cell>
        </row>
        <row r="212">
          <cell r="E212" t="str">
            <v>Импорт всего</v>
          </cell>
          <cell r="F212" t="str">
            <v>из которого СПГ</v>
          </cell>
          <cell r="G212" t="str">
            <v>Импорт всего</v>
          </cell>
          <cell r="H212" t="str">
            <v>из которого СПГ</v>
          </cell>
        </row>
      </sheetData>
      <sheetData sheetId="7">
        <row r="1">
          <cell r="AM1" t="str">
            <v>TABLE 4 - EXPORTS BY DESTINATION</v>
          </cell>
          <cell r="AN1" t="str">
            <v>EXPORTATIONS PAR PAYS DE DESTINATION</v>
          </cell>
          <cell r="AO1" t="str">
            <v>Экспорт по странам назначения</v>
          </cell>
        </row>
        <row r="4">
          <cell r="AM4" t="str">
            <v>DESTINATION</v>
          </cell>
          <cell r="AN4" t="str">
            <v>DESTINATION</v>
          </cell>
          <cell r="AO4" t="str">
            <v>НАЗНАЧЕНИЯ</v>
          </cell>
        </row>
        <row r="6">
          <cell r="AM6" t="str">
            <v>Albania</v>
          </cell>
          <cell r="AN6" t="str">
            <v>Albanie</v>
          </cell>
          <cell r="AO6" t="str">
            <v>Албания</v>
          </cell>
        </row>
        <row r="7">
          <cell r="AM7" t="str">
            <v>Algeria</v>
          </cell>
          <cell r="AN7" t="str">
            <v>Algérie</v>
          </cell>
          <cell r="AO7" t="str">
            <v>Алжир</v>
          </cell>
        </row>
        <row r="8">
          <cell r="AM8" t="str">
            <v>Andorra</v>
          </cell>
          <cell r="AN8" t="str">
            <v>Andorre</v>
          </cell>
          <cell r="AO8" t="str">
            <v>андорра</v>
          </cell>
        </row>
        <row r="9">
          <cell r="AM9" t="str">
            <v>Angola</v>
          </cell>
          <cell r="AN9" t="str">
            <v>Angola</v>
          </cell>
          <cell r="AO9" t="str">
            <v>Ангола</v>
          </cell>
        </row>
        <row r="10">
          <cell r="AM10" t="str">
            <v>Argentina</v>
          </cell>
          <cell r="AN10" t="str">
            <v>Argentine</v>
          </cell>
          <cell r="AO10" t="str">
            <v>Аргентина</v>
          </cell>
        </row>
        <row r="11">
          <cell r="AM11" t="str">
            <v>Armenia</v>
          </cell>
          <cell r="AN11" t="str">
            <v>Arménie</v>
          </cell>
          <cell r="AO11" t="str">
            <v>Армения</v>
          </cell>
        </row>
        <row r="12">
          <cell r="AM12" t="str">
            <v>Aruba</v>
          </cell>
          <cell r="AN12" t="str">
            <v>Aruba</v>
          </cell>
          <cell r="AO12" t="str">
            <v>Аруба</v>
          </cell>
        </row>
        <row r="13">
          <cell r="AM13" t="str">
            <v>Australia</v>
          </cell>
          <cell r="AN13" t="str">
            <v>Australie</v>
          </cell>
          <cell r="AO13" t="str">
            <v>Австралия</v>
          </cell>
        </row>
        <row r="14">
          <cell r="AM14" t="str">
            <v>Austria</v>
          </cell>
          <cell r="AN14" t="str">
            <v>Autriche</v>
          </cell>
          <cell r="AO14" t="str">
            <v>Австрия</v>
          </cell>
        </row>
        <row r="15">
          <cell r="AM15" t="str">
            <v>Azerbaijan</v>
          </cell>
          <cell r="AN15" t="str">
            <v>Azerbaïdjan</v>
          </cell>
          <cell r="AO15" t="str">
            <v>Азербайджан</v>
          </cell>
        </row>
        <row r="16">
          <cell r="AM16" t="str">
            <v>Bahamas</v>
          </cell>
          <cell r="AN16" t="str">
            <v>Bahamas</v>
          </cell>
          <cell r="AO16" t="str">
            <v>Багамские о-ва</v>
          </cell>
        </row>
        <row r="17">
          <cell r="AM17" t="str">
            <v>Bahrain</v>
          </cell>
          <cell r="AN17" t="str">
            <v>Bahreïn</v>
          </cell>
          <cell r="AO17" t="str">
            <v>Бахрейн</v>
          </cell>
        </row>
        <row r="18">
          <cell r="AM18" t="str">
            <v>Bangladesh</v>
          </cell>
          <cell r="AN18" t="str">
            <v>Bangladesh</v>
          </cell>
          <cell r="AO18" t="str">
            <v>Бангладеш</v>
          </cell>
        </row>
        <row r="19">
          <cell r="AM19" t="str">
            <v>Barbados</v>
          </cell>
          <cell r="AN19" t="str">
            <v>Barbade</v>
          </cell>
          <cell r="AO19" t="str">
            <v>Барбадос</v>
          </cell>
        </row>
        <row r="20">
          <cell r="AM20" t="str">
            <v>Belarus</v>
          </cell>
          <cell r="AN20" t="str">
            <v>Biélorussie</v>
          </cell>
          <cell r="AO20" t="str">
            <v>Беларусь</v>
          </cell>
        </row>
        <row r="21">
          <cell r="AM21" t="str">
            <v>Belgium</v>
          </cell>
          <cell r="AN21" t="str">
            <v>Belgique</v>
          </cell>
          <cell r="AO21" t="str">
            <v>Бельгия</v>
          </cell>
        </row>
        <row r="22">
          <cell r="AM22" t="str">
            <v>Belize</v>
          </cell>
          <cell r="AN22" t="str">
            <v>Belize</v>
          </cell>
          <cell r="AO22" t="str">
            <v>Белиз</v>
          </cell>
        </row>
        <row r="23">
          <cell r="AM23" t="str">
            <v>Benin</v>
          </cell>
          <cell r="AN23" t="str">
            <v>Bénin</v>
          </cell>
          <cell r="AO23" t="str">
            <v>Бенин</v>
          </cell>
        </row>
        <row r="24">
          <cell r="AM24" t="str">
            <v>Bolivia</v>
          </cell>
          <cell r="AN24" t="str">
            <v>Bolivie</v>
          </cell>
          <cell r="AO24" t="str">
            <v>Боливия</v>
          </cell>
        </row>
        <row r="25">
          <cell r="AM25" t="str">
            <v>Bosnia and Herzegovina</v>
          </cell>
          <cell r="AN25" t="str">
            <v>Bosnie-Herzégovine</v>
          </cell>
          <cell r="AO25" t="str">
            <v>Босния и Герцеговина</v>
          </cell>
        </row>
        <row r="26">
          <cell r="AM26" t="str">
            <v>Brazil</v>
          </cell>
          <cell r="AN26" t="str">
            <v>Brésil</v>
          </cell>
          <cell r="AO26" t="str">
            <v>Бразилия</v>
          </cell>
        </row>
        <row r="27">
          <cell r="AM27" t="str">
            <v>British Virgin Islands</v>
          </cell>
          <cell r="AN27" t="str">
            <v>Îles Vierges britanniques</v>
          </cell>
          <cell r="AO27" t="str">
            <v>Британские Виргинские острова</v>
          </cell>
        </row>
        <row r="28">
          <cell r="AM28" t="str">
            <v>Brunei Darussalam</v>
          </cell>
          <cell r="AN28" t="str">
            <v>Brunei Darussalam</v>
          </cell>
          <cell r="AO28" t="str">
            <v>Бруней-Даруссалам</v>
          </cell>
        </row>
        <row r="29">
          <cell r="AM29" t="str">
            <v>Bulgaria</v>
          </cell>
          <cell r="AN29" t="str">
            <v>Bulgarie</v>
          </cell>
          <cell r="AO29" t="str">
            <v>Болгария</v>
          </cell>
        </row>
        <row r="30">
          <cell r="AM30" t="str">
            <v>Cambodia</v>
          </cell>
          <cell r="AN30" t="str">
            <v>Cambodge</v>
          </cell>
          <cell r="AO30" t="str">
            <v>Камбоджа</v>
          </cell>
        </row>
        <row r="31">
          <cell r="AM31" t="str">
            <v>Cameroon</v>
          </cell>
          <cell r="AN31" t="str">
            <v>Cameroun</v>
          </cell>
          <cell r="AO31" t="str">
            <v>Камерун</v>
          </cell>
        </row>
        <row r="32">
          <cell r="AM32" t="str">
            <v>Canada</v>
          </cell>
          <cell r="AN32" t="str">
            <v>Canada</v>
          </cell>
          <cell r="AO32" t="str">
            <v>Канада</v>
          </cell>
        </row>
        <row r="33">
          <cell r="AM33" t="str">
            <v>Cape Verde / Cabo Verde</v>
          </cell>
          <cell r="AN33" t="str">
            <v>Cap-Vert / Cabo Verde</v>
          </cell>
          <cell r="AO33" t="str">
            <v>Кабо-Верде / Кабо-Верде</v>
          </cell>
        </row>
        <row r="34">
          <cell r="AM34" t="str">
            <v>Chile</v>
          </cell>
          <cell r="AN34" t="str">
            <v>Chili</v>
          </cell>
          <cell r="AO34" t="str">
            <v>Чили</v>
          </cell>
        </row>
        <row r="35">
          <cell r="AM35" t="str">
            <v>China, People's Republic of</v>
          </cell>
          <cell r="AN35" t="str">
            <v>Chine, République populaire de</v>
          </cell>
          <cell r="AO35" t="str">
            <v>Китай, Народная Республика</v>
          </cell>
        </row>
        <row r="36">
          <cell r="AM36" t="str">
            <v>Colombia</v>
          </cell>
          <cell r="AN36" t="str">
            <v>Colombie</v>
          </cell>
          <cell r="AO36" t="str">
            <v>Колумбия</v>
          </cell>
        </row>
        <row r="37">
          <cell r="AM37" t="str">
            <v>Congo</v>
          </cell>
          <cell r="AN37" t="str">
            <v>Congo</v>
          </cell>
          <cell r="AO37" t="str">
            <v>Конго</v>
          </cell>
        </row>
        <row r="38">
          <cell r="AM38" t="str">
            <v>Costa Rica</v>
          </cell>
          <cell r="AN38" t="str">
            <v>Costa Rica</v>
          </cell>
          <cell r="AO38" t="str">
            <v>Коста-Рика</v>
          </cell>
        </row>
        <row r="39">
          <cell r="AM39" t="str">
            <v>Côte d’Ivoire</v>
          </cell>
          <cell r="AN39" t="str">
            <v>Côte d’Ivoire</v>
          </cell>
          <cell r="AO39" t="str">
            <v>Берег Слоновой Кости</v>
          </cell>
        </row>
        <row r="40">
          <cell r="AM40" t="str">
            <v>Croatia</v>
          </cell>
          <cell r="AN40" t="str">
            <v>Croatie</v>
          </cell>
          <cell r="AO40" t="str">
            <v>Хорватия</v>
          </cell>
        </row>
        <row r="41">
          <cell r="AM41" t="str">
            <v>Cuba</v>
          </cell>
          <cell r="AN41" t="str">
            <v>Cuba</v>
          </cell>
          <cell r="AO41" t="str">
            <v>Куба</v>
          </cell>
        </row>
        <row r="42">
          <cell r="AM42" t="str">
            <v>Curaçao</v>
          </cell>
          <cell r="AN42" t="str">
            <v>Curaçao</v>
          </cell>
          <cell r="AO42" t="str">
            <v>Кюрасао</v>
          </cell>
        </row>
        <row r="43">
          <cell r="AM43" t="str">
            <v>Cyprus</v>
          </cell>
          <cell r="AN43" t="str">
            <v>Chypre</v>
          </cell>
          <cell r="AO43" t="str">
            <v>Кипр</v>
          </cell>
        </row>
        <row r="44">
          <cell r="AM44" t="str">
            <v>Czech Republic</v>
          </cell>
          <cell r="AN44" t="str">
            <v>République tchèque</v>
          </cell>
          <cell r="AO44" t="str">
            <v>Чешская Республика</v>
          </cell>
        </row>
        <row r="45">
          <cell r="AM45" t="str">
            <v>Korea, Democratic People's Republic of</v>
          </cell>
          <cell r="AN45" t="str">
            <v>Corée, République populaire démocratique de</v>
          </cell>
          <cell r="AO45" t="str">
            <v>Корейская Народно-Демократическая Республика</v>
          </cell>
        </row>
        <row r="46">
          <cell r="AM46" t="str">
            <v>Congo, Democratic Republic of the</v>
          </cell>
          <cell r="AN46" t="str">
            <v>Congo, République démocratique du</v>
          </cell>
          <cell r="AO46" t="str">
            <v>Демократическая Республика Конго</v>
          </cell>
        </row>
        <row r="47">
          <cell r="AM47" t="str">
            <v>Denmark</v>
          </cell>
          <cell r="AN47" t="str">
            <v>Danemark</v>
          </cell>
          <cell r="AO47" t="str">
            <v>Дания</v>
          </cell>
        </row>
        <row r="48">
          <cell r="AM48" t="str">
            <v>Djibouti</v>
          </cell>
          <cell r="AN48" t="str">
            <v>Djibouti</v>
          </cell>
          <cell r="AO48" t="str">
            <v>Джибути</v>
          </cell>
        </row>
        <row r="49">
          <cell r="AM49" t="str">
            <v>Dominican Republic</v>
          </cell>
          <cell r="AN49" t="str">
            <v>République dominicaine</v>
          </cell>
          <cell r="AO49" t="str">
            <v>Доминиканская Республика</v>
          </cell>
        </row>
        <row r="50">
          <cell r="AM50" t="str">
            <v>Ecuador</v>
          </cell>
          <cell r="AN50" t="str">
            <v>Équateur</v>
          </cell>
          <cell r="AO50" t="str">
            <v>Эквадор</v>
          </cell>
        </row>
        <row r="51">
          <cell r="AM51" t="str">
            <v>Egypt</v>
          </cell>
          <cell r="AN51" t="str">
            <v>Égypte</v>
          </cell>
          <cell r="AO51" t="str">
            <v>Египет</v>
          </cell>
        </row>
        <row r="52">
          <cell r="AM52" t="str">
            <v>Equatorial Guinea</v>
          </cell>
          <cell r="AN52" t="str">
            <v>Guinée équatoriale</v>
          </cell>
          <cell r="AO52" t="str">
            <v>Экваториальная Гвинея</v>
          </cell>
        </row>
        <row r="53">
          <cell r="AM53" t="str">
            <v>Eritrea</v>
          </cell>
          <cell r="AN53" t="str">
            <v>Érythrée</v>
          </cell>
          <cell r="AO53" t="str">
            <v>Эритрея</v>
          </cell>
        </row>
        <row r="54">
          <cell r="AM54" t="str">
            <v>Estonia</v>
          </cell>
          <cell r="AN54" t="str">
            <v>Estonie</v>
          </cell>
          <cell r="AO54" t="str">
            <v>Эстония</v>
          </cell>
        </row>
        <row r="55">
          <cell r="AM55" t="str">
            <v>Ethiopia</v>
          </cell>
          <cell r="AN55" t="str">
            <v>Éthiopie</v>
          </cell>
          <cell r="AO55" t="str">
            <v>Эфиопия</v>
          </cell>
        </row>
        <row r="56">
          <cell r="AM56" t="str">
            <v>Finland</v>
          </cell>
          <cell r="AN56" t="str">
            <v>Finlande</v>
          </cell>
          <cell r="AO56" t="str">
            <v>Финляндия</v>
          </cell>
        </row>
        <row r="57">
          <cell r="AM57" t="str">
            <v>Macedonia, Former Yugoslav Republic of</v>
          </cell>
          <cell r="AN57" t="str">
            <v>Macédoine, Ex-République yougoslave de</v>
          </cell>
          <cell r="AO57" t="str">
            <v>Бывшая югославская Республика Македония</v>
          </cell>
        </row>
        <row r="58">
          <cell r="AM58" t="str">
            <v>France</v>
          </cell>
          <cell r="AN58" t="str">
            <v>France</v>
          </cell>
          <cell r="AO58" t="str">
            <v>Франция</v>
          </cell>
        </row>
        <row r="59">
          <cell r="AM59" t="str">
            <v>Gabon</v>
          </cell>
          <cell r="AN59" t="str">
            <v>Gabon</v>
          </cell>
          <cell r="AO59" t="str">
            <v>Габон</v>
          </cell>
        </row>
        <row r="60">
          <cell r="AM60" t="str">
            <v>Georgia</v>
          </cell>
          <cell r="AN60" t="str">
            <v>Géorgie</v>
          </cell>
          <cell r="AO60" t="str">
            <v>Грузия</v>
          </cell>
        </row>
        <row r="61">
          <cell r="AM61" t="str">
            <v>Germany</v>
          </cell>
          <cell r="AN61" t="str">
            <v>Allemagne</v>
          </cell>
          <cell r="AO61" t="str">
            <v>Германия</v>
          </cell>
        </row>
        <row r="62">
          <cell r="AM62" t="str">
            <v>Ghana</v>
          </cell>
          <cell r="AN62" t="str">
            <v>Ghana</v>
          </cell>
          <cell r="AO62" t="str">
            <v>Гана</v>
          </cell>
        </row>
        <row r="63">
          <cell r="AM63" t="str">
            <v>Gibraltar</v>
          </cell>
          <cell r="AN63" t="str">
            <v>Gibraltar</v>
          </cell>
          <cell r="AO63" t="str">
            <v>Гибралтар</v>
          </cell>
        </row>
        <row r="64">
          <cell r="AM64" t="str">
            <v>Greece</v>
          </cell>
          <cell r="AN64" t="str">
            <v>Grèce</v>
          </cell>
          <cell r="AO64" t="str">
            <v>Греция</v>
          </cell>
        </row>
        <row r="65">
          <cell r="AM65" t="str">
            <v>Guatemala</v>
          </cell>
          <cell r="AN65" t="str">
            <v>Guatemala</v>
          </cell>
          <cell r="AO65" t="str">
            <v>Гватемала</v>
          </cell>
        </row>
        <row r="66">
          <cell r="AM66" t="str">
            <v>Guinea-Bissau</v>
          </cell>
          <cell r="AN66" t="str">
            <v>Guinée-Bissau</v>
          </cell>
          <cell r="AO66" t="str">
            <v>Гвинея-Бисау</v>
          </cell>
        </row>
        <row r="67">
          <cell r="AM67" t="str">
            <v>Honduras</v>
          </cell>
          <cell r="AN67" t="str">
            <v>Honduras</v>
          </cell>
          <cell r="AO67" t="str">
            <v>Гондурас</v>
          </cell>
        </row>
        <row r="68">
          <cell r="AM68" t="str">
            <v>Hong Kong, China</v>
          </cell>
          <cell r="AN68" t="str">
            <v>Hong Kong, Chine</v>
          </cell>
          <cell r="AO68" t="str">
            <v>Гонконг, Китай</v>
          </cell>
        </row>
        <row r="69">
          <cell r="AM69" t="str">
            <v>Hungary</v>
          </cell>
          <cell r="AN69" t="str">
            <v>Hongrie</v>
          </cell>
          <cell r="AO69" t="str">
            <v>Венгрия</v>
          </cell>
        </row>
        <row r="70">
          <cell r="AM70" t="str">
            <v>Iceland</v>
          </cell>
          <cell r="AN70" t="str">
            <v>Islande</v>
          </cell>
          <cell r="AO70" t="str">
            <v>Исландия</v>
          </cell>
        </row>
        <row r="71">
          <cell r="AM71" t="str">
            <v>India</v>
          </cell>
          <cell r="AN71" t="str">
            <v>Inde</v>
          </cell>
          <cell r="AO71" t="str">
            <v>Индия</v>
          </cell>
        </row>
        <row r="72">
          <cell r="AM72" t="str">
            <v>Indonesia</v>
          </cell>
          <cell r="AN72" t="str">
            <v>Indonésie</v>
          </cell>
          <cell r="AO72" t="str">
            <v>Индонезия</v>
          </cell>
        </row>
        <row r="73">
          <cell r="AM73" t="str">
            <v>Iran, Islamic Republic of</v>
          </cell>
          <cell r="AN73" t="str">
            <v>Iran</v>
          </cell>
          <cell r="AO73" t="str">
            <v>Исламская Республика Иран</v>
          </cell>
        </row>
        <row r="74">
          <cell r="AM74" t="str">
            <v>Iraq</v>
          </cell>
          <cell r="AN74" t="str">
            <v>Iraq</v>
          </cell>
          <cell r="AO74" t="str">
            <v>Ирак</v>
          </cell>
        </row>
        <row r="75">
          <cell r="AM75" t="str">
            <v>Ireland</v>
          </cell>
          <cell r="AN75" t="str">
            <v>Irlande</v>
          </cell>
          <cell r="AO75" t="str">
            <v>Ирландия</v>
          </cell>
        </row>
        <row r="76">
          <cell r="AM76" t="str">
            <v>Israel</v>
          </cell>
          <cell r="AN76" t="str">
            <v>Israël</v>
          </cell>
          <cell r="AO76" t="str">
            <v>Израиль</v>
          </cell>
        </row>
        <row r="77">
          <cell r="AM77" t="str">
            <v>Italy</v>
          </cell>
          <cell r="AN77" t="str">
            <v>Italie</v>
          </cell>
          <cell r="AO77" t="str">
            <v>Италия</v>
          </cell>
        </row>
        <row r="78">
          <cell r="AM78" t="str">
            <v>Jamaica</v>
          </cell>
          <cell r="AN78" t="str">
            <v>Jamaïque</v>
          </cell>
          <cell r="AO78" t="str">
            <v>Ямайка</v>
          </cell>
        </row>
        <row r="79">
          <cell r="AM79" t="str">
            <v>Japan</v>
          </cell>
          <cell r="AN79" t="str">
            <v>Japon</v>
          </cell>
          <cell r="AO79" t="str">
            <v>Япония</v>
          </cell>
        </row>
        <row r="80">
          <cell r="AM80" t="str">
            <v>Jordan</v>
          </cell>
          <cell r="AN80" t="str">
            <v>Jordanie</v>
          </cell>
          <cell r="AO80" t="str">
            <v>Иордания</v>
          </cell>
        </row>
        <row r="81">
          <cell r="AM81" t="str">
            <v>Kazakhstan</v>
          </cell>
          <cell r="AN81" t="str">
            <v>Kazakhstan</v>
          </cell>
          <cell r="AO81" t="str">
            <v>Казахстан</v>
          </cell>
        </row>
        <row r="82">
          <cell r="AM82" t="str">
            <v>Kenya</v>
          </cell>
          <cell r="AN82" t="str">
            <v>Kenya</v>
          </cell>
          <cell r="AO82" t="str">
            <v>Кения</v>
          </cell>
        </row>
        <row r="83">
          <cell r="AM83" t="str">
            <v>Korea</v>
          </cell>
          <cell r="AN83" t="str">
            <v>Corée</v>
          </cell>
          <cell r="AO83" t="str">
            <v>Корея</v>
          </cell>
        </row>
        <row r="84">
          <cell r="AM84" t="str">
            <v>Kosovo*</v>
          </cell>
          <cell r="AN84" t="str">
            <v>Kosovo*</v>
          </cell>
          <cell r="AO84" t="str">
            <v>Косово*</v>
          </cell>
        </row>
        <row r="85">
          <cell r="AM85" t="str">
            <v>Kuwait</v>
          </cell>
          <cell r="AN85" t="str">
            <v>Koweït</v>
          </cell>
          <cell r="AO85" t="str">
            <v>Кувейт</v>
          </cell>
        </row>
        <row r="86">
          <cell r="AM86" t="str">
            <v>Kyrgyzstan</v>
          </cell>
          <cell r="AN86" t="str">
            <v>Kirghizistan</v>
          </cell>
          <cell r="AO86" t="str">
            <v>Киргизия</v>
          </cell>
        </row>
        <row r="87">
          <cell r="AM87" t="str">
            <v>Lao People's Democratic Republic</v>
          </cell>
          <cell r="AN87" t="str">
            <v>Laos</v>
          </cell>
          <cell r="AO87" t="str">
            <v>Лаосская Народно-Демократическая Республика</v>
          </cell>
        </row>
        <row r="88">
          <cell r="AM88" t="str">
            <v>Latvia</v>
          </cell>
          <cell r="AN88" t="str">
            <v>Lettonie</v>
          </cell>
          <cell r="AO88" t="str">
            <v>Латвия</v>
          </cell>
        </row>
        <row r="89">
          <cell r="AM89" t="str">
            <v>Lebanon</v>
          </cell>
          <cell r="AN89" t="str">
            <v>Liban</v>
          </cell>
          <cell r="AO89" t="str">
            <v>Ливан</v>
          </cell>
        </row>
        <row r="90">
          <cell r="AM90" t="str">
            <v>Liberia</v>
          </cell>
          <cell r="AN90" t="str">
            <v>Libéria</v>
          </cell>
          <cell r="AO90" t="str">
            <v>Либерия</v>
          </cell>
        </row>
        <row r="91">
          <cell r="AM91" t="str">
            <v>Libya</v>
          </cell>
          <cell r="AN91" t="str">
            <v>Libye</v>
          </cell>
          <cell r="AO91" t="str">
            <v>Ливия</v>
          </cell>
        </row>
        <row r="92">
          <cell r="AM92" t="str">
            <v>Liechtenstein</v>
          </cell>
          <cell r="AN92" t="str">
            <v>Liechtenstein</v>
          </cell>
          <cell r="AO92" t="str">
            <v>Лихтенштейн</v>
          </cell>
        </row>
        <row r="93">
          <cell r="AM93" t="str">
            <v>Lithuania</v>
          </cell>
          <cell r="AN93" t="str">
            <v>Lituanie</v>
          </cell>
          <cell r="AO93" t="str">
            <v>Литва</v>
          </cell>
        </row>
        <row r="94">
          <cell r="AM94" t="str">
            <v>Luxembourg</v>
          </cell>
          <cell r="AN94" t="str">
            <v>Luxembourg</v>
          </cell>
          <cell r="AO94" t="str">
            <v>Люксембург</v>
          </cell>
        </row>
        <row r="95">
          <cell r="AM95" t="str">
            <v>Madagascar</v>
          </cell>
          <cell r="AN95" t="str">
            <v>Madagascar</v>
          </cell>
          <cell r="AO95" t="str">
            <v>Мадагаскар</v>
          </cell>
        </row>
        <row r="96">
          <cell r="AM96" t="str">
            <v>Malaysia</v>
          </cell>
          <cell r="AN96" t="str">
            <v>Malaisie</v>
          </cell>
          <cell r="AO96" t="str">
            <v>Малайзия</v>
          </cell>
        </row>
        <row r="97">
          <cell r="AM97" t="str">
            <v>Malta</v>
          </cell>
          <cell r="AN97" t="str">
            <v>Malte</v>
          </cell>
          <cell r="AO97" t="str">
            <v>Мальта</v>
          </cell>
        </row>
        <row r="98">
          <cell r="AM98" t="str">
            <v>Marshall Islands</v>
          </cell>
          <cell r="AN98" t="str">
            <v>Îles Marshall</v>
          </cell>
          <cell r="AO98" t="str">
            <v>Маршалловы острова</v>
          </cell>
        </row>
        <row r="99">
          <cell r="AM99" t="str">
            <v>Mauritania</v>
          </cell>
          <cell r="AN99" t="str">
            <v>Mauritanie</v>
          </cell>
          <cell r="AO99" t="str">
            <v>Мавритания</v>
          </cell>
        </row>
        <row r="100">
          <cell r="AM100" t="str">
            <v>Mauritius</v>
          </cell>
          <cell r="AN100" t="str">
            <v>Maurice</v>
          </cell>
          <cell r="AO100" t="str">
            <v>Маврикий</v>
          </cell>
        </row>
        <row r="101">
          <cell r="AM101" t="str">
            <v>Mexico</v>
          </cell>
          <cell r="AN101" t="str">
            <v>Mexique</v>
          </cell>
          <cell r="AO101" t="str">
            <v>Мексика</v>
          </cell>
        </row>
        <row r="102">
          <cell r="AM102" t="str">
            <v>Moldova, Republic of</v>
          </cell>
          <cell r="AN102" t="str">
            <v>Moldavie, République de</v>
          </cell>
          <cell r="AO102" t="str">
            <v>Молдова</v>
          </cell>
        </row>
        <row r="103">
          <cell r="AM103" t="str">
            <v>Mongolia</v>
          </cell>
          <cell r="AN103" t="str">
            <v>Mongolie</v>
          </cell>
          <cell r="AO103" t="str">
            <v>Монголия</v>
          </cell>
        </row>
        <row r="104">
          <cell r="AM104" t="str">
            <v>Montenegro</v>
          </cell>
          <cell r="AN104" t="str">
            <v>Monténégro</v>
          </cell>
          <cell r="AO104" t="str">
            <v>Черногория</v>
          </cell>
        </row>
        <row r="105">
          <cell r="AM105" t="str">
            <v>Morocco</v>
          </cell>
          <cell r="AN105" t="str">
            <v>Maroc</v>
          </cell>
          <cell r="AO105" t="str">
            <v>Марокко</v>
          </cell>
        </row>
        <row r="106">
          <cell r="AM106" t="str">
            <v>Mozambique</v>
          </cell>
          <cell r="AN106" t="str">
            <v>Mozambique</v>
          </cell>
          <cell r="AO106" t="str">
            <v>Мозамбик</v>
          </cell>
        </row>
        <row r="107">
          <cell r="AM107" t="str">
            <v>Myanmar</v>
          </cell>
          <cell r="AN107" t="str">
            <v>Myanmar</v>
          </cell>
          <cell r="AO107" t="str">
            <v>Мьянма</v>
          </cell>
        </row>
        <row r="108">
          <cell r="AM108" t="str">
            <v>Namibia</v>
          </cell>
          <cell r="AN108" t="str">
            <v>Namibie</v>
          </cell>
          <cell r="AO108" t="str">
            <v>Намибия</v>
          </cell>
        </row>
        <row r="109">
          <cell r="AM109" t="str">
            <v>Nepal</v>
          </cell>
          <cell r="AN109" t="str">
            <v>Népal</v>
          </cell>
          <cell r="AO109" t="str">
            <v>Непал</v>
          </cell>
        </row>
        <row r="110">
          <cell r="AM110" t="str">
            <v>Netherlands</v>
          </cell>
          <cell r="AN110" t="str">
            <v>Pays-Bas</v>
          </cell>
          <cell r="AO110" t="str">
            <v>Нидерланды</v>
          </cell>
        </row>
        <row r="111">
          <cell r="AM111" t="str">
            <v>New Caledonia</v>
          </cell>
          <cell r="AN111" t="str">
            <v>Nouvelle-Calédonie</v>
          </cell>
          <cell r="AO111" t="str">
            <v>Новая Каледония</v>
          </cell>
        </row>
        <row r="112">
          <cell r="AM112" t="str">
            <v>New Zealand</v>
          </cell>
          <cell r="AN112" t="str">
            <v>Nouvelle-Zélande</v>
          </cell>
          <cell r="AO112" t="str">
            <v>Новая Зеландия</v>
          </cell>
        </row>
        <row r="113">
          <cell r="AM113" t="str">
            <v>Nigeria</v>
          </cell>
          <cell r="AN113" t="str">
            <v>Nigéria</v>
          </cell>
          <cell r="AO113" t="str">
            <v>Нигерия</v>
          </cell>
        </row>
        <row r="114">
          <cell r="AM114" t="str">
            <v>Norway</v>
          </cell>
          <cell r="AN114" t="str">
            <v>Norvège</v>
          </cell>
          <cell r="AO114" t="str">
            <v>Норвегия</v>
          </cell>
        </row>
        <row r="115">
          <cell r="AM115" t="str">
            <v>Oman</v>
          </cell>
          <cell r="AN115" t="str">
            <v>Oman</v>
          </cell>
          <cell r="AO115" t="str">
            <v>Оман</v>
          </cell>
        </row>
        <row r="116">
          <cell r="AM116" t="str">
            <v>Other Africa</v>
          </cell>
          <cell r="AN116" t="str">
            <v>Autres Afrique</v>
          </cell>
          <cell r="AO116" t="str">
            <v>Другие страны Африки</v>
          </cell>
        </row>
        <row r="117">
          <cell r="AM117" t="str">
            <v>Other Asia Oceania</v>
          </cell>
          <cell r="AN117" t="str">
            <v>Autres Asie Océanie</v>
          </cell>
          <cell r="AO117" t="str">
            <v>Другие Азия Океания</v>
          </cell>
        </row>
        <row r="118">
          <cell r="AM118" t="str">
            <v>Other Europe</v>
          </cell>
          <cell r="AN118" t="str">
            <v>Autres Europe</v>
          </cell>
          <cell r="AO118" t="str">
            <v>Другая Европа</v>
          </cell>
        </row>
        <row r="119">
          <cell r="AM119" t="str">
            <v>Other Former Soviet Union</v>
          </cell>
          <cell r="AN119" t="str">
            <v>Autres ex-Union soviétique</v>
          </cell>
          <cell r="AO119" t="str">
            <v>Другой бывший Советский Союз</v>
          </cell>
        </row>
        <row r="120">
          <cell r="AM120" t="str">
            <v>Other Near and Middle East</v>
          </cell>
          <cell r="AN120" t="str">
            <v>Autres Proche et Moyen-Orient</v>
          </cell>
          <cell r="AO120" t="str">
            <v>Другие Ближний и Средний Восток</v>
          </cell>
        </row>
        <row r="121">
          <cell r="AM121" t="str">
            <v>Other Non-OECD Americas</v>
          </cell>
          <cell r="AN121" t="str">
            <v>Autres Amériques Non-OCDE</v>
          </cell>
          <cell r="AO121" t="str">
            <v>Другие страны, не входящие в ОЭСР</v>
          </cell>
        </row>
        <row r="122">
          <cell r="AM122" t="str">
            <v>Pakistan</v>
          </cell>
          <cell r="AN122" t="str">
            <v>Pakistan</v>
          </cell>
          <cell r="AO122" t="str">
            <v>Пакистан</v>
          </cell>
        </row>
        <row r="123">
          <cell r="AM123" t="str">
            <v>Panama</v>
          </cell>
          <cell r="AN123" t="str">
            <v>Panama</v>
          </cell>
          <cell r="AO123" t="str">
            <v>Панама</v>
          </cell>
        </row>
        <row r="124">
          <cell r="AM124" t="str">
            <v>Papua New Guinea</v>
          </cell>
          <cell r="AN124" t="str">
            <v>Papouasie-Nouvelle-Guinée</v>
          </cell>
          <cell r="AO124" t="str">
            <v>Папуа - Новая Гвинея</v>
          </cell>
        </row>
        <row r="125">
          <cell r="AM125" t="str">
            <v>Peru</v>
          </cell>
          <cell r="AN125" t="str">
            <v>Pérou</v>
          </cell>
          <cell r="AO125" t="str">
            <v>Перу</v>
          </cell>
        </row>
        <row r="126">
          <cell r="AM126" t="str">
            <v>Philippines</v>
          </cell>
          <cell r="AN126" t="str">
            <v>Philippines</v>
          </cell>
          <cell r="AO126" t="str">
            <v>Филиппины</v>
          </cell>
        </row>
        <row r="127">
          <cell r="AM127" t="str">
            <v>Poland</v>
          </cell>
          <cell r="AN127" t="str">
            <v>Pologne</v>
          </cell>
          <cell r="AO127" t="str">
            <v>Польша</v>
          </cell>
        </row>
        <row r="128">
          <cell r="AM128" t="str">
            <v>Portugal</v>
          </cell>
          <cell r="AN128" t="str">
            <v>Portugal</v>
          </cell>
          <cell r="AO128" t="str">
            <v>Португалия</v>
          </cell>
        </row>
        <row r="129">
          <cell r="AM129" t="str">
            <v>Qatar</v>
          </cell>
          <cell r="AN129" t="str">
            <v>Qatar</v>
          </cell>
          <cell r="AO129" t="str">
            <v>Катар</v>
          </cell>
        </row>
        <row r="130">
          <cell r="AM130" t="str">
            <v>Romania</v>
          </cell>
          <cell r="AN130" t="str">
            <v>Roumanie</v>
          </cell>
          <cell r="AO130" t="str">
            <v>Румыния</v>
          </cell>
        </row>
        <row r="131">
          <cell r="AM131" t="str">
            <v>Russian Federation</v>
          </cell>
          <cell r="AN131" t="str">
            <v>Fédération de Russie</v>
          </cell>
          <cell r="AO131" t="str">
            <v>Российская Федерация</v>
          </cell>
        </row>
        <row r="132">
          <cell r="AM132" t="str">
            <v>Sao Tome and Principe</v>
          </cell>
          <cell r="AN132" t="str">
            <v>Sao Tomé-et-Principe</v>
          </cell>
          <cell r="AO132" t="str">
            <v>Сан-Томе и Принсипи</v>
          </cell>
        </row>
        <row r="133">
          <cell r="AM133" t="str">
            <v>Saudi Arabia</v>
          </cell>
          <cell r="AN133" t="str">
            <v>Arabie saoudite</v>
          </cell>
          <cell r="AO133" t="str">
            <v>Саудовская Аравия</v>
          </cell>
        </row>
        <row r="134">
          <cell r="AM134" t="str">
            <v>Senegal</v>
          </cell>
          <cell r="AN134" t="str">
            <v>Sénégal</v>
          </cell>
          <cell r="AO134" t="str">
            <v>Сенегал</v>
          </cell>
        </row>
        <row r="135">
          <cell r="AM135" t="str">
            <v>Serbia</v>
          </cell>
          <cell r="AN135" t="str">
            <v>Serbie</v>
          </cell>
          <cell r="AO135" t="str">
            <v>Сербия</v>
          </cell>
        </row>
        <row r="136">
          <cell r="AM136" t="str">
            <v>Sierra Leone</v>
          </cell>
          <cell r="AN136" t="str">
            <v>Sierra Leone</v>
          </cell>
          <cell r="AO136" t="str">
            <v>Сьерра-Леоне</v>
          </cell>
        </row>
        <row r="137">
          <cell r="AM137" t="str">
            <v>Singapore</v>
          </cell>
          <cell r="AN137" t="str">
            <v>Singapour</v>
          </cell>
          <cell r="AO137" t="str">
            <v>Сингапур</v>
          </cell>
        </row>
        <row r="138">
          <cell r="AM138" t="str">
            <v>Slovak Republic</v>
          </cell>
          <cell r="AN138" t="str">
            <v>République slovaque</v>
          </cell>
          <cell r="AO138" t="str">
            <v>Словацкая Республика</v>
          </cell>
        </row>
        <row r="139">
          <cell r="AM139" t="str">
            <v>Slovenia</v>
          </cell>
          <cell r="AN139" t="str">
            <v>Slovénie</v>
          </cell>
          <cell r="AO139" t="str">
            <v>Словения</v>
          </cell>
        </row>
        <row r="140">
          <cell r="AM140" t="str">
            <v>South Africa</v>
          </cell>
          <cell r="AN140" t="str">
            <v>Afrique du Sud</v>
          </cell>
          <cell r="AO140" t="str">
            <v>Южная Африка</v>
          </cell>
        </row>
        <row r="141">
          <cell r="AM141" t="str">
            <v>South Sudan</v>
          </cell>
          <cell r="AN141" t="str">
            <v>Soudan du Sud</v>
          </cell>
          <cell r="AO141" t="str">
            <v>южный Судан</v>
          </cell>
        </row>
        <row r="142">
          <cell r="AM142" t="str">
            <v>Spain</v>
          </cell>
          <cell r="AN142" t="str">
            <v>Espagne</v>
          </cell>
          <cell r="AO142" t="str">
            <v>Испания</v>
          </cell>
        </row>
        <row r="143">
          <cell r="AM143" t="str">
            <v>Sri Lanka</v>
          </cell>
          <cell r="AN143" t="str">
            <v>Sri Lanka</v>
          </cell>
          <cell r="AO143" t="str">
            <v>Шри-Ланка</v>
          </cell>
        </row>
        <row r="144">
          <cell r="AM144" t="str">
            <v>Sudan</v>
          </cell>
          <cell r="AN144" t="str">
            <v>Soudan</v>
          </cell>
          <cell r="AO144" t="str">
            <v>Судан</v>
          </cell>
        </row>
        <row r="145">
          <cell r="AM145" t="str">
            <v>Sweden</v>
          </cell>
          <cell r="AN145" t="str">
            <v>Suède</v>
          </cell>
          <cell r="AO145" t="str">
            <v>Швеция</v>
          </cell>
        </row>
        <row r="146">
          <cell r="AM146" t="str">
            <v>Switzerland</v>
          </cell>
          <cell r="AN146" t="str">
            <v>Suisse</v>
          </cell>
          <cell r="AO146" t="str">
            <v>Швейцария</v>
          </cell>
        </row>
        <row r="147">
          <cell r="AM147" t="str">
            <v>Syrian Arab Republic</v>
          </cell>
          <cell r="AN147" t="str">
            <v>Syrie</v>
          </cell>
          <cell r="AO147" t="str">
            <v>Сирийская Арабская Республика</v>
          </cell>
        </row>
        <row r="148">
          <cell r="AM148" t="str">
            <v>Taiwan / Chinese Taipei</v>
          </cell>
          <cell r="AN148" t="str">
            <v>Taïwan / Taipei chinois</v>
          </cell>
          <cell r="AO148" t="str">
            <v>Тайвань / Китайский Тайбэй</v>
          </cell>
        </row>
        <row r="149">
          <cell r="AM149" t="str">
            <v>Tajikistan</v>
          </cell>
          <cell r="AN149" t="str">
            <v>Tadjikistan</v>
          </cell>
          <cell r="AO149" t="str">
            <v>Таджикистан</v>
          </cell>
        </row>
        <row r="150">
          <cell r="AM150" t="str">
            <v>Tanzania, United Republic of</v>
          </cell>
          <cell r="AN150" t="str">
            <v>Tanzanie, République Unie de</v>
          </cell>
          <cell r="AO150" t="str">
            <v>Танзания</v>
          </cell>
        </row>
        <row r="151">
          <cell r="AM151" t="str">
            <v>Thailand</v>
          </cell>
          <cell r="AN151" t="str">
            <v>Thaïlande</v>
          </cell>
          <cell r="AO151" t="str">
            <v>Таиланд</v>
          </cell>
        </row>
        <row r="152">
          <cell r="AM152" t="str">
            <v>Timor-Leste</v>
          </cell>
          <cell r="AN152" t="str">
            <v>Timor-Leste</v>
          </cell>
          <cell r="AO152" t="str">
            <v>Восточный Тимор</v>
          </cell>
        </row>
        <row r="153">
          <cell r="AM153" t="str">
            <v>Togo</v>
          </cell>
          <cell r="AN153" t="str">
            <v>Togo</v>
          </cell>
          <cell r="AO153" t="str">
            <v>Идти</v>
          </cell>
        </row>
        <row r="154">
          <cell r="AM154" t="str">
            <v>Trinidad and Tobago</v>
          </cell>
          <cell r="AN154" t="str">
            <v>Trinité-et-Tobago</v>
          </cell>
          <cell r="AO154" t="str">
            <v>Тринидад и Тобаго</v>
          </cell>
        </row>
        <row r="155">
          <cell r="AM155" t="str">
            <v>Tunisia</v>
          </cell>
          <cell r="AN155" t="str">
            <v>Tunisie</v>
          </cell>
          <cell r="AO155" t="str">
            <v>Тунис</v>
          </cell>
        </row>
        <row r="156">
          <cell r="AM156" t="str">
            <v>Turkey</v>
          </cell>
          <cell r="AN156" t="str">
            <v>Turquie</v>
          </cell>
          <cell r="AO156" t="str">
            <v>Турция</v>
          </cell>
        </row>
        <row r="157">
          <cell r="AM157" t="str">
            <v>Turkmenistan</v>
          </cell>
          <cell r="AN157" t="str">
            <v>Turkménistan</v>
          </cell>
          <cell r="AO157" t="str">
            <v>Туркменистан</v>
          </cell>
        </row>
        <row r="158">
          <cell r="AM158" t="str">
            <v>Uganda</v>
          </cell>
          <cell r="AN158" t="str">
            <v>Ouganda</v>
          </cell>
          <cell r="AO158" t="str">
            <v>Уганда</v>
          </cell>
        </row>
        <row r="159">
          <cell r="AM159" t="str">
            <v>Ukraine</v>
          </cell>
          <cell r="AN159" t="str">
            <v>Ukraine</v>
          </cell>
          <cell r="AO159" t="str">
            <v>Украина</v>
          </cell>
        </row>
        <row r="160">
          <cell r="AM160" t="str">
            <v>United Arab Emirates</v>
          </cell>
          <cell r="AN160" t="str">
            <v>Émirats arabes unis</v>
          </cell>
          <cell r="AO160" t="str">
            <v>Объединенные Арабские Эмираты</v>
          </cell>
        </row>
        <row r="161">
          <cell r="AM161" t="str">
            <v>United Kingdom</v>
          </cell>
          <cell r="AN161" t="str">
            <v>Royaume-Uni</v>
          </cell>
          <cell r="AO161" t="str">
            <v>Великобритания</v>
          </cell>
        </row>
        <row r="162">
          <cell r="AM162" t="str">
            <v>United States</v>
          </cell>
          <cell r="AN162" t="str">
            <v>États-Unis</v>
          </cell>
          <cell r="AO162" t="str">
            <v>Соединенные Штаты</v>
          </cell>
        </row>
        <row r="163">
          <cell r="AM163" t="str">
            <v>Uruguay</v>
          </cell>
          <cell r="AN163" t="str">
            <v>Uruguay</v>
          </cell>
          <cell r="AO163" t="str">
            <v>Уругвай</v>
          </cell>
        </row>
        <row r="164">
          <cell r="AM164" t="str">
            <v>Uzbekistan</v>
          </cell>
          <cell r="AN164" t="str">
            <v>Ouzbékistan</v>
          </cell>
          <cell r="AO164" t="str">
            <v>Узбекистан</v>
          </cell>
        </row>
        <row r="165">
          <cell r="AM165" t="str">
            <v>Venezuela, Bolivarian Republic</v>
          </cell>
          <cell r="AN165" t="str">
            <v>Venezuela, République bolivarienne</v>
          </cell>
          <cell r="AO165" t="str">
            <v>Венесуэла</v>
          </cell>
        </row>
        <row r="166">
          <cell r="AM166" t="str">
            <v>Viet Nam</v>
          </cell>
          <cell r="AN166" t="str">
            <v>Viet Nam</v>
          </cell>
          <cell r="AO166" t="str">
            <v>Вьетнам</v>
          </cell>
        </row>
        <row r="167">
          <cell r="AM167" t="str">
            <v>Yemen</v>
          </cell>
          <cell r="AN167" t="str">
            <v>Yémen</v>
          </cell>
          <cell r="AO167" t="str">
            <v>Йемен</v>
          </cell>
        </row>
        <row r="168">
          <cell r="AM168" t="str">
            <v>Not elsewhere specified</v>
          </cell>
          <cell r="AN168" t="str">
            <v xml:space="preserve">Non spécifié ailleurs </v>
          </cell>
          <cell r="AO168" t="str">
            <v>В другом месте не указано</v>
          </cell>
        </row>
        <row r="169">
          <cell r="AM169" t="str">
            <v>Total Exports (Trade)</v>
          </cell>
          <cell r="AN169" t="str">
            <v>Total des exportations</v>
          </cell>
          <cell r="AO169" t="str">
            <v>ВСЕГО</v>
          </cell>
        </row>
        <row r="170">
          <cell r="AM170" t="str">
            <v>Please report exports of indigenous production only.</v>
          </cell>
          <cell r="AN170" t="str">
            <v>Veuillez rapporter les exportations de production nationale uniquement.</v>
          </cell>
          <cell r="AO170" t="str">
            <v>Пожалуйста, сообщайте об экспорте продукции местного производства.</v>
          </cell>
        </row>
        <row r="171">
          <cell r="AM171" t="str">
            <v>Rows 111 to 116, and 163:  Please specify on the Remarks page.</v>
          </cell>
          <cell r="AN171" t="str">
            <v>Lignes 111 à 116, et 163 : Veuillez préciser à la page réservée aux remarques.</v>
          </cell>
          <cell r="AO171" t="str">
            <v>Строки от 111 до 116 и 163: Пожалуйста, укажите на странице «Комментарии».</v>
          </cell>
        </row>
        <row r="172">
          <cell r="AM172" t="str">
            <v>Row 164: This row should correspond to Exports in Table 1.</v>
          </cell>
          <cell r="AN172" t="str">
            <v>Ligne 164 : Cette ligne doit correspondre aux exportations dans le tableau 1.</v>
          </cell>
          <cell r="AO172" t="str">
            <v>Строка 164: эта строка должна соответствовать Exports в таблице 1.</v>
          </cell>
        </row>
        <row r="173">
          <cell r="AM173" t="str">
            <v>* This designation is without prejudice to positions on status, and is line with UNSCR 1244 and the ICJ Opinion on the Kosovo declaration of independence.</v>
          </cell>
          <cell r="AN173" t="str">
            <v>* Cette désignation est sans préjudice des positions sur le statut, et est conforme à la résolution 1244 du Conseil de sécurité des Nations Unies et à l'avis de la CIJ sur la déclaration d'indépendance du Kosovo.</v>
          </cell>
          <cell r="AO173" t="str">
            <v>* Это обозначение не наносит ущерба позициям по статусу и соответствует положениям резолюции 1244 СБ ООН и МЮ по косовской декларации о независимости.</v>
          </cell>
        </row>
        <row r="200">
          <cell r="E200" t="str">
            <v>Million m3</v>
          </cell>
          <cell r="G200" t="str">
            <v>TJ (GCV)</v>
          </cell>
        </row>
        <row r="201">
          <cell r="E201" t="str">
            <v>Millions de m3</v>
          </cell>
          <cell r="G201" t="str">
            <v>TJ (PCS)</v>
          </cell>
        </row>
        <row r="202">
          <cell r="E202" t="str">
            <v>Млн. куб. М</v>
          </cell>
          <cell r="G202" t="str">
            <v>ТДж (ВТС)</v>
          </cell>
        </row>
        <row r="210">
          <cell r="E210" t="str">
            <v>Total imports</v>
          </cell>
          <cell r="F210" t="str">
            <v>of which: LNG</v>
          </cell>
          <cell r="G210" t="str">
            <v>Total exports</v>
          </cell>
          <cell r="H210" t="str">
            <v>of which: LNG</v>
          </cell>
        </row>
        <row r="211">
          <cell r="E211" t="str">
            <v>Importations totales</v>
          </cell>
          <cell r="F211" t="str">
            <v>dont: GNL</v>
          </cell>
          <cell r="G211" t="str">
            <v>Exportations totales</v>
          </cell>
          <cell r="H211" t="str">
            <v>dont: GNL</v>
          </cell>
        </row>
        <row r="212">
          <cell r="E212" t="str">
            <v>Импорт всего</v>
          </cell>
          <cell r="F212" t="str">
            <v>из которого СПГ</v>
          </cell>
          <cell r="G212" t="str">
            <v>Экспорт всего</v>
          </cell>
          <cell r="H212" t="str">
            <v>из которого СПГ</v>
          </cell>
        </row>
      </sheetData>
      <sheetData sheetId="8">
        <row r="1">
          <cell r="AF1" t="str">
            <v>TIME: end-2018</v>
          </cell>
          <cell r="AG1" t="str">
            <v>PERIODE : Fin 2018</v>
          </cell>
          <cell r="AH1" t="str">
            <v>ПЕРИОД : Конец 2018</v>
          </cell>
        </row>
        <row r="2">
          <cell r="AF2" t="str">
            <v>TABLE 5a - GASEOUS GAS STORAGE CAPACITY</v>
          </cell>
          <cell r="AG2" t="str">
            <v>TABLEAU 5a - CAPACITE DE STOCKAGE DU GAZ (ETAT GAZEUX)</v>
          </cell>
          <cell r="AH2" t="str">
            <v>ТАБЛИЦА 5a - ЁМКОСТЬ ХРАНИЛИЩ ГАЗА В ГАЗООБРАЗНОМ СОСТОЯНИИ</v>
          </cell>
        </row>
        <row r="106">
          <cell r="AF106" t="str">
            <v>TOTAL</v>
          </cell>
          <cell r="AG106" t="str">
            <v>TOTAL</v>
          </cell>
          <cell r="AH106" t="str">
            <v>ВСЕГО</v>
          </cell>
        </row>
        <row r="108">
          <cell r="AF108" t="str">
            <v xml:space="preserve">Type: For gaseous gas indicate whether it is a depleted field, aquifer or salt cavity. </v>
          </cell>
          <cell r="AG108" t="str">
            <v>Type : Pour le gaz gazeux indiquer s'il s'agit d'un gisement déplété, d'une nappe aquifère ou d'une cavité saline.</v>
          </cell>
          <cell r="AH108" t="str">
            <v xml:space="preserve">Тип: Для газа в газообразном состоянии укажите, идет ли речь об истощённом месторождении, водоносном горизонте или соляной полости. </v>
          </cell>
        </row>
        <row r="110">
          <cell r="AF110" t="str">
            <v>Working gas capacity : total gas storage capacity minus cushion gas.</v>
          </cell>
          <cell r="AG110" t="str">
            <v>Capacité utile en gaz : capacité totale de stockage du gaz moins le gaz coussin.</v>
          </cell>
          <cell r="AH110" t="str">
            <v>Рабочая вместимость: общая ёмкость хранилища за вычетом буферного газа.</v>
          </cell>
        </row>
        <row r="111">
          <cell r="AF111" t="str">
            <v xml:space="preserve">     Cushion gas : total volume of gas required as a permanent inventory to maintain adequate</v>
          </cell>
          <cell r="AG111" t="str">
            <v xml:space="preserve">     Gaz coussin : Volume total de gaz nécessaire en permanence pour maintenir les pressions satisfaisantes</v>
          </cell>
          <cell r="AH111" t="str">
            <v xml:space="preserve">     Буферный газ: общий объём постоянного запаса газа, необходимого для поддержания надлежащего давления </v>
          </cell>
        </row>
        <row r="112">
          <cell r="AF112" t="str">
            <v xml:space="preserve">     underground storage reservoir pressures and deliverability rates throughout the output cycle.</v>
          </cell>
          <cell r="AG112" t="str">
            <v xml:space="preserve">     dans les réservoirs souterrains de stockage et des taux satisfaisants de livraison tout au long du cycle de déstockage.</v>
          </cell>
          <cell r="AH112" t="str">
            <v xml:space="preserve"> в резервуарах подземного хранилища и давления выдачи газа на протяжении всего цикла выдачи.</v>
          </cell>
        </row>
        <row r="113">
          <cell r="AF113" t="str">
            <v>Peak output: the maximum rate at which gas can be withdrawn from storage.</v>
          </cell>
          <cell r="AG113" t="str">
            <v>Débit maximal: taux maximum auquel le gaz peut être déstocké.</v>
          </cell>
          <cell r="AH113" t="str">
            <v>Пиковая выдача: максимальная скорость, с которой можно извлекать газ из хранилища.</v>
          </cell>
        </row>
        <row r="114">
          <cell r="AF114" t="str">
            <v>If data are not available for this period, please report the latest available data and indicate the relevant period.</v>
          </cell>
          <cell r="AG114" t="str">
            <v>Si les données ne sont pas encore disponibles pour cette période, veuillez reporter les données les plus récentes et indiquer la période correspondante.</v>
          </cell>
          <cell r="AH114" t="str">
            <v>Если данные для этого периода недоступны, просим сообщить последние доступные данные и указать соответствующий период.</v>
          </cell>
        </row>
        <row r="150">
          <cell r="C150" t="str">
            <v>Name</v>
          </cell>
          <cell r="D150" t="str">
            <v>Type</v>
          </cell>
          <cell r="E150" t="str">
            <v>Storage capacity
(million cubic metres)</v>
          </cell>
          <cell r="F150" t="str">
            <v>Peak output
(mcm/day)</v>
          </cell>
          <cell r="AA150" t="str">
            <v>Name</v>
          </cell>
          <cell r="AB150" t="str">
            <v>Type</v>
          </cell>
          <cell r="AC150" t="str">
            <v>Storage capacity
(million cubic metres)</v>
          </cell>
          <cell r="AD150" t="str">
            <v>Peak output
(mcm/day)</v>
          </cell>
        </row>
        <row r="151">
          <cell r="C151" t="str">
            <v>Nom</v>
          </cell>
          <cell r="D151" t="str">
            <v>Type</v>
          </cell>
          <cell r="E151" t="str">
            <v xml:space="preserve">Capacité de stockage
(millions de mètres cube) </v>
          </cell>
          <cell r="F151" t="str">
            <v>Débit maximal
(mcm/jour)</v>
          </cell>
          <cell r="AA151" t="str">
            <v>Nom</v>
          </cell>
          <cell r="AB151" t="str">
            <v>Type</v>
          </cell>
          <cell r="AC151" t="str">
            <v>Capacité de stockage
(millions de mètres cubes)</v>
          </cell>
          <cell r="AD151" t="str">
            <v>Pic de sortie
(mcm / jour)</v>
          </cell>
        </row>
        <row r="152">
          <cell r="C152" t="str">
            <v>Название</v>
          </cell>
          <cell r="D152" t="str">
            <v>Тип</v>
          </cell>
          <cell r="E152" t="str">
            <v>Вместимость склада
(миллион м3)</v>
          </cell>
          <cell r="F152" t="str">
            <v>Пиковая отдача
(милл. м3/день)</v>
          </cell>
          <cell r="AA152" t="str">
            <v>Название</v>
          </cell>
          <cell r="AB152" t="str">
            <v>Тип</v>
          </cell>
          <cell r="AC152" t="str">
            <v>Вместимость хранилища
(миллионов кубических метров)</v>
          </cell>
          <cell r="AD152" t="str">
            <v>Пиковая выдача
(млн. куб. м/день)</v>
          </cell>
        </row>
      </sheetData>
      <sheetData sheetId="9">
        <row r="1">
          <cell r="AI1" t="str">
            <v>TIME: end-2018</v>
          </cell>
          <cell r="AJ1" t="str">
            <v>PERIODE : Fin 2018</v>
          </cell>
          <cell r="AK1" t="str">
            <v>ПЕРИОД : Конец 2018</v>
          </cell>
        </row>
        <row r="2">
          <cell r="AI2" t="str">
            <v>TABLE 5b - LNG IMPORT TERMINALS</v>
          </cell>
          <cell r="AJ2" t="str">
            <v>TABLEAU 5b - LNG TERMINAUX D'IMPORTATION</v>
          </cell>
          <cell r="AK2" t="str">
            <v>ТАБЛИЦА 5b – ТЕРМИНАЛЫ ИМПОРТА СПГ</v>
          </cell>
        </row>
        <row r="106">
          <cell r="AI106" t="str">
            <v>TOTAL</v>
          </cell>
          <cell r="AJ106" t="str">
            <v>TOTAL</v>
          </cell>
          <cell r="AK106" t="str">
            <v>ВСЕГО</v>
          </cell>
        </row>
        <row r="149">
          <cell r="C149" t="str">
            <v>Name</v>
          </cell>
          <cell r="D149" t="str">
            <v>Above/Below ground</v>
          </cell>
          <cell r="E149" t="str">
            <v>Regasifying capacity: bcm/yr</v>
          </cell>
          <cell r="F149" t="str">
            <v>No. of vaporisers</v>
          </cell>
          <cell r="G149" t="str">
            <v>Storage capacity: mcm</v>
          </cell>
          <cell r="H149" t="str">
            <v>No. of tanks</v>
          </cell>
          <cell r="I149" t="str">
            <v>Peak output:
mcm/day</v>
          </cell>
        </row>
        <row r="150">
          <cell r="C150" t="str">
            <v>Nom</v>
          </cell>
          <cell r="D150" t="str">
            <v>Au-dessus/En-dessous du sol</v>
          </cell>
          <cell r="E150" t="str">
            <v>Capacité de regazification : bcm/année</v>
          </cell>
          <cell r="F150" t="str">
            <v>Nb de vaporiseurs</v>
          </cell>
          <cell r="G150" t="str">
            <v>Capacité de stockage : mcm</v>
          </cell>
          <cell r="H150" t="str">
            <v>Nb de réservoirs</v>
          </cell>
          <cell r="I150" t="str">
            <v>Rendement maximal : mcm/j</v>
          </cell>
        </row>
        <row r="151">
          <cell r="C151" t="str">
            <v>Название</v>
          </cell>
          <cell r="D151" t="str">
            <v>Наземный/подземный</v>
          </cell>
          <cell r="E151" t="str">
            <v>Производственная мощность регазификации: млрд. куб. м в год</v>
          </cell>
          <cell r="F151" t="str">
            <v>Количество испарителей</v>
          </cell>
          <cell r="G151" t="str">
            <v>Вместимость хранилища: млн. куб. м</v>
          </cell>
          <cell r="H151" t="str">
            <v>Количество резервуаров</v>
          </cell>
          <cell r="I151" t="str">
            <v>Пиковая выдача:
млн. куб. м/день</v>
          </cell>
        </row>
      </sheetData>
      <sheetData sheetId="10">
        <row r="1">
          <cell r="AI1" t="str">
            <v>TIME: end-2018</v>
          </cell>
          <cell r="AJ1" t="str">
            <v>PERIODE : Fin 2018</v>
          </cell>
          <cell r="AK1" t="str">
            <v>ПЕРИОД : Конец 2018</v>
          </cell>
        </row>
        <row r="2">
          <cell r="AI2" t="str">
            <v>TABLE 5c - LNG EXPORT TERMINALS</v>
          </cell>
          <cell r="AJ2" t="str">
            <v>TABLEAU 5c - LNG TERMINAUX D'EXPORTATION</v>
          </cell>
          <cell r="AK2" t="str">
            <v>TABLE 5c - LNG EXPORT TERMINALS (waiting for Russian translation)</v>
          </cell>
        </row>
        <row r="106">
          <cell r="AI106" t="str">
            <v>TOTAL</v>
          </cell>
          <cell r="AJ106" t="str">
            <v>TOTAL</v>
          </cell>
          <cell r="AK106" t="str">
            <v>ВСЕГО</v>
          </cell>
        </row>
        <row r="149">
          <cell r="C149" t="str">
            <v>Name</v>
          </cell>
          <cell r="D149" t="str">
            <v>Above/Below ground</v>
          </cell>
          <cell r="E149" t="str">
            <v>Liquefying capacity: bcm/yr</v>
          </cell>
          <cell r="F149" t="str">
            <v>No. of trains</v>
          </cell>
          <cell r="G149" t="str">
            <v>Storage capacity: mcm</v>
          </cell>
          <cell r="H149" t="str">
            <v>No. of tanks</v>
          </cell>
          <cell r="I149" t="str">
            <v>Peak output:
mcm/day</v>
          </cell>
        </row>
        <row r="150">
          <cell r="C150" t="str">
            <v>Nom</v>
          </cell>
          <cell r="D150" t="str">
            <v>Au-dessus/En-dessous du sol</v>
          </cell>
          <cell r="E150" t="str">
            <v>Capacité de liquéfaction : bcm/année</v>
          </cell>
          <cell r="F150" t="str">
            <v>Nb de trains</v>
          </cell>
          <cell r="G150" t="str">
            <v>Capacité de stockage : mcm</v>
          </cell>
          <cell r="H150" t="str">
            <v>Nb de réservoirs</v>
          </cell>
          <cell r="I150" t="str">
            <v>Rendement maximal : mcm/j</v>
          </cell>
        </row>
        <row r="151">
          <cell r="C151" t="str">
            <v>Название</v>
          </cell>
          <cell r="D151" t="str">
            <v>Выше / ниже земли</v>
          </cell>
          <cell r="E151" t="str">
            <v>Мощность сжижения: млрд м3 / год</v>
          </cell>
          <cell r="F151" t="str">
            <v>Nb поездов</v>
          </cell>
          <cell r="G151" t="str">
            <v>Емкость запоминающего устройства: м3</v>
          </cell>
          <cell r="H151" t="str">
            <v>Количество танков</v>
          </cell>
          <cell r="I151" t="str">
            <v>Максимальная мощность: м3 / д</v>
          </cell>
        </row>
      </sheetData>
      <sheetData sheetId="11">
        <row r="1">
          <cell r="AH1" t="str">
            <v>TIME: end-2018</v>
          </cell>
          <cell r="AI1" t="str">
            <v>PERIODE : Fin 2018</v>
          </cell>
          <cell r="AJ1" t="str">
            <v>ПЕРИОД : Конец 2018</v>
          </cell>
        </row>
        <row r="2">
          <cell r="AH2" t="str">
            <v>TABLE 6 - NETWORK CAPACITY</v>
          </cell>
          <cell r="AI2" t="str">
            <v>TABLEAU 6 - CAPACITE DU RESEAU</v>
          </cell>
          <cell r="AJ2" t="str">
            <v>Таблица 6 - Пропускная способность сети</v>
          </cell>
        </row>
        <row r="106">
          <cell r="AH106" t="str">
            <v>TOTAL</v>
          </cell>
          <cell r="AI106" t="str">
            <v>TOTAL</v>
          </cell>
          <cell r="AJ106" t="str">
            <v>ВСЕГО</v>
          </cell>
        </row>
        <row r="148">
          <cell r="C148" t="str">
            <v>Border point (country specific)</v>
          </cell>
          <cell r="D148" t="str">
            <v>Partner country</v>
          </cell>
          <cell r="E148" t="str">
            <v>Type</v>
          </cell>
          <cell r="F148" t="str">
            <v>Maximum capacity mcm/day</v>
          </cell>
          <cell r="G148" t="str">
            <v>Reverse flow maximum capacity mcm/day</v>
          </cell>
        </row>
        <row r="149">
          <cell r="C149" t="str">
            <v>Point frontalier (spécifique au pays)</v>
          </cell>
          <cell r="D149" t="str">
            <v>Pays partenaire</v>
          </cell>
          <cell r="E149" t="str">
            <v>Type</v>
          </cell>
          <cell r="F149" t="str">
            <v>Capacité maximale mcm/j</v>
          </cell>
          <cell r="G149" t="str">
            <v>Capacité maximale de flux inverse mcm/j</v>
          </cell>
        </row>
        <row r="150">
          <cell r="C150" t="str">
            <v>Граница (оплачивается отдельно)</v>
          </cell>
          <cell r="D150" t="str">
            <v>Страна-партнер</v>
          </cell>
          <cell r="E150" t="str">
            <v>Тип</v>
          </cell>
          <cell r="F150" t="str">
            <v>Максимальная вместимость м3 / сут.</v>
          </cell>
          <cell r="G150" t="str">
            <v>Максимальная мощность обратного потока mcm / d</v>
          </cell>
        </row>
      </sheetData>
      <sheetData sheetId="12"/>
      <sheetData sheetId="13"/>
      <sheetData sheetId="14"/>
      <sheetData sheetId="15">
        <row r="1">
          <cell r="DJ1" t="str">
            <v>Table 1 - Natural Gas Supply</v>
          </cell>
          <cell r="DK1" t="str">
            <v>Tableau 1 - Approvisionnement en gaz naturel</v>
          </cell>
          <cell r="DL1" t="str">
            <v>Таблица 1 - Поставки природного газа</v>
          </cell>
        </row>
        <row r="3">
          <cell r="DJ3" t="str">
            <v>Million cubic metres</v>
          </cell>
          <cell r="DK3" t="str">
            <v>Millions mètres cube</v>
          </cell>
          <cell r="DL3" t="str">
            <v>Миллионы кубических метров</v>
          </cell>
        </row>
        <row r="4">
          <cell r="DJ4" t="str">
            <v>Indigenous Production</v>
          </cell>
          <cell r="DK4" t="str">
            <v>Production nationale</v>
          </cell>
          <cell r="DL4" t="str">
            <v>Внутреннее производство</v>
          </cell>
        </row>
        <row r="5">
          <cell r="DJ5" t="str">
            <v>Associated gas</v>
          </cell>
          <cell r="DK5" t="str">
            <v xml:space="preserve">   Gaz associé</v>
          </cell>
          <cell r="DL5" t="str">
            <v>Попутный газ</v>
          </cell>
        </row>
        <row r="6">
          <cell r="DJ6" t="str">
            <v>Non-associated gas</v>
          </cell>
          <cell r="DK6" t="str">
            <v xml:space="preserve">   Gaz non-associé</v>
          </cell>
          <cell r="DL6" t="str">
            <v xml:space="preserve">Непопутный газ </v>
          </cell>
        </row>
        <row r="7">
          <cell r="DJ7" t="str">
            <v>Colliery gas</v>
          </cell>
          <cell r="DK7" t="str">
            <v xml:space="preserve">   Grisou</v>
          </cell>
          <cell r="DL7" t="str">
            <v>Шахтный газ</v>
          </cell>
        </row>
        <row r="8">
          <cell r="DJ8" t="str">
            <v>Receipts from other sources</v>
          </cell>
          <cell r="DK8" t="str">
            <v>Autres sources</v>
          </cell>
          <cell r="DL8" t="str">
            <v>из других источников</v>
          </cell>
        </row>
        <row r="9">
          <cell r="DJ9" t="str">
            <v>Imports (Balance)</v>
          </cell>
          <cell r="DK9" t="str">
            <v>Importations (1)</v>
          </cell>
          <cell r="DL9" t="str">
            <v>Импорт</v>
          </cell>
        </row>
        <row r="10">
          <cell r="DJ10" t="str">
            <v>Exports (Balance)</v>
          </cell>
          <cell r="DK10" t="str">
            <v>Exportations (2)</v>
          </cell>
          <cell r="DL10" t="str">
            <v xml:space="preserve">Экспорт </v>
          </cell>
        </row>
        <row r="11">
          <cell r="DJ11" t="str">
            <v>International marine bunkers</v>
          </cell>
          <cell r="DK11" t="str">
            <v>Soutages maritimes internationaux</v>
          </cell>
          <cell r="DL11" t="str">
            <v>Международная морская бункеровка</v>
          </cell>
        </row>
        <row r="12">
          <cell r="DJ12" t="str">
            <v>Stock changes (National territory)</v>
          </cell>
          <cell r="DK12" t="str">
            <v>Variations des stocks (3)</v>
          </cell>
          <cell r="DL12" t="str">
            <v>Изменения запасов (+/-)</v>
          </cell>
        </row>
        <row r="13">
          <cell r="DJ13" t="str">
            <v>Inland consumption (Calculated)</v>
          </cell>
          <cell r="DK13" t="str">
            <v>Consommation intérieure (calc)</v>
          </cell>
          <cell r="DL13" t="str">
            <v>Внутреннее потребление (расчетное)</v>
          </cell>
        </row>
        <row r="14">
          <cell r="DJ14" t="str">
            <v>Statistical difference</v>
          </cell>
          <cell r="DK14" t="str">
            <v>Ecart statistique</v>
          </cell>
          <cell r="DL14" t="str">
            <v>Статистические расхождения</v>
          </cell>
        </row>
        <row r="15">
          <cell r="DJ15" t="str">
            <v>Inland consumption (Observed)</v>
          </cell>
          <cell r="DK15" t="str">
            <v>Consommation intérieure (obs) (4)</v>
          </cell>
          <cell r="DL15" t="str">
            <v>Внутреннее потребление (наблюд.)</v>
          </cell>
        </row>
        <row r="16">
          <cell r="DJ16" t="str">
            <v>Recoverable gas</v>
          </cell>
          <cell r="DK16" t="str">
            <v>Gaz récupérable</v>
          </cell>
          <cell r="DL16" t="str">
            <v>Извлекаемый газ</v>
          </cell>
        </row>
        <row r="17">
          <cell r="DJ17" t="str">
            <v>Opening stock level (National territory)</v>
          </cell>
          <cell r="DK17" t="str">
            <v>Niv. stocks début période (territoire national)</v>
          </cell>
          <cell r="DL17" t="str">
            <v>Объем запасов в начале периода (национальная территория)</v>
          </cell>
        </row>
        <row r="18">
          <cell r="DJ18" t="str">
            <v>Closing stock level (National territory)</v>
          </cell>
          <cell r="DK18" t="str">
            <v>Niv. stocks fin période (territoire national)</v>
          </cell>
          <cell r="DL18" t="str">
            <v>Объем запасов в конце периода (национальная территория)</v>
          </cell>
        </row>
        <row r="19">
          <cell r="DJ19" t="str">
            <v>Opening stock level (Held abroad)</v>
          </cell>
          <cell r="DK19" t="str">
            <v>Niv. stocks début période (détenu à l'étranger)</v>
          </cell>
          <cell r="DL19" t="str">
            <v>Объем запасов в начале периода (удерживаемый за рубежом)</v>
          </cell>
        </row>
        <row r="20">
          <cell r="DJ20" t="str">
            <v>Closing stock level (Held abroad)</v>
          </cell>
          <cell r="DK20" t="str">
            <v>Niv. stocks fin période (détenu à l'étranger)</v>
          </cell>
          <cell r="DL20" t="str">
            <v>Объем запасов в конце периода (удерживаемый за рубежом)</v>
          </cell>
        </row>
        <row r="21">
          <cell r="DJ21" t="str">
            <v>Memo:</v>
          </cell>
          <cell r="DK21" t="str">
            <v>Memo:</v>
          </cell>
          <cell r="DL21" t="str">
            <v xml:space="preserve">  Примечание:</v>
          </cell>
        </row>
        <row r="22">
          <cell r="DJ22" t="str">
            <v>Gas vented</v>
          </cell>
          <cell r="DK22" t="str">
            <v>Gaz rejetés</v>
          </cell>
          <cell r="DL22" t="str">
            <v>Газ, отброшенный в атмосферу</v>
          </cell>
        </row>
        <row r="23">
          <cell r="DJ23" t="str">
            <v>Gas flared</v>
          </cell>
          <cell r="DK23" t="str">
            <v>Gaz brûlés à la torche</v>
          </cell>
          <cell r="DL23" t="str">
            <v>Газ, сожженный в факеле</v>
          </cell>
        </row>
        <row r="24">
          <cell r="DJ24" t="str">
            <v xml:space="preserve">Memo: </v>
          </cell>
          <cell r="DK24" t="str">
            <v>Memo: Gaz coussin</v>
          </cell>
          <cell r="DL24" t="str">
            <v>Примечание: Буферный газ</v>
          </cell>
        </row>
        <row r="25">
          <cell r="DJ25" t="str">
            <v>Cushion gas closing stock level</v>
          </cell>
          <cell r="DK25" t="str">
            <v>Niveau des stocks en fin de période</v>
          </cell>
          <cell r="DL25" t="str">
            <v>Объем запасов на конец отчетного периода</v>
          </cell>
        </row>
        <row r="26">
          <cell r="DJ26" t="str">
            <v>Memo: Receipts from other sources</v>
          </cell>
          <cell r="DK26" t="str">
            <v>Memo: Autres sources</v>
          </cell>
          <cell r="DL26" t="str">
            <v>Примечание: из других источников:</v>
          </cell>
        </row>
        <row r="27">
          <cell r="DJ27" t="str">
            <v>Oil</v>
          </cell>
          <cell r="DK27" t="str">
            <v>Pétrole</v>
          </cell>
          <cell r="DL27" t="str">
            <v>нефти</v>
          </cell>
        </row>
        <row r="28">
          <cell r="DJ28" t="str">
            <v>Coal</v>
          </cell>
          <cell r="DK28" t="str">
            <v>Charbon</v>
          </cell>
          <cell r="DL28" t="str">
            <v>угля</v>
          </cell>
        </row>
        <row r="29">
          <cell r="DJ29" t="str">
            <v>Renewables</v>
          </cell>
          <cell r="DK29" t="str">
            <v>Energies renouvelables</v>
          </cell>
          <cell r="DL29" t="str">
            <v>возобновляемых источников</v>
          </cell>
        </row>
        <row r="32">
          <cell r="DJ32" t="str">
            <v>Terajoules</v>
          </cell>
          <cell r="DK32" t="str">
            <v>Terajoules</v>
          </cell>
          <cell r="DL32" t="str">
            <v>Тераджоули</v>
          </cell>
        </row>
        <row r="33">
          <cell r="DJ33" t="str">
            <v>Indigenous Production</v>
          </cell>
          <cell r="DK33" t="str">
            <v>Production nationale</v>
          </cell>
          <cell r="DL33" t="str">
            <v>Внутреннее производство</v>
          </cell>
        </row>
        <row r="34">
          <cell r="DJ34" t="str">
            <v>Associated gas</v>
          </cell>
          <cell r="DK34" t="str">
            <v xml:space="preserve">   Gaz associé</v>
          </cell>
          <cell r="DL34" t="str">
            <v>Попутный газ</v>
          </cell>
        </row>
        <row r="35">
          <cell r="DJ35" t="str">
            <v>Non-associated gas</v>
          </cell>
          <cell r="DK35" t="str">
            <v xml:space="preserve">   Gaz non-associé</v>
          </cell>
          <cell r="DL35" t="str">
            <v xml:space="preserve">Непопутный газ </v>
          </cell>
        </row>
        <row r="36">
          <cell r="DJ36" t="str">
            <v>Colliery gas</v>
          </cell>
          <cell r="DK36" t="str">
            <v xml:space="preserve">   Grisou</v>
          </cell>
          <cell r="DL36" t="str">
            <v>Шахтный газ</v>
          </cell>
        </row>
        <row r="37">
          <cell r="DJ37" t="str">
            <v>Receipts from other sources</v>
          </cell>
          <cell r="DK37" t="str">
            <v>Autres sources</v>
          </cell>
          <cell r="DL37" t="str">
            <v>из других источников:</v>
          </cell>
        </row>
        <row r="38">
          <cell r="DJ38" t="str">
            <v>Imports (Balance)</v>
          </cell>
          <cell r="DK38" t="str">
            <v>Importations (1)</v>
          </cell>
          <cell r="DL38" t="str">
            <v>Импорт</v>
          </cell>
        </row>
        <row r="39">
          <cell r="DJ39" t="str">
            <v>Exports (Balance)</v>
          </cell>
          <cell r="DK39" t="str">
            <v>Exportations (2)</v>
          </cell>
          <cell r="DL39" t="str">
            <v>Экспорт</v>
          </cell>
        </row>
        <row r="40">
          <cell r="DJ40" t="str">
            <v>International marine bunkers</v>
          </cell>
          <cell r="DK40" t="str">
            <v>Soutages maritimes internationaux</v>
          </cell>
          <cell r="DL40" t="str">
            <v>Международная морская бункеровка</v>
          </cell>
        </row>
        <row r="41">
          <cell r="DJ41" t="str">
            <v>Stock changes (National territory)</v>
          </cell>
          <cell r="DK41" t="str">
            <v>Variations des stocks (3)</v>
          </cell>
          <cell r="DL41" t="str">
            <v>Изменения запасов (+/-)</v>
          </cell>
        </row>
        <row r="42">
          <cell r="DJ42" t="str">
            <v>Inland consumption (Calculated)</v>
          </cell>
          <cell r="DK42" t="str">
            <v>Consommation intérieure (calc)</v>
          </cell>
          <cell r="DL42" t="str">
            <v>Внутреннее потребление (расчетное)</v>
          </cell>
        </row>
        <row r="43">
          <cell r="DJ43" t="str">
            <v>Statistical difference</v>
          </cell>
          <cell r="DK43" t="str">
            <v>Ecart statistique</v>
          </cell>
          <cell r="DL43" t="str">
            <v>Статистические расхождения</v>
          </cell>
        </row>
        <row r="44">
          <cell r="DJ44" t="str">
            <v>Inland consumption (Observed)</v>
          </cell>
          <cell r="DK44" t="str">
            <v>Consommation intérieure (obs) (4)</v>
          </cell>
          <cell r="DL44" t="str">
            <v>Внутреннее потребление (наблюдаемое)</v>
          </cell>
        </row>
        <row r="45">
          <cell r="DJ45" t="str">
            <v>Recoverable gas</v>
          </cell>
          <cell r="DK45" t="str">
            <v>Gaz récupérable</v>
          </cell>
          <cell r="DL45" t="str">
            <v>Извлекаемый газ</v>
          </cell>
        </row>
        <row r="46">
          <cell r="DJ46" t="str">
            <v>Opening stock level (National territory)</v>
          </cell>
          <cell r="DK46" t="str">
            <v>Niv. stocks début période (territoire national)</v>
          </cell>
          <cell r="DL46" t="str">
            <v>Объем запасов в начале периода (национальная территория)</v>
          </cell>
        </row>
        <row r="47">
          <cell r="DJ47" t="str">
            <v>Closing stock level (National territory)</v>
          </cell>
          <cell r="DK47" t="str">
            <v>Niv. stocks fin période (territoire national)</v>
          </cell>
          <cell r="DL47" t="str">
            <v>Объем запасов в конце периода (национальная территория)</v>
          </cell>
        </row>
        <row r="48">
          <cell r="DJ48" t="str">
            <v>Opening stock level (Held abroad)</v>
          </cell>
          <cell r="DK48" t="str">
            <v>Niv. stocks début période (détenu à l'étranger)</v>
          </cell>
          <cell r="DL48" t="str">
            <v>Объем запасов в начале периода (удерживаемый за рубежом)</v>
          </cell>
        </row>
        <row r="49">
          <cell r="DJ49" t="str">
            <v>Closing stock level (Held abroad)</v>
          </cell>
          <cell r="DK49" t="str">
            <v>Niv. stocks fin période (détenu à l'étranger)</v>
          </cell>
          <cell r="DL49" t="str">
            <v>Объем запасов в конце периода (удерживаемый за рубежом)</v>
          </cell>
        </row>
        <row r="50">
          <cell r="DJ50" t="str">
            <v>Memo:</v>
          </cell>
          <cell r="DK50" t="str">
            <v>Memo:</v>
          </cell>
          <cell r="DL50" t="str">
            <v xml:space="preserve">  Примечание:</v>
          </cell>
        </row>
        <row r="51">
          <cell r="DJ51" t="str">
            <v>Gas vented</v>
          </cell>
          <cell r="DK51" t="str">
            <v>Gaz rejetés</v>
          </cell>
          <cell r="DL51" t="str">
            <v>Газ, отброшенный в атмосферу</v>
          </cell>
        </row>
        <row r="52">
          <cell r="DJ52" t="str">
            <v>Gas flared</v>
          </cell>
          <cell r="DK52" t="str">
            <v>Gaz brûlés à la torche</v>
          </cell>
          <cell r="DL52" t="str">
            <v>Газ, сожженный в факеле</v>
          </cell>
        </row>
        <row r="53">
          <cell r="DJ53" t="str">
            <v xml:space="preserve">Memo: </v>
          </cell>
          <cell r="DK53" t="str">
            <v>Memo: Gaz coussin</v>
          </cell>
          <cell r="DL53" t="str">
            <v>Примечание: Буферный газ</v>
          </cell>
        </row>
        <row r="54">
          <cell r="DJ54" t="str">
            <v>Cushion gas closing stock level</v>
          </cell>
          <cell r="DK54" t="str">
            <v>Niveau des stocks en fin de période</v>
          </cell>
          <cell r="DL54" t="str">
            <v>Объем запасов на конец отчетного периода</v>
          </cell>
        </row>
        <row r="55">
          <cell r="DJ55" t="str">
            <v>Memo: Receipts from other sources</v>
          </cell>
          <cell r="DK55" t="str">
            <v>Memo: Autres sources</v>
          </cell>
          <cell r="DL55" t="str">
            <v>Примечание: из других источников:</v>
          </cell>
        </row>
        <row r="56">
          <cell r="DJ56" t="str">
            <v>Oil</v>
          </cell>
          <cell r="DK56" t="str">
            <v>Pétrole</v>
          </cell>
          <cell r="DL56" t="str">
            <v>нефти</v>
          </cell>
        </row>
        <row r="57">
          <cell r="DJ57" t="str">
            <v>Coal</v>
          </cell>
          <cell r="DK57" t="str">
            <v>Charbon</v>
          </cell>
          <cell r="DL57" t="str">
            <v>угля</v>
          </cell>
        </row>
        <row r="58">
          <cell r="DJ58" t="str">
            <v>Renewables</v>
          </cell>
          <cell r="DK58" t="str">
            <v>Energies renouvelables</v>
          </cell>
          <cell r="DL58" t="str">
            <v>возобновляемых источников</v>
          </cell>
        </row>
        <row r="61">
          <cell r="DJ61" t="str">
            <v>Gross Calorific Values</v>
          </cell>
          <cell r="DK61" t="str">
            <v>Pouvoirs calorifiques supérieurs</v>
          </cell>
          <cell r="DL61" t="str">
            <v>Высшая теплотворная способность (ВТС)</v>
          </cell>
        </row>
        <row r="62">
          <cell r="DJ62" t="str">
            <v>Indigenous Production</v>
          </cell>
          <cell r="DK62" t="str">
            <v>Production nationale</v>
          </cell>
          <cell r="DL62" t="str">
            <v>Внутреннее производство</v>
          </cell>
        </row>
        <row r="63">
          <cell r="DJ63" t="str">
            <v>Associated gas</v>
          </cell>
          <cell r="DK63" t="str">
            <v xml:space="preserve">   Gaz associé</v>
          </cell>
          <cell r="DL63" t="str">
            <v>Попутный газ</v>
          </cell>
        </row>
        <row r="64">
          <cell r="DJ64" t="str">
            <v>Non-associated gas</v>
          </cell>
          <cell r="DK64" t="str">
            <v xml:space="preserve">   Gaz non-associé</v>
          </cell>
          <cell r="DL64" t="str">
            <v xml:space="preserve">Непопутный газ </v>
          </cell>
        </row>
        <row r="65">
          <cell r="DJ65" t="str">
            <v>Colliery gas</v>
          </cell>
          <cell r="DK65" t="str">
            <v xml:space="preserve">   Grisou</v>
          </cell>
          <cell r="DL65" t="str">
            <v>Шахтный газ</v>
          </cell>
        </row>
        <row r="66">
          <cell r="DJ66" t="str">
            <v>Receipts from other sources</v>
          </cell>
          <cell r="DK66" t="str">
            <v>Autres sources</v>
          </cell>
          <cell r="DL66" t="str">
            <v>из других источников:</v>
          </cell>
        </row>
        <row r="67">
          <cell r="DJ67" t="str">
            <v>Imports (Balance)</v>
          </cell>
          <cell r="DK67" t="str">
            <v>Importations (1)</v>
          </cell>
          <cell r="DL67" t="str">
            <v>Импорт</v>
          </cell>
        </row>
        <row r="68">
          <cell r="DJ68" t="str">
            <v>Exports (Balance)</v>
          </cell>
          <cell r="DK68" t="str">
            <v>Exportations (2)</v>
          </cell>
          <cell r="DL68" t="str">
            <v>Экспорт</v>
          </cell>
        </row>
        <row r="69">
          <cell r="DJ69" t="str">
            <v>International marine bunkers</v>
          </cell>
          <cell r="DK69" t="str">
            <v>Soutages maritimes internationaux</v>
          </cell>
          <cell r="DL69" t="str">
            <v>Международная морская бункеровка</v>
          </cell>
        </row>
        <row r="70">
          <cell r="DJ70" t="str">
            <v>Stock changes (National territory)</v>
          </cell>
          <cell r="DK70" t="str">
            <v>Variations des stocks (3)</v>
          </cell>
          <cell r="DL70" t="str">
            <v>Изменения запасов (+/-)</v>
          </cell>
        </row>
        <row r="71">
          <cell r="DJ71" t="str">
            <v>Inland consumption (Calculated)</v>
          </cell>
          <cell r="DK71" t="str">
            <v>Consommation intérieure (calc)</v>
          </cell>
          <cell r="DL71" t="str">
            <v>Внутреннее потребление (расчетное)</v>
          </cell>
        </row>
        <row r="72">
          <cell r="DJ72" t="str">
            <v>Statistical difference</v>
          </cell>
          <cell r="DK72" t="str">
            <v>Ecart statistique</v>
          </cell>
          <cell r="DL72" t="str">
            <v>Статистические расхождения</v>
          </cell>
        </row>
        <row r="73">
          <cell r="DJ73" t="str">
            <v>Inland consumption (Observed)</v>
          </cell>
          <cell r="DK73" t="str">
            <v>Consommation intérieure (obs) (4)</v>
          </cell>
          <cell r="DL73" t="str">
            <v>Внутреннее потребление (наблюдаемое)</v>
          </cell>
        </row>
        <row r="74">
          <cell r="DJ74" t="str">
            <v>Recoverable gas</v>
          </cell>
          <cell r="DK74" t="str">
            <v>Gaz récupérable</v>
          </cell>
          <cell r="DL74" t="str">
            <v>Извлекаемый газ</v>
          </cell>
        </row>
        <row r="75">
          <cell r="DJ75" t="str">
            <v>Opening stock level (National territory)</v>
          </cell>
          <cell r="DK75" t="str">
            <v>Niv. stocks début période (territoire national)</v>
          </cell>
          <cell r="DL75" t="str">
            <v>Объем запасов в начале периода (национальная территория)</v>
          </cell>
        </row>
        <row r="76">
          <cell r="DJ76" t="str">
            <v>Closing stock level (National territory)</v>
          </cell>
          <cell r="DK76" t="str">
            <v>Niv. stocks fin période (territoire national)</v>
          </cell>
          <cell r="DL76" t="str">
            <v>Объем запасов в конце периода (национальная территория)</v>
          </cell>
        </row>
        <row r="77">
          <cell r="DJ77" t="str">
            <v>Opening stock level (Held abroad)</v>
          </cell>
          <cell r="DK77" t="str">
            <v>Niv. stocks début période (détenu à l'étranger)</v>
          </cell>
          <cell r="DL77" t="str">
            <v>Объем запасов в начале периода (удерживаемый за рубежом)</v>
          </cell>
        </row>
        <row r="78">
          <cell r="DJ78" t="str">
            <v>Closing stock level (Held abroad)</v>
          </cell>
          <cell r="DK78" t="str">
            <v>Niv. stocks fin période (détenu à l'étranger)</v>
          </cell>
          <cell r="DL78" t="str">
            <v>Объем запасов в конце периода (удерживаемый за рубежом)</v>
          </cell>
        </row>
        <row r="79">
          <cell r="DJ79" t="str">
            <v>Memo:</v>
          </cell>
          <cell r="DK79" t="str">
            <v>Memo:</v>
          </cell>
          <cell r="DL79" t="str">
            <v xml:space="preserve">  Примечание:</v>
          </cell>
        </row>
        <row r="80">
          <cell r="DJ80" t="str">
            <v>Gas vented</v>
          </cell>
          <cell r="DK80" t="str">
            <v>Gaz rejetés</v>
          </cell>
          <cell r="DL80" t="str">
            <v>Газ, отброшенный в атмосферу</v>
          </cell>
        </row>
        <row r="81">
          <cell r="DJ81" t="str">
            <v>Gas flared</v>
          </cell>
          <cell r="DK81" t="str">
            <v>Gaz brûlés à la torche</v>
          </cell>
          <cell r="DL81" t="str">
            <v>Газ, сожженный в факеле</v>
          </cell>
        </row>
        <row r="82">
          <cell r="DJ82" t="str">
            <v>Memo: Cushion gas</v>
          </cell>
          <cell r="DK82" t="str">
            <v>Memo: Gaz coussin</v>
          </cell>
          <cell r="DL82" t="str">
            <v>Примечание: Буферный газ</v>
          </cell>
        </row>
        <row r="83">
          <cell r="DJ83" t="str">
            <v>Cushion gas closing stock level</v>
          </cell>
          <cell r="DK83" t="str">
            <v>Niveau des stocks en fin de période</v>
          </cell>
          <cell r="DL83" t="str">
            <v>Объем запасов на конец отчетного периода</v>
          </cell>
        </row>
        <row r="84">
          <cell r="DJ84" t="str">
            <v>Memo: Receipts from other sources</v>
          </cell>
          <cell r="DK84" t="str">
            <v>Memo: Autres sources</v>
          </cell>
          <cell r="DL84" t="str">
            <v>Примечание: из других источников:</v>
          </cell>
        </row>
        <row r="85">
          <cell r="DJ85" t="str">
            <v>Oil</v>
          </cell>
          <cell r="DK85" t="str">
            <v>Pétrole</v>
          </cell>
          <cell r="DL85" t="str">
            <v>нефти</v>
          </cell>
        </row>
        <row r="86">
          <cell r="DJ86" t="str">
            <v>Coal</v>
          </cell>
          <cell r="DK86" t="str">
            <v>Charbon</v>
          </cell>
          <cell r="DL86" t="str">
            <v>угля</v>
          </cell>
        </row>
        <row r="87">
          <cell r="DJ87" t="str">
            <v>Renewables</v>
          </cell>
          <cell r="DK87" t="str">
            <v>Energies renouvelables</v>
          </cell>
          <cell r="DL87" t="str">
            <v>возобновляемых источников</v>
          </cell>
        </row>
        <row r="90">
          <cell r="DJ90" t="str">
            <v>Net Calorific Values</v>
          </cell>
          <cell r="DK90" t="str">
            <v>Pouvoirs calorifiques supérieurs</v>
          </cell>
          <cell r="DL90" t="str">
            <v>Высшая теплотворная способность (ВТС)</v>
          </cell>
        </row>
        <row r="91">
          <cell r="DJ91" t="str">
            <v>Indigenous Production</v>
          </cell>
          <cell r="DK91" t="str">
            <v>Production nationale</v>
          </cell>
          <cell r="DL91" t="str">
            <v>Внутреннее производство</v>
          </cell>
        </row>
        <row r="92">
          <cell r="DJ92" t="str">
            <v>Associated gas</v>
          </cell>
          <cell r="DK92" t="str">
            <v xml:space="preserve">   Gaz associé</v>
          </cell>
          <cell r="DL92" t="str">
            <v>Попутный газ</v>
          </cell>
        </row>
        <row r="93">
          <cell r="DJ93" t="str">
            <v>Non-associated gas</v>
          </cell>
          <cell r="DK93" t="str">
            <v xml:space="preserve">   Gaz non-associé</v>
          </cell>
          <cell r="DL93" t="str">
            <v xml:space="preserve">Непопутный газ </v>
          </cell>
        </row>
        <row r="94">
          <cell r="DJ94" t="str">
            <v>Colliery gas</v>
          </cell>
          <cell r="DK94" t="str">
            <v xml:space="preserve">   Grisou</v>
          </cell>
          <cell r="DL94" t="str">
            <v>Шахтный газ</v>
          </cell>
        </row>
        <row r="95">
          <cell r="DJ95" t="str">
            <v>Receipts from other sources</v>
          </cell>
          <cell r="DK95" t="str">
            <v>Autres sources</v>
          </cell>
          <cell r="DL95" t="str">
            <v>из других источников:</v>
          </cell>
        </row>
        <row r="96">
          <cell r="DJ96" t="str">
            <v>Imports (Balance)</v>
          </cell>
          <cell r="DK96" t="str">
            <v>Importations (1)</v>
          </cell>
          <cell r="DL96" t="str">
            <v>Импорт</v>
          </cell>
        </row>
        <row r="97">
          <cell r="DJ97" t="str">
            <v>Exports (Balance)</v>
          </cell>
          <cell r="DK97" t="str">
            <v>Exportations (2)</v>
          </cell>
          <cell r="DL97" t="str">
            <v>Экспорт</v>
          </cell>
        </row>
        <row r="98">
          <cell r="DJ98" t="str">
            <v>International marine bunkers</v>
          </cell>
          <cell r="DK98" t="str">
            <v>Soutages maritimes internationaux</v>
          </cell>
          <cell r="DL98" t="str">
            <v>Международная морская бункеровка</v>
          </cell>
        </row>
        <row r="99">
          <cell r="DJ99" t="str">
            <v>Stock changes (National territory)</v>
          </cell>
          <cell r="DK99" t="str">
            <v>Variations des stocks (3)</v>
          </cell>
          <cell r="DL99" t="str">
            <v>Изменения запасов (+/-)</v>
          </cell>
        </row>
        <row r="100">
          <cell r="DJ100" t="str">
            <v>Inland consumption (Calculated)</v>
          </cell>
          <cell r="DK100" t="str">
            <v>Consommation intérieure (calc)</v>
          </cell>
          <cell r="DL100" t="str">
            <v>Внутреннее потребление (расчетное)</v>
          </cell>
        </row>
        <row r="101">
          <cell r="DJ101" t="str">
            <v>Statistical difference</v>
          </cell>
          <cell r="DK101" t="str">
            <v>Ecart statistique</v>
          </cell>
          <cell r="DL101" t="str">
            <v>Статистические расхождения</v>
          </cell>
        </row>
        <row r="102">
          <cell r="DJ102" t="str">
            <v>Inland consumption (Observed)</v>
          </cell>
          <cell r="DK102" t="str">
            <v>Consommation intérieure (obs) (4)</v>
          </cell>
          <cell r="DL102" t="str">
            <v>Внутреннее потребление (наблюдаемое)</v>
          </cell>
        </row>
        <row r="103">
          <cell r="DJ103" t="str">
            <v>Recoverable gas</v>
          </cell>
          <cell r="DK103" t="str">
            <v>Gaz récupérable</v>
          </cell>
          <cell r="DL103" t="str">
            <v>Извлекаемый газ</v>
          </cell>
        </row>
        <row r="104">
          <cell r="DJ104" t="str">
            <v>Opening stock level (National territory)</v>
          </cell>
          <cell r="DK104" t="str">
            <v>Niv. stocks début période (territoire national)</v>
          </cell>
          <cell r="DL104" t="str">
            <v>Объем запасов в начале периода (национальная территория)</v>
          </cell>
        </row>
        <row r="105">
          <cell r="DJ105" t="str">
            <v>Closing stock level (National territory)</v>
          </cell>
          <cell r="DK105" t="str">
            <v>Niv. stocks fin période (territoire national)</v>
          </cell>
          <cell r="DL105" t="str">
            <v>Объем запасов в конце периода (национальная территория)</v>
          </cell>
        </row>
        <row r="106">
          <cell r="DJ106" t="str">
            <v>Opening stock level (Held abroad)</v>
          </cell>
          <cell r="DK106" t="str">
            <v>Niv. stocks début période (détenu à l'étranger)</v>
          </cell>
          <cell r="DL106" t="str">
            <v>Объем запасов в начале периода (удерживаемый за рубежом)</v>
          </cell>
        </row>
        <row r="107">
          <cell r="DJ107" t="str">
            <v>Closing stock level (Held abroad)</v>
          </cell>
          <cell r="DK107" t="str">
            <v>Niv. stocks fin période (détenu à l'étranger)</v>
          </cell>
          <cell r="DL107" t="str">
            <v>Объем запасов в конце периода (удерживаемый за рубежом)</v>
          </cell>
        </row>
        <row r="108">
          <cell r="DJ108" t="str">
            <v>Memo:</v>
          </cell>
          <cell r="DK108" t="str">
            <v>Memo:</v>
          </cell>
          <cell r="DL108" t="str">
            <v xml:space="preserve">  Примечание:</v>
          </cell>
        </row>
        <row r="109">
          <cell r="DJ109" t="str">
            <v>Gas vented</v>
          </cell>
          <cell r="DK109" t="str">
            <v>Gaz rejetés</v>
          </cell>
          <cell r="DL109" t="str">
            <v>Газ, отброшенный в атмосферу</v>
          </cell>
        </row>
        <row r="110">
          <cell r="DJ110" t="str">
            <v>Gas flared</v>
          </cell>
          <cell r="DK110" t="str">
            <v>Gaz brûlés à la torche</v>
          </cell>
          <cell r="DL110" t="str">
            <v>Газ, сожженный в факеле</v>
          </cell>
        </row>
        <row r="111">
          <cell r="DJ111" t="str">
            <v>Memo: Cushion gas</v>
          </cell>
          <cell r="DK111" t="str">
            <v>Memo: Gaz coussin</v>
          </cell>
          <cell r="DL111" t="str">
            <v>Примечание: Буферный газ</v>
          </cell>
        </row>
        <row r="112">
          <cell r="DJ112" t="str">
            <v>Cushion gas closing stock level</v>
          </cell>
          <cell r="DK112" t="str">
            <v>Niveau des stocks en fin de période</v>
          </cell>
          <cell r="DL112" t="str">
            <v>Объем запасов на конец отчетного периода</v>
          </cell>
        </row>
        <row r="113">
          <cell r="DJ113" t="str">
            <v>Memo: Receipts from other sources</v>
          </cell>
          <cell r="DK113" t="str">
            <v>Memo: Autres sources</v>
          </cell>
          <cell r="DL113" t="str">
            <v>Примечание: из других источников:</v>
          </cell>
        </row>
        <row r="114">
          <cell r="DJ114" t="str">
            <v>Oil</v>
          </cell>
          <cell r="DK114" t="str">
            <v>Pétrole</v>
          </cell>
          <cell r="DL114" t="str">
            <v>нефти</v>
          </cell>
        </row>
        <row r="115">
          <cell r="DJ115" t="str">
            <v>Coal</v>
          </cell>
          <cell r="DK115" t="str">
            <v>Charbon</v>
          </cell>
          <cell r="DL115" t="str">
            <v>угля</v>
          </cell>
        </row>
        <row r="116">
          <cell r="DJ116" t="str">
            <v>Renewables</v>
          </cell>
          <cell r="DK116" t="str">
            <v>Energies renouvelables</v>
          </cell>
          <cell r="DL116" t="str">
            <v>возобновляемых источников</v>
          </cell>
        </row>
        <row r="118">
          <cell r="DJ118" t="str">
            <v>Notes:</v>
          </cell>
          <cell r="DK118" t="str">
            <v>Notes:</v>
          </cell>
          <cell r="DL118" t="str">
            <v>Примечания:</v>
          </cell>
        </row>
        <row r="119">
          <cell r="DJ119" t="str">
            <v>"Imports (Balance)": should correspond to total imports of table 3.</v>
          </cell>
          <cell r="DK119" t="str">
            <v>"Importations" : doit correspondre aux importations totales du tableau 3.</v>
          </cell>
          <cell r="DL119" t="str">
            <v>"Импорт" : Должен соответствовать суммарному Импорту в Таблице 3.</v>
          </cell>
        </row>
        <row r="120">
          <cell r="DJ120" t="str">
            <v>"Exports (Balance)": should correspond to total imports of table 4.</v>
          </cell>
          <cell r="DK120" t="str">
            <v>"Exportations" : doit correspondre aux importations totales du tableau 3.</v>
          </cell>
          <cell r="DL120" t="str">
            <v>"Экспорт" : Должен соответствовать суммарному Экспорту в таблице 4.</v>
          </cell>
        </row>
        <row r="121">
          <cell r="DJ121" t="str">
            <v>"Stock changes": Opening stock level minus closing stock level.</v>
          </cell>
          <cell r="DK121" t="str">
            <v>"Variation des stocks" : niveau des stocks en début de période moins niveau des stocks en fin de période.</v>
          </cell>
          <cell r="DL121" t="str">
            <v>"Изменения запасов" : Запасы в начале периода минус запасы в конце периода.</v>
          </cell>
        </row>
        <row r="122">
          <cell r="DJ122" t="str">
            <v>"Inland consumption (Observed)": should correspond to row 4 of table 2i_Consumption.</v>
          </cell>
          <cell r="DK122" t="str">
            <v>"Consommation intérieure (obs)" : doit correspondre à la ligne 3 du tableau 2i_Consumption.</v>
          </cell>
          <cell r="DL122" t="str">
            <v>"Внутреннее потребление (наблюдаемое)" : Должно соответствовать строке 4 Таблицы 2a_Потребление.</v>
          </cell>
        </row>
      </sheetData>
      <sheetData sheetId="16">
        <row r="1">
          <cell r="DF1" t="str">
            <v>Table 2a - Consumption</v>
          </cell>
          <cell r="DG1" t="str">
            <v>Tableau 2a - Consommation</v>
          </cell>
          <cell r="DH1" t="str">
            <v>Таблица 2a - Потребление по секторам</v>
          </cell>
        </row>
        <row r="3">
          <cell r="DF3" t="str">
            <v>Terajoules</v>
          </cell>
          <cell r="DG3" t="str">
            <v>Terajoules</v>
          </cell>
          <cell r="DH3" t="str">
            <v>Тераджоули</v>
          </cell>
        </row>
        <row r="4">
          <cell r="DF4" t="str">
            <v>Inland demand (Total consumption)</v>
          </cell>
          <cell r="DG4" t="str">
            <v>Consommation intérieure</v>
          </cell>
          <cell r="DH4" t="str">
            <v>Суммарное внутреннее потребление</v>
          </cell>
        </row>
        <row r="5">
          <cell r="DF5" t="str">
            <v>Transformation sector</v>
          </cell>
          <cell r="DG5" t="str">
            <v>Secteur Transformation - Total</v>
          </cell>
          <cell r="DH5" t="str">
            <v>СЕКТОР ПРЕОБРАЗОВАНИЯ - Всего</v>
          </cell>
        </row>
        <row r="6">
          <cell r="DF6" t="str">
            <v>Main activity producer electricity</v>
          </cell>
          <cell r="DG6" t="str">
            <v>Centrales électriques dont c’est l’activité principale</v>
          </cell>
          <cell r="DH6" t="str">
            <v>Электростанции производителей энергии (основной вид деятельности)</v>
          </cell>
        </row>
        <row r="7">
          <cell r="DF7" t="str">
            <v>Autoproducer electricity</v>
          </cell>
          <cell r="DG7" t="str">
            <v>Centrales autoproductrices d’électricité</v>
          </cell>
          <cell r="DH7" t="str">
            <v>Электростанции предприятий, производящих энергию для собственных нужд</v>
          </cell>
        </row>
        <row r="8">
          <cell r="DF8" t="str">
            <v>Main activity producer CHP</v>
          </cell>
          <cell r="DG8" t="str">
            <v>Centrales de cogénération dont c’est l’activité principale</v>
          </cell>
          <cell r="DH8" t="str">
            <v>ТЭЦ производителей энергии (основной вид деятельности)</v>
          </cell>
        </row>
        <row r="9">
          <cell r="DF9" t="str">
            <v>Autoproducer CHP</v>
          </cell>
          <cell r="DG9" t="str">
            <v>Centrales autoproductrices de cogénération</v>
          </cell>
          <cell r="DH9" t="str">
            <v>ТЭЦ предприятий, производящих энергию для собственных нужд</v>
          </cell>
        </row>
        <row r="10">
          <cell r="DF10" t="str">
            <v>Main activity producer heat</v>
          </cell>
          <cell r="DG10" t="str">
            <v>Centrales calogènes dont c’est l’activité principale</v>
          </cell>
          <cell r="DH10" t="str">
            <v>Теплоцентрали производителей энергии (основной вид деятельности)</v>
          </cell>
        </row>
        <row r="11">
          <cell r="DF11" t="str">
            <v>Autoproducer heat</v>
          </cell>
          <cell r="DG11" t="str">
            <v>Centrales autoproductrices calogènes</v>
          </cell>
          <cell r="DH11" t="str">
            <v>Теплоцентрали предприятий, производящих энергию для собственных нужд</v>
          </cell>
        </row>
        <row r="12">
          <cell r="DF12" t="str">
            <v>Gas works (Transformation)</v>
          </cell>
          <cell r="DG12" t="str">
            <v>Usines à gaz</v>
          </cell>
          <cell r="DH12" t="str">
            <v>Газовые заводы</v>
          </cell>
        </row>
        <row r="13">
          <cell r="DF13" t="str">
            <v>Coke ovens (Transformation)</v>
          </cell>
          <cell r="DG13" t="str">
            <v>Cokeries</v>
          </cell>
          <cell r="DH13" t="str">
            <v>Коксовые печи</v>
          </cell>
        </row>
        <row r="14">
          <cell r="DF14" t="str">
            <v>Blast furnaces (Transformation)</v>
          </cell>
          <cell r="DG14" t="str">
            <v>Hauts fourneaux</v>
          </cell>
          <cell r="DH14" t="str">
            <v>Доменные печи</v>
          </cell>
        </row>
        <row r="15">
          <cell r="DF15" t="str">
            <v>Gas-to-liquids plants (Transformation)</v>
          </cell>
          <cell r="DG15" t="str">
            <v>Conversion en liquides</v>
          </cell>
          <cell r="DH15" t="str">
            <v>Газ-в-жидкость</v>
          </cell>
        </row>
        <row r="16">
          <cell r="DF16" t="str">
            <v>of which GTL technology</v>
          </cell>
          <cell r="DG16" t="str">
            <v>dont technologie GTL</v>
          </cell>
          <cell r="DH16" t="str">
            <v>of which GTL technology (waiting for Russian)</v>
          </cell>
        </row>
        <row r="17">
          <cell r="DF17" t="str">
            <v>Not elsewhere specified (Transformation)</v>
          </cell>
          <cell r="DG17" t="str">
            <v>Non spécifié - Transformation</v>
          </cell>
          <cell r="DH17" t="str">
            <v>Прочее</v>
          </cell>
        </row>
        <row r="18">
          <cell r="DF18" t="str">
            <v>Energy sector</v>
          </cell>
          <cell r="DG18" t="str">
            <v>Secteur Energie - Total</v>
          </cell>
          <cell r="DH18" t="str">
            <v>СЕКТОР ЭНЕРГЕТИКИ - Всего</v>
          </cell>
        </row>
        <row r="19">
          <cell r="DF19" t="str">
            <v>Coal mines</v>
          </cell>
          <cell r="DG19" t="str">
            <v>Mines de charbon</v>
          </cell>
          <cell r="DH19" t="str">
            <v>Угольные шахты</v>
          </cell>
        </row>
        <row r="20">
          <cell r="DF20" t="str">
            <v>Oil and gas extraction</v>
          </cell>
          <cell r="DG20" t="str">
            <v>Extraction de pétrole et de gaz</v>
          </cell>
          <cell r="DH20" t="str">
            <v>Добыча нефти и газа</v>
          </cell>
        </row>
        <row r="21">
          <cell r="DF21" t="str">
            <v>Oil refineries</v>
          </cell>
          <cell r="DG21" t="str">
            <v>Approvisionnement des raffineries</v>
          </cell>
          <cell r="DH21" t="str">
            <v>Сырье для нефтеперерабатывающих заводов</v>
          </cell>
        </row>
        <row r="22">
          <cell r="DF22" t="str">
            <v>Coke ovens (Energy)</v>
          </cell>
          <cell r="DG22" t="str">
            <v>Cokeries</v>
          </cell>
          <cell r="DH22" t="str">
            <v>Коксовые печи</v>
          </cell>
        </row>
        <row r="23">
          <cell r="DF23" t="str">
            <v>Blast furnaces (Energy)</v>
          </cell>
          <cell r="DG23" t="str">
            <v>Hauts fourneaux</v>
          </cell>
          <cell r="DH23" t="str">
            <v>Доменные печи</v>
          </cell>
        </row>
        <row r="24">
          <cell r="DF24" t="str">
            <v>Gas works (Energy)</v>
          </cell>
          <cell r="DG24" t="str">
            <v>Usines à gaz</v>
          </cell>
          <cell r="DH24" t="str">
            <v>Газовые заводы</v>
          </cell>
        </row>
        <row r="25">
          <cell r="DF25" t="str">
            <v>Electricity, CHP and heat</v>
          </cell>
          <cell r="DG25" t="str">
            <v>Centrales électriques, de cogénération et calogènes</v>
          </cell>
          <cell r="DH25" t="str">
            <v>Электростанции, ТЭЦ и теплоцентрали</v>
          </cell>
        </row>
        <row r="26">
          <cell r="DF26" t="str">
            <v>Liquefaction (LNG) / regasification plants</v>
          </cell>
          <cell r="DG26" t="str">
            <v>Unités de liquéfaction du gaz</v>
          </cell>
          <cell r="DH26" t="str">
            <v>Заводы по производству сжиженного газа</v>
          </cell>
        </row>
        <row r="27">
          <cell r="DF27" t="str">
            <v>Gas-to-Liquids plants (Energy)</v>
          </cell>
          <cell r="DG27" t="str">
            <v>Conversion en liquides</v>
          </cell>
          <cell r="DH27" t="str">
            <v>Газ-в-жидкость</v>
          </cell>
        </row>
        <row r="28">
          <cell r="DF28" t="str">
            <v>of which GTL technology</v>
          </cell>
          <cell r="DG28" t="str">
            <v>dont technologie GTL</v>
          </cell>
          <cell r="DH28" t="str">
            <v>of which GTL technology (waiting for Russian)</v>
          </cell>
        </row>
        <row r="29">
          <cell r="DF29" t="str">
            <v>Not elsewhere specified (Energy)</v>
          </cell>
          <cell r="DG29" t="str">
            <v>Non spécifié - Energie</v>
          </cell>
          <cell r="DH29" t="str">
            <v>Прочее поставки</v>
          </cell>
        </row>
        <row r="30">
          <cell r="DF30" t="str">
            <v>Distribution losses</v>
          </cell>
          <cell r="DG30" t="str">
            <v>Pertes de distribution</v>
          </cell>
          <cell r="DH30" t="str">
            <v>Потери при распределении</v>
          </cell>
        </row>
        <row r="31">
          <cell r="DF31" t="str">
            <v>Total final consumption (2ii+2iii)</v>
          </cell>
          <cell r="DG31" t="str">
            <v>Consommation finale totale (2ii+2iii)</v>
          </cell>
          <cell r="DH31" t="str">
            <v>Конечное потребление-всего (2bEnergy+2bNonEnergy)</v>
          </cell>
        </row>
      </sheetData>
      <sheetData sheetId="17">
        <row r="1">
          <cell r="DJ1" t="str">
            <v>Table 2b - TFC - Energy use</v>
          </cell>
          <cell r="DK1" t="str">
            <v>Tableau 2b - CFT - Utilisations énergétiques</v>
          </cell>
          <cell r="DL1" t="str">
            <v>Таблица 2b - Использование газа для энергетических целей</v>
          </cell>
        </row>
        <row r="3">
          <cell r="DJ3" t="str">
            <v>Terajoules</v>
          </cell>
          <cell r="DK3" t="str">
            <v>Terajoules</v>
          </cell>
          <cell r="DL3" t="str">
            <v>Тераджоули</v>
          </cell>
        </row>
        <row r="4">
          <cell r="DJ4" t="str">
            <v>Total final consumption</v>
          </cell>
          <cell r="DK4" t="str">
            <v>Consommation finale totale</v>
          </cell>
          <cell r="DL4" t="str">
            <v>Суммарное конечное потребление</v>
          </cell>
        </row>
        <row r="5">
          <cell r="DJ5" t="str">
            <v>Transport sector</v>
          </cell>
          <cell r="DK5" t="str">
            <v>Secteur Transports - Total</v>
          </cell>
          <cell r="DL5" t="str">
            <v>СЕКТОР ТРАНСПОРТА - Всего</v>
          </cell>
        </row>
        <row r="6">
          <cell r="DJ6" t="str">
            <v>Road</v>
          </cell>
          <cell r="DK6" t="str">
            <v>Transport  routier</v>
          </cell>
          <cell r="DL6" t="str">
            <v>Автодорожный транспорт</v>
          </cell>
        </row>
        <row r="7">
          <cell r="DJ7" t="str">
            <v>of which biogas</v>
          </cell>
          <cell r="DK7" t="str">
            <v>dont le biogaz</v>
          </cell>
          <cell r="DL7" t="str">
            <v>В т.ч. Биогаз</v>
          </cell>
        </row>
        <row r="8">
          <cell r="DJ8" t="str">
            <v>Pipeline transport</v>
          </cell>
          <cell r="DK8" t="str">
            <v>Transport par conduites</v>
          </cell>
          <cell r="DL8" t="str">
            <v>Трубопроводы</v>
          </cell>
        </row>
        <row r="9">
          <cell r="DJ9" t="str">
            <v>Not elsewhere specified (Transport)</v>
          </cell>
          <cell r="DK9" t="str">
            <v>Non spécifié - Transports</v>
          </cell>
          <cell r="DL9" t="str">
            <v>Прочее</v>
          </cell>
        </row>
        <row r="10">
          <cell r="DJ10" t="str">
            <v>Industry sector</v>
          </cell>
          <cell r="DK10" t="str">
            <v>Secteur Industrie - Total</v>
          </cell>
          <cell r="DL10" t="str">
            <v xml:space="preserve">СЕКТОР ПРОМЫШЛЕННОСТИ - Всего </v>
          </cell>
        </row>
        <row r="11">
          <cell r="DJ11" t="str">
            <v>Iron and steel</v>
          </cell>
          <cell r="DK11" t="str">
            <v>Sidérurgie</v>
          </cell>
          <cell r="DL11" t="str">
            <v>Черная металлургия</v>
          </cell>
        </row>
        <row r="12">
          <cell r="DJ12" t="str">
            <v>Chemical and petrochemical</v>
          </cell>
          <cell r="DK12" t="str">
            <v>Chimie et pétrochimie</v>
          </cell>
          <cell r="DL12" t="str">
            <v>Химическая (в т.ч. нефтехимическая) промышленность</v>
          </cell>
        </row>
        <row r="13">
          <cell r="DJ13" t="str">
            <v>Non-ferrous metals</v>
          </cell>
          <cell r="DK13" t="str">
            <v>Metaux non-ferreux</v>
          </cell>
          <cell r="DL13" t="str">
            <v>Цветная металлургия</v>
          </cell>
        </row>
        <row r="14">
          <cell r="DJ14" t="str">
            <v>Non-metallic minerals</v>
          </cell>
          <cell r="DK14" t="str">
            <v>Produits minéraux non-métalliques</v>
          </cell>
          <cell r="DL14" t="str">
            <v>Производство неметаллических минеральных продуктов</v>
          </cell>
        </row>
        <row r="15">
          <cell r="DJ15" t="str">
            <v>Transport equipment</v>
          </cell>
          <cell r="DK15" t="str">
            <v>Matériel de transport</v>
          </cell>
          <cell r="DL15" t="str">
            <v>Транспортное оборудование</v>
          </cell>
        </row>
        <row r="16">
          <cell r="DJ16" t="str">
            <v>Machinery</v>
          </cell>
          <cell r="DK16" t="str">
            <v>Machines</v>
          </cell>
          <cell r="DL16" t="str">
            <v>Машиностроение</v>
          </cell>
        </row>
        <row r="17">
          <cell r="DJ17" t="str">
            <v>Mining and quarrying</v>
          </cell>
          <cell r="DK17" t="str">
            <v>Industries extractives</v>
          </cell>
          <cell r="DL17" t="str">
            <v>Горнодобываяющая промышленность и разработка карьеров</v>
          </cell>
        </row>
        <row r="18">
          <cell r="DJ18" t="str">
            <v>Food, beverages and tobacco</v>
          </cell>
          <cell r="DK18" t="str">
            <v>Produits alimentaires, boissons et tabac</v>
          </cell>
          <cell r="DL18" t="str">
            <v xml:space="preserve">Пищевая пром-сть, производство напитков и табачных изделий </v>
          </cell>
        </row>
        <row r="19">
          <cell r="DJ19" t="str">
            <v>Paper, pulp and printing</v>
          </cell>
          <cell r="DK19" t="str">
            <v>Pâte à papier, papier et imprimerie</v>
          </cell>
          <cell r="DL19" t="str">
            <v>Целлюлозно-бумажная и полиграфическая промышленность</v>
          </cell>
        </row>
        <row r="20">
          <cell r="DJ20" t="str">
            <v>Wood and wood products</v>
          </cell>
          <cell r="DK20" t="str">
            <v>Bois et ouvrages en bois</v>
          </cell>
          <cell r="DL20" t="str">
            <v>Производство древесины и изделий из дерева</v>
          </cell>
        </row>
        <row r="21">
          <cell r="DJ21" t="str">
            <v>Construction</v>
          </cell>
          <cell r="DK21" t="str">
            <v xml:space="preserve">Construction </v>
          </cell>
          <cell r="DL21" t="str">
            <v>Строительство</v>
          </cell>
        </row>
        <row r="22">
          <cell r="DJ22" t="str">
            <v>Textiles and leather</v>
          </cell>
          <cell r="DK22" t="str">
            <v>Textiles et cuir</v>
          </cell>
          <cell r="DL22" t="str">
            <v>Текстильная и кожевенная промышленость</v>
          </cell>
        </row>
        <row r="23">
          <cell r="DJ23" t="str">
            <v>Not elsewhere specified (Industry)</v>
          </cell>
          <cell r="DK23" t="str">
            <v>Non spécifié - Industrie</v>
          </cell>
          <cell r="DL23" t="str">
            <v>Прочее</v>
          </cell>
        </row>
        <row r="24">
          <cell r="DJ24" t="str">
            <v>Other sectors</v>
          </cell>
          <cell r="DK24" t="str">
            <v>Autres secteurs - Total</v>
          </cell>
          <cell r="DL24" t="str">
            <v>ПРОЧИЕ СЕКТОРЫ - Всего</v>
          </cell>
        </row>
        <row r="25">
          <cell r="DJ25" t="str">
            <v>Commercial and public services</v>
          </cell>
          <cell r="DK25" t="str">
            <v>Commerce et services publics</v>
          </cell>
          <cell r="DL25" t="str">
            <v>Коммерческие предприятия и государственные учреждения</v>
          </cell>
        </row>
        <row r="26">
          <cell r="DJ26" t="str">
            <v>Residential</v>
          </cell>
          <cell r="DK26" t="str">
            <v>Secteur résidentiel</v>
          </cell>
          <cell r="DL26" t="str">
            <v>Жилищное хозяйство</v>
          </cell>
        </row>
        <row r="27">
          <cell r="DJ27" t="str">
            <v>Agriculture/forestry</v>
          </cell>
          <cell r="DK27" t="str">
            <v>Agriculture</v>
          </cell>
          <cell r="DL27" t="str">
            <v>Сельское хозяйство</v>
          </cell>
        </row>
        <row r="28">
          <cell r="DJ28" t="str">
            <v>Fishing</v>
          </cell>
          <cell r="DK28" t="str">
            <v>Pêche</v>
          </cell>
          <cell r="DL28" t="str">
            <v>Рыболовство</v>
          </cell>
        </row>
        <row r="29">
          <cell r="DJ29" t="str">
            <v>Not elsewhere specified  (Other)</v>
          </cell>
          <cell r="DK29" t="str">
            <v>Non spécifié - Autres</v>
          </cell>
          <cell r="DL29" t="str">
            <v>Прочее</v>
          </cell>
        </row>
      </sheetData>
      <sheetData sheetId="18">
        <row r="1">
          <cell r="DJ1" t="str">
            <v>Table 2b - TFC - Non-energy use</v>
          </cell>
          <cell r="DK1" t="str">
            <v>Tableau 2b - CFT - Utilisations non énergétiques</v>
          </cell>
          <cell r="DL1" t="str">
            <v xml:space="preserve">Таблица 2b - Использование газа для неэнергетических целей </v>
          </cell>
        </row>
      </sheetData>
      <sheetData sheetId="19">
        <row r="1">
          <cell r="DJ1" t="str">
            <v>Table 3i - Imports by origin</v>
          </cell>
          <cell r="DK1" t="str">
            <v>Tableau 3i - Importations par pays d'origine</v>
          </cell>
          <cell r="DL1" t="str">
            <v>Таблица 3i - Импорт по странам происхождения</v>
          </cell>
        </row>
        <row r="3">
          <cell r="DJ3" t="str">
            <v>Million cubic meters</v>
          </cell>
          <cell r="DK3" t="str">
            <v>Millions mètres cube</v>
          </cell>
          <cell r="DL3" t="str">
            <v>Миллионы кубических метров</v>
          </cell>
        </row>
        <row r="167">
          <cell r="DJ167" t="str">
            <v>Total Imports</v>
          </cell>
          <cell r="DK167" t="str">
            <v>Total des importations</v>
          </cell>
          <cell r="DL167" t="str">
            <v>Импорт всего</v>
          </cell>
        </row>
        <row r="168">
          <cell r="DJ168" t="str">
            <v>"Not elsewhere specified": Please specify on the Remarks page.</v>
          </cell>
          <cell r="DK168" t="str">
            <v>"Non spécifié ailleurs " : Veuillez préciser à la page réservée aux remarques.</v>
          </cell>
          <cell r="DL168" t="str">
            <v>«В другом месте не указано»: укажите на странице «Комментарии».</v>
          </cell>
        </row>
        <row r="169">
          <cell r="DJ169" t="str">
            <v>* This designation is without prejudice to positions on status, and is line with UNSCR 1244 and the ICJ Opinion on the Kosovo declaration of independence.</v>
          </cell>
          <cell r="DK169" t="str">
            <v>* Cette désignation est sans préjudice des positions sur le statut, et est conforme à la résolution 1244 du Conseil de sécurité des Nations Unies et à l'avis de la CIJ sur la déclaration d'indépendance du Kosovo.</v>
          </cell>
          <cell r="DL169"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row r="170">
          <cell r="DJ170" t="str">
            <v>Table 3i - Imports by origin</v>
          </cell>
          <cell r="DK170" t="str">
            <v>Tableau 3i - Importations par pays d'origine</v>
          </cell>
          <cell r="DL170" t="str">
            <v>Таблица 3i - Импорт по странам происхождения</v>
          </cell>
        </row>
        <row r="171">
          <cell r="DJ171" t="str">
            <v>Terajoules</v>
          </cell>
          <cell r="DK171" t="str">
            <v>Terajoules</v>
          </cell>
          <cell r="DL171" t="str">
            <v>Тераджоули</v>
          </cell>
        </row>
        <row r="335">
          <cell r="DJ335" t="str">
            <v>Total Imports</v>
          </cell>
          <cell r="DK335" t="str">
            <v>Total des importations</v>
          </cell>
          <cell r="DL335" t="str">
            <v>Импорт всего</v>
          </cell>
        </row>
        <row r="336">
          <cell r="DJ336" t="str">
            <v>"Not elsewhere specified": Please specify on the ** Remarks page.</v>
          </cell>
          <cell r="DK336" t="str">
            <v>"Non spécifié ailleurs " : Veuillez préciser à la page réservée aux remarques.</v>
          </cell>
          <cell r="DL336" t="str">
            <v>"Из других источников" : Уточните пожалуйста используя страницу "Заметки".</v>
          </cell>
        </row>
        <row r="337">
          <cell r="DJ337" t="str">
            <v>* This designation is without prejudice to positions on status, and is line with UNSCR 1244 and the ICJ Opinion on the Kosovo declaration of independence.</v>
          </cell>
          <cell r="DK337" t="str">
            <v>* Cette désignation est sans préjudice des positions sur le statut, et est conforme à la résolution 1244 du Conseil de sécurité des Nations Unies et à l'avis de la CIJ sur la déclaration d'indépendance du Kosovo.</v>
          </cell>
          <cell r="DL337"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sheetData>
      <sheetData sheetId="20">
        <row r="1">
          <cell r="DJ1" t="str">
            <v>Table 3ii - LNG imports by origin</v>
          </cell>
          <cell r="DK1" t="str">
            <v>Tableau 3ii - Importations de GNL par pays d'origine</v>
          </cell>
          <cell r="DL1" t="str">
            <v>Таблица 3ii - Импорт СПГ по странам происхождения</v>
          </cell>
        </row>
        <row r="3">
          <cell r="DJ3" t="str">
            <v>Million cubic metres</v>
          </cell>
          <cell r="DK3" t="str">
            <v>Millions mètres cube</v>
          </cell>
          <cell r="DL3" t="str">
            <v>Миллионы кубических метров</v>
          </cell>
        </row>
        <row r="168">
          <cell r="DJ168" t="str">
            <v>"Not elsewhere specified": Please specify on the Remarks page.</v>
          </cell>
          <cell r="DK168" t="str">
            <v>"Non spécifié ailleurs " : Veuillez préciser à la page réservée aux remarques.</v>
          </cell>
          <cell r="DL168" t="str">
            <v>«В другом месте не указано»: укажите на странице «Комментарии».</v>
          </cell>
        </row>
        <row r="169">
          <cell r="DJ169" t="str">
            <v>* This designation is without prejudice to positions on status, and is line with UNSCR 1244 and the ICJ Opinion on the Kosovo declaration of independence.</v>
          </cell>
          <cell r="DK169" t="str">
            <v>* Cette désignation est sans préjudice des positions sur le statut, et est conforme à la résolution 1244 du Conseil de sécurité des Nations Unies et à l'avis de la CIJ sur la déclaration d'indépendance du Kosovo.</v>
          </cell>
          <cell r="DL169"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row r="170">
          <cell r="DJ170" t="str">
            <v>Table 3ii - LNG imports by origin</v>
          </cell>
          <cell r="DK170" t="str">
            <v>Tableau 3ii - Importations de GNL par pays d'origine</v>
          </cell>
          <cell r="DL170" t="str">
            <v>Таблица 3ii - Импорт СПГ по странам происхождения</v>
          </cell>
        </row>
        <row r="171">
          <cell r="DJ171" t="str">
            <v>Terajoules</v>
          </cell>
          <cell r="DK171" t="str">
            <v>Terajoules</v>
          </cell>
          <cell r="DL171" t="str">
            <v>Тераджоули</v>
          </cell>
        </row>
        <row r="336">
          <cell r="DJ336" t="str">
            <v>"Not elsewhere specified": Please specify on the Remarks page.</v>
          </cell>
          <cell r="DK336" t="str">
            <v>"Non spécifié ailleurs " : Veuillez préciser à la page réservée aux remarques.</v>
          </cell>
          <cell r="DL336" t="str">
            <v>«В другом месте не указано»: укажите на странице «Комментарии».</v>
          </cell>
        </row>
        <row r="337">
          <cell r="DJ337" t="str">
            <v>* This designation is without prejudice to positions on status, and is line with UNSCR 1244 and the ICJ Opinion on the Kosovo declaration of independence.</v>
          </cell>
          <cell r="DK337" t="str">
            <v>* Cette désignation est sans préjudice des positions sur le statut, et est conforme à la résolution 1244 du Conseil de sécurité des Nations Unies et à l'avis de la CIJ sur la déclaration d'indépendance du Kosovo.</v>
          </cell>
          <cell r="DL337"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sheetData>
      <sheetData sheetId="21">
        <row r="1">
          <cell r="DJ1" t="str">
            <v>Table 4i - Exports by destination</v>
          </cell>
          <cell r="DK1" t="str">
            <v>Tableau 4i - Exportations par destination</v>
          </cell>
          <cell r="DL1" t="str">
            <v>Таблица 4i - Экспорт по странам назначения</v>
          </cell>
        </row>
        <row r="3">
          <cell r="DJ3" t="str">
            <v>Million cubic metres</v>
          </cell>
          <cell r="DK3" t="str">
            <v>Millions mètres cube</v>
          </cell>
          <cell r="DL3" t="str">
            <v>Миллионы кубических метров</v>
          </cell>
        </row>
        <row r="4">
          <cell r="DJ4" t="str">
            <v>Albania</v>
          </cell>
          <cell r="DK4" t="str">
            <v>Albanie</v>
          </cell>
          <cell r="DL4" t="str">
            <v>Албания</v>
          </cell>
        </row>
        <row r="5">
          <cell r="DJ5" t="str">
            <v>Algeria</v>
          </cell>
          <cell r="DK5" t="str">
            <v>Algérie</v>
          </cell>
          <cell r="DL5" t="str">
            <v>Алжир</v>
          </cell>
        </row>
        <row r="6">
          <cell r="DJ6" t="str">
            <v>Andorra</v>
          </cell>
          <cell r="DK6" t="str">
            <v>Andorre</v>
          </cell>
          <cell r="DL6" t="str">
            <v>андорра</v>
          </cell>
        </row>
        <row r="7">
          <cell r="DJ7" t="str">
            <v>Angola</v>
          </cell>
          <cell r="DK7" t="str">
            <v>Angola</v>
          </cell>
          <cell r="DL7" t="str">
            <v>Ангола</v>
          </cell>
        </row>
        <row r="8">
          <cell r="DJ8" t="str">
            <v>Argentina</v>
          </cell>
          <cell r="DK8" t="str">
            <v>Argentine</v>
          </cell>
          <cell r="DL8" t="str">
            <v>Аргентина</v>
          </cell>
        </row>
        <row r="9">
          <cell r="DJ9" t="str">
            <v>Armenia</v>
          </cell>
          <cell r="DK9" t="str">
            <v>Arménie</v>
          </cell>
          <cell r="DL9" t="str">
            <v>Армения</v>
          </cell>
        </row>
        <row r="10">
          <cell r="DJ10" t="str">
            <v>Aruba</v>
          </cell>
          <cell r="DK10" t="str">
            <v>Aruba</v>
          </cell>
          <cell r="DL10" t="str">
            <v>Аруба</v>
          </cell>
        </row>
        <row r="11">
          <cell r="DJ11" t="str">
            <v>Australia</v>
          </cell>
          <cell r="DK11" t="str">
            <v>Australie</v>
          </cell>
          <cell r="DL11" t="str">
            <v>Австралия</v>
          </cell>
        </row>
        <row r="12">
          <cell r="DJ12" t="str">
            <v>Austria</v>
          </cell>
          <cell r="DK12" t="str">
            <v>Autriche</v>
          </cell>
          <cell r="DL12" t="str">
            <v>Австрия</v>
          </cell>
        </row>
        <row r="13">
          <cell r="DJ13" t="str">
            <v>Azerbaijan</v>
          </cell>
          <cell r="DK13" t="str">
            <v>Azerbaïdjan</v>
          </cell>
          <cell r="DL13" t="str">
            <v>Азербайджан</v>
          </cell>
        </row>
        <row r="14">
          <cell r="DJ14" t="str">
            <v>Bahamas</v>
          </cell>
          <cell r="DK14" t="str">
            <v>Bahamas</v>
          </cell>
          <cell r="DL14" t="str">
            <v>Багамские о-ва</v>
          </cell>
        </row>
        <row r="15">
          <cell r="DJ15" t="str">
            <v>Bahrain</v>
          </cell>
          <cell r="DK15" t="str">
            <v>Bahreïn</v>
          </cell>
          <cell r="DL15" t="str">
            <v>Бахрейн</v>
          </cell>
        </row>
        <row r="16">
          <cell r="DJ16" t="str">
            <v>Bangladesh</v>
          </cell>
          <cell r="DK16" t="str">
            <v>Bangladesh</v>
          </cell>
          <cell r="DL16" t="str">
            <v>Бангладеш</v>
          </cell>
        </row>
        <row r="17">
          <cell r="DJ17" t="str">
            <v>Barbados</v>
          </cell>
          <cell r="DK17" t="str">
            <v>Barbade</v>
          </cell>
          <cell r="DL17" t="str">
            <v>Барбадос</v>
          </cell>
        </row>
        <row r="18">
          <cell r="DJ18" t="str">
            <v>Belarus</v>
          </cell>
          <cell r="DK18" t="str">
            <v>Biélorussie</v>
          </cell>
          <cell r="DL18" t="str">
            <v>Беларусь</v>
          </cell>
        </row>
        <row r="19">
          <cell r="DJ19" t="str">
            <v>Belgium</v>
          </cell>
          <cell r="DK19" t="str">
            <v>Belgique</v>
          </cell>
          <cell r="DL19" t="str">
            <v>Бельгия</v>
          </cell>
        </row>
        <row r="20">
          <cell r="DJ20" t="str">
            <v>Belize</v>
          </cell>
          <cell r="DK20" t="str">
            <v>Belize</v>
          </cell>
          <cell r="DL20" t="str">
            <v>Белиз</v>
          </cell>
        </row>
        <row r="21">
          <cell r="DJ21" t="str">
            <v>Benin</v>
          </cell>
          <cell r="DK21" t="str">
            <v>Bénin</v>
          </cell>
          <cell r="DL21" t="str">
            <v>Бенин</v>
          </cell>
        </row>
        <row r="22">
          <cell r="DJ22" t="str">
            <v>Bolivia</v>
          </cell>
          <cell r="DK22" t="str">
            <v>Bolivie</v>
          </cell>
          <cell r="DL22" t="str">
            <v>Боливия</v>
          </cell>
        </row>
        <row r="23">
          <cell r="DJ23" t="str">
            <v>Bosnia and Herzegovina</v>
          </cell>
          <cell r="DK23" t="str">
            <v>Bosnie-Herzégovine</v>
          </cell>
          <cell r="DL23" t="str">
            <v>Босния и Герцеговина</v>
          </cell>
        </row>
        <row r="24">
          <cell r="DJ24" t="str">
            <v>Brazil</v>
          </cell>
          <cell r="DK24" t="str">
            <v>Brésil</v>
          </cell>
          <cell r="DL24" t="str">
            <v>Бразилия</v>
          </cell>
        </row>
        <row r="25">
          <cell r="DJ25" t="str">
            <v>British Virgin Islands</v>
          </cell>
          <cell r="DK25" t="str">
            <v>Îles Vierges britanniques</v>
          </cell>
          <cell r="DL25" t="str">
            <v>Британские Виргинские острова</v>
          </cell>
        </row>
        <row r="26">
          <cell r="DJ26" t="str">
            <v>Brunei Darussalam</v>
          </cell>
          <cell r="DK26" t="str">
            <v>Brunei Darussalam</v>
          </cell>
          <cell r="DL26" t="str">
            <v>Бруней-Даруссалам</v>
          </cell>
        </row>
        <row r="27">
          <cell r="DJ27" t="str">
            <v>Bulgaria</v>
          </cell>
          <cell r="DK27" t="str">
            <v>Bulgarie</v>
          </cell>
          <cell r="DL27" t="str">
            <v>Болгария</v>
          </cell>
        </row>
        <row r="28">
          <cell r="DJ28" t="str">
            <v>Cambodia</v>
          </cell>
          <cell r="DK28" t="str">
            <v>Cambodge</v>
          </cell>
          <cell r="DL28" t="str">
            <v>Камбоджа</v>
          </cell>
        </row>
        <row r="29">
          <cell r="DJ29" t="str">
            <v>Cameroon</v>
          </cell>
          <cell r="DK29" t="str">
            <v>Cameroun</v>
          </cell>
          <cell r="DL29" t="str">
            <v>Камерун</v>
          </cell>
        </row>
        <row r="30">
          <cell r="DJ30" t="str">
            <v>Canada</v>
          </cell>
          <cell r="DK30" t="str">
            <v>Canada</v>
          </cell>
          <cell r="DL30" t="str">
            <v>Канада</v>
          </cell>
        </row>
        <row r="31">
          <cell r="DJ31" t="str">
            <v>Cape Verde / Cabo Verde</v>
          </cell>
          <cell r="DK31" t="str">
            <v>Cap-Vert / Cabo Verde</v>
          </cell>
          <cell r="DL31" t="str">
            <v>Кабо-Верде / Кабо-Верде</v>
          </cell>
        </row>
        <row r="32">
          <cell r="DJ32" t="str">
            <v>Chile</v>
          </cell>
          <cell r="DK32" t="str">
            <v>Chili</v>
          </cell>
          <cell r="DL32" t="str">
            <v>Чили</v>
          </cell>
        </row>
        <row r="33">
          <cell r="DJ33" t="str">
            <v>China, People's Republic of</v>
          </cell>
          <cell r="DK33" t="str">
            <v>Chine, République populaire de</v>
          </cell>
          <cell r="DL33" t="str">
            <v>Китай, Народная Республика</v>
          </cell>
        </row>
        <row r="34">
          <cell r="DJ34" t="str">
            <v>Colombia</v>
          </cell>
          <cell r="DK34" t="str">
            <v>Colombie</v>
          </cell>
          <cell r="DL34" t="str">
            <v>Колумбия</v>
          </cell>
        </row>
        <row r="35">
          <cell r="DJ35" t="str">
            <v>Congo</v>
          </cell>
          <cell r="DK35" t="str">
            <v>Congo</v>
          </cell>
          <cell r="DL35" t="str">
            <v>Конго</v>
          </cell>
        </row>
        <row r="36">
          <cell r="DJ36" t="str">
            <v>Costa Rica</v>
          </cell>
          <cell r="DK36" t="str">
            <v>Costa Rica</v>
          </cell>
          <cell r="DL36" t="str">
            <v>Коста-Рика</v>
          </cell>
        </row>
        <row r="37">
          <cell r="DJ37" t="str">
            <v>Côte d’Ivoire</v>
          </cell>
          <cell r="DK37" t="str">
            <v>Côte d’Ivoire</v>
          </cell>
          <cell r="DL37" t="str">
            <v>Берег Слоновой Кости</v>
          </cell>
        </row>
        <row r="38">
          <cell r="DJ38" t="str">
            <v>Croatia</v>
          </cell>
          <cell r="DK38" t="str">
            <v>Croatie</v>
          </cell>
          <cell r="DL38" t="str">
            <v>Хорватия</v>
          </cell>
        </row>
        <row r="39">
          <cell r="DJ39" t="str">
            <v>Cuba</v>
          </cell>
          <cell r="DK39" t="str">
            <v>Cuba</v>
          </cell>
          <cell r="DL39" t="str">
            <v>Куба</v>
          </cell>
        </row>
        <row r="40">
          <cell r="DJ40" t="str">
            <v>Curaçao</v>
          </cell>
          <cell r="DK40" t="str">
            <v>Curaçao</v>
          </cell>
          <cell r="DL40" t="str">
            <v>Кюрасао</v>
          </cell>
        </row>
        <row r="41">
          <cell r="DJ41" t="str">
            <v>Cyprus</v>
          </cell>
          <cell r="DK41" t="str">
            <v>Chypre</v>
          </cell>
          <cell r="DL41" t="str">
            <v>Кипр</v>
          </cell>
        </row>
        <row r="42">
          <cell r="DJ42" t="str">
            <v>Czech Republic</v>
          </cell>
          <cell r="DK42" t="str">
            <v>République tchèque</v>
          </cell>
          <cell r="DL42" t="str">
            <v>Чешская Республика</v>
          </cell>
        </row>
        <row r="43">
          <cell r="DJ43" t="str">
            <v>Korea, Democratic People's Republic of</v>
          </cell>
          <cell r="DK43" t="str">
            <v>Corée, République populaire démocratique de</v>
          </cell>
          <cell r="DL43" t="str">
            <v>Корейская Народно-Демократическая Республика</v>
          </cell>
        </row>
        <row r="44">
          <cell r="DJ44" t="str">
            <v>Congo, Democratic Republic of the</v>
          </cell>
          <cell r="DK44" t="str">
            <v>Congo, République démocratique du</v>
          </cell>
          <cell r="DL44" t="str">
            <v>Демократическая Республика Конго</v>
          </cell>
        </row>
        <row r="45">
          <cell r="DJ45" t="str">
            <v>Denmark</v>
          </cell>
          <cell r="DK45" t="str">
            <v>Danemark</v>
          </cell>
          <cell r="DL45" t="str">
            <v>Дания</v>
          </cell>
        </row>
        <row r="46">
          <cell r="DJ46" t="str">
            <v>Djibouti</v>
          </cell>
          <cell r="DK46" t="str">
            <v>Djibouti</v>
          </cell>
          <cell r="DL46" t="str">
            <v>Джибути</v>
          </cell>
        </row>
        <row r="47">
          <cell r="DJ47" t="str">
            <v>Dominican Republic</v>
          </cell>
          <cell r="DK47" t="str">
            <v>République dominicaine</v>
          </cell>
          <cell r="DL47" t="str">
            <v>Доминиканская Республика</v>
          </cell>
        </row>
        <row r="48">
          <cell r="DJ48" t="str">
            <v>Ecuador</v>
          </cell>
          <cell r="DK48" t="str">
            <v>Équateur</v>
          </cell>
          <cell r="DL48" t="str">
            <v>Эквадор</v>
          </cell>
        </row>
        <row r="49">
          <cell r="DJ49" t="str">
            <v>Egypt</v>
          </cell>
          <cell r="DK49" t="str">
            <v>Égypte</v>
          </cell>
          <cell r="DL49" t="str">
            <v>Египет</v>
          </cell>
        </row>
        <row r="50">
          <cell r="DJ50" t="str">
            <v>Equatorial Guinea</v>
          </cell>
          <cell r="DK50" t="str">
            <v>Guinée équatoriale</v>
          </cell>
          <cell r="DL50" t="str">
            <v>Экваториальная Гвинея</v>
          </cell>
        </row>
        <row r="51">
          <cell r="DJ51" t="str">
            <v>Eritrea</v>
          </cell>
          <cell r="DK51" t="str">
            <v>Érythrée</v>
          </cell>
          <cell r="DL51" t="str">
            <v>Эритрея</v>
          </cell>
        </row>
        <row r="52">
          <cell r="DJ52" t="str">
            <v>Estonia</v>
          </cell>
          <cell r="DK52" t="str">
            <v>Estonie</v>
          </cell>
          <cell r="DL52" t="str">
            <v>Эстония</v>
          </cell>
        </row>
        <row r="53">
          <cell r="DJ53" t="str">
            <v>Ethiopia</v>
          </cell>
          <cell r="DK53" t="str">
            <v>Éthiopie</v>
          </cell>
          <cell r="DL53" t="str">
            <v>Эфиопия</v>
          </cell>
        </row>
        <row r="54">
          <cell r="DJ54" t="str">
            <v>Finland</v>
          </cell>
          <cell r="DK54" t="str">
            <v>Finlande</v>
          </cell>
          <cell r="DL54" t="str">
            <v>Финляндия</v>
          </cell>
        </row>
        <row r="55">
          <cell r="DJ55" t="str">
            <v>Macedonia, Former Yugoslav Republic of</v>
          </cell>
          <cell r="DK55" t="str">
            <v>Macédoine, Ex-République yougoslave de</v>
          </cell>
          <cell r="DL55" t="str">
            <v>Бывшая югославская Республика Македония</v>
          </cell>
        </row>
        <row r="56">
          <cell r="DJ56" t="str">
            <v>France</v>
          </cell>
          <cell r="DK56" t="str">
            <v>France</v>
          </cell>
          <cell r="DL56" t="str">
            <v>Франция</v>
          </cell>
        </row>
        <row r="57">
          <cell r="DJ57" t="str">
            <v>Gabon</v>
          </cell>
          <cell r="DK57" t="str">
            <v>Gabon</v>
          </cell>
          <cell r="DL57" t="str">
            <v>Габон</v>
          </cell>
        </row>
        <row r="58">
          <cell r="DJ58" t="str">
            <v>Georgia</v>
          </cell>
          <cell r="DK58" t="str">
            <v>Géorgie</v>
          </cell>
          <cell r="DL58" t="str">
            <v>Грузия</v>
          </cell>
        </row>
        <row r="59">
          <cell r="DJ59" t="str">
            <v>Germany</v>
          </cell>
          <cell r="DK59" t="str">
            <v>Allemagne</v>
          </cell>
          <cell r="DL59" t="str">
            <v>Германия</v>
          </cell>
        </row>
        <row r="60">
          <cell r="DJ60" t="str">
            <v>Ghana</v>
          </cell>
          <cell r="DK60" t="str">
            <v>Ghana</v>
          </cell>
          <cell r="DL60" t="str">
            <v>Гана</v>
          </cell>
        </row>
        <row r="61">
          <cell r="DJ61" t="str">
            <v>Gibraltar</v>
          </cell>
          <cell r="DK61" t="str">
            <v>Gibraltar</v>
          </cell>
          <cell r="DL61" t="str">
            <v>Гибралтар</v>
          </cell>
        </row>
        <row r="62">
          <cell r="DJ62" t="str">
            <v>Greece</v>
          </cell>
          <cell r="DK62" t="str">
            <v>Grèce</v>
          </cell>
          <cell r="DL62" t="str">
            <v>Греция</v>
          </cell>
        </row>
        <row r="63">
          <cell r="DJ63" t="str">
            <v>Guatemala</v>
          </cell>
          <cell r="DK63" t="str">
            <v>Guatemala</v>
          </cell>
          <cell r="DL63" t="str">
            <v>Гватемала</v>
          </cell>
        </row>
        <row r="64">
          <cell r="DJ64" t="str">
            <v>Guinea-Bissau</v>
          </cell>
          <cell r="DK64" t="str">
            <v>Guinée-Bissau</v>
          </cell>
          <cell r="DL64" t="str">
            <v>Гвинея-Бисау</v>
          </cell>
        </row>
        <row r="65">
          <cell r="DJ65" t="str">
            <v>Honduras</v>
          </cell>
          <cell r="DK65" t="str">
            <v>Honduras</v>
          </cell>
          <cell r="DL65" t="str">
            <v>Гондурас</v>
          </cell>
        </row>
        <row r="66">
          <cell r="DJ66" t="str">
            <v>Hong Kong, China</v>
          </cell>
          <cell r="DK66" t="str">
            <v>Hong Kong, Chine</v>
          </cell>
          <cell r="DL66" t="str">
            <v>Гонконг, Китай</v>
          </cell>
        </row>
        <row r="67">
          <cell r="DJ67" t="str">
            <v>Hungary</v>
          </cell>
          <cell r="DK67" t="str">
            <v>Hongrie</v>
          </cell>
          <cell r="DL67" t="str">
            <v>Венгрия</v>
          </cell>
        </row>
        <row r="68">
          <cell r="DJ68" t="str">
            <v>Iceland</v>
          </cell>
          <cell r="DK68" t="str">
            <v>Islande</v>
          </cell>
          <cell r="DL68" t="str">
            <v>Исландия</v>
          </cell>
        </row>
        <row r="69">
          <cell r="DJ69" t="str">
            <v>India</v>
          </cell>
          <cell r="DK69" t="str">
            <v>Inde</v>
          </cell>
          <cell r="DL69" t="str">
            <v>Индия</v>
          </cell>
        </row>
        <row r="70">
          <cell r="DJ70" t="str">
            <v>Indonesia</v>
          </cell>
          <cell r="DK70" t="str">
            <v>Indonésie</v>
          </cell>
          <cell r="DL70" t="str">
            <v>Индонезия</v>
          </cell>
        </row>
        <row r="71">
          <cell r="DJ71" t="str">
            <v>Iran, Islamic Republic of</v>
          </cell>
          <cell r="DK71" t="str">
            <v>Iran</v>
          </cell>
          <cell r="DL71" t="str">
            <v>Исламская Республика Иран</v>
          </cell>
        </row>
        <row r="72">
          <cell r="DJ72" t="str">
            <v>Iraq</v>
          </cell>
          <cell r="DK72" t="str">
            <v>Iraq</v>
          </cell>
          <cell r="DL72" t="str">
            <v>Ирак</v>
          </cell>
        </row>
        <row r="73">
          <cell r="DJ73" t="str">
            <v>Ireland</v>
          </cell>
          <cell r="DK73" t="str">
            <v>Irlande</v>
          </cell>
          <cell r="DL73" t="str">
            <v>Ирландия</v>
          </cell>
        </row>
        <row r="74">
          <cell r="DJ74" t="str">
            <v>Israel</v>
          </cell>
          <cell r="DK74" t="str">
            <v>Israël</v>
          </cell>
          <cell r="DL74" t="str">
            <v>Израиль</v>
          </cell>
        </row>
        <row r="75">
          <cell r="DJ75" t="str">
            <v>Italy</v>
          </cell>
          <cell r="DK75" t="str">
            <v>Italie</v>
          </cell>
          <cell r="DL75" t="str">
            <v>Италия</v>
          </cell>
        </row>
        <row r="76">
          <cell r="DJ76" t="str">
            <v>Jamaica</v>
          </cell>
          <cell r="DK76" t="str">
            <v>Jamaïque</v>
          </cell>
          <cell r="DL76" t="str">
            <v>Ямайка</v>
          </cell>
        </row>
        <row r="77">
          <cell r="DJ77" t="str">
            <v>Japan</v>
          </cell>
          <cell r="DK77" t="str">
            <v>Japon</v>
          </cell>
          <cell r="DL77" t="str">
            <v>Япония</v>
          </cell>
        </row>
        <row r="78">
          <cell r="DJ78" t="str">
            <v>Jordan</v>
          </cell>
          <cell r="DK78" t="str">
            <v>Jordanie</v>
          </cell>
          <cell r="DL78" t="str">
            <v>Иордания</v>
          </cell>
        </row>
        <row r="79">
          <cell r="DJ79" t="str">
            <v>Kazakhstan</v>
          </cell>
          <cell r="DK79" t="str">
            <v>Kazakhstan</v>
          </cell>
          <cell r="DL79" t="str">
            <v>Казахстан</v>
          </cell>
        </row>
        <row r="80">
          <cell r="DJ80" t="str">
            <v>Kenya</v>
          </cell>
          <cell r="DK80" t="str">
            <v>Kenya</v>
          </cell>
          <cell r="DL80" t="str">
            <v>Кения</v>
          </cell>
        </row>
        <row r="81">
          <cell r="DJ81" t="str">
            <v>Korea</v>
          </cell>
          <cell r="DK81" t="str">
            <v>Corée</v>
          </cell>
          <cell r="DL81" t="str">
            <v>Корея</v>
          </cell>
        </row>
        <row r="82">
          <cell r="DJ82" t="str">
            <v>Kosovo*</v>
          </cell>
          <cell r="DK82" t="str">
            <v>Kosovo*</v>
          </cell>
          <cell r="DL82" t="str">
            <v>Косово*</v>
          </cell>
        </row>
        <row r="83">
          <cell r="DJ83" t="str">
            <v>Kuwait</v>
          </cell>
          <cell r="DK83" t="str">
            <v>Koweït</v>
          </cell>
          <cell r="DL83" t="str">
            <v>Кувейт</v>
          </cell>
        </row>
        <row r="84">
          <cell r="DJ84" t="str">
            <v>Kyrgyzstan</v>
          </cell>
          <cell r="DK84" t="str">
            <v>Kirghizistan</v>
          </cell>
          <cell r="DL84" t="str">
            <v>Киргизия</v>
          </cell>
        </row>
        <row r="85">
          <cell r="DJ85" t="str">
            <v>Lao People's Democratic Republic</v>
          </cell>
          <cell r="DK85" t="str">
            <v>Laos</v>
          </cell>
          <cell r="DL85" t="str">
            <v>Лаосская Народно-Демократическая Республика</v>
          </cell>
        </row>
        <row r="86">
          <cell r="DJ86" t="str">
            <v>Latvia</v>
          </cell>
          <cell r="DK86" t="str">
            <v>Lettonie</v>
          </cell>
          <cell r="DL86" t="str">
            <v>Латвия</v>
          </cell>
        </row>
        <row r="87">
          <cell r="DJ87" t="str">
            <v>Lebanon</v>
          </cell>
          <cell r="DK87" t="str">
            <v>Liban</v>
          </cell>
          <cell r="DL87" t="str">
            <v>Ливан</v>
          </cell>
        </row>
        <row r="88">
          <cell r="DJ88" t="str">
            <v>Liberia</v>
          </cell>
          <cell r="DK88" t="str">
            <v>Libéria</v>
          </cell>
          <cell r="DL88" t="str">
            <v>Либерия</v>
          </cell>
        </row>
        <row r="89">
          <cell r="DJ89" t="str">
            <v>Libya</v>
          </cell>
          <cell r="DK89" t="str">
            <v>Libye</v>
          </cell>
          <cell r="DL89" t="str">
            <v>Ливия</v>
          </cell>
        </row>
        <row r="90">
          <cell r="DJ90" t="str">
            <v>Liechtenstein</v>
          </cell>
          <cell r="DK90" t="str">
            <v>Liechtenstein</v>
          </cell>
          <cell r="DL90" t="str">
            <v>Лихтенштейн</v>
          </cell>
        </row>
        <row r="91">
          <cell r="DJ91" t="str">
            <v>Lithuania</v>
          </cell>
          <cell r="DK91" t="str">
            <v>Lituanie</v>
          </cell>
          <cell r="DL91" t="str">
            <v>Литва</v>
          </cell>
        </row>
        <row r="92">
          <cell r="DJ92" t="str">
            <v>Luxembourg</v>
          </cell>
          <cell r="DK92" t="str">
            <v>Luxembourg</v>
          </cell>
          <cell r="DL92" t="str">
            <v>Люксембург</v>
          </cell>
        </row>
        <row r="93">
          <cell r="DJ93" t="str">
            <v>Madagascar</v>
          </cell>
          <cell r="DK93" t="str">
            <v>Madagascar</v>
          </cell>
          <cell r="DL93" t="str">
            <v>Мадагаскар</v>
          </cell>
        </row>
        <row r="94">
          <cell r="DJ94" t="str">
            <v>Malaysia</v>
          </cell>
          <cell r="DK94" t="str">
            <v>Malaisie</v>
          </cell>
          <cell r="DL94" t="str">
            <v>Малайзия</v>
          </cell>
        </row>
        <row r="95">
          <cell r="DJ95" t="str">
            <v>Malta</v>
          </cell>
          <cell r="DK95" t="str">
            <v>Malte</v>
          </cell>
          <cell r="DL95" t="str">
            <v>Мальта</v>
          </cell>
        </row>
        <row r="96">
          <cell r="DJ96" t="str">
            <v>Marshall Islands</v>
          </cell>
          <cell r="DK96" t="str">
            <v>Îles Marshall</v>
          </cell>
          <cell r="DL96" t="str">
            <v>Маршалловы острова</v>
          </cell>
        </row>
        <row r="97">
          <cell r="DJ97" t="str">
            <v>Mauritania</v>
          </cell>
          <cell r="DK97" t="str">
            <v>Mauritanie</v>
          </cell>
          <cell r="DL97" t="str">
            <v>Мавритания</v>
          </cell>
        </row>
        <row r="98">
          <cell r="DJ98" t="str">
            <v>Mauritius</v>
          </cell>
          <cell r="DK98" t="str">
            <v>Maurice</v>
          </cell>
          <cell r="DL98" t="str">
            <v>Маврикий</v>
          </cell>
        </row>
        <row r="99">
          <cell r="DJ99" t="str">
            <v>Mexico</v>
          </cell>
          <cell r="DK99" t="str">
            <v>Mexique</v>
          </cell>
          <cell r="DL99" t="str">
            <v>Мексика</v>
          </cell>
        </row>
        <row r="100">
          <cell r="DJ100" t="str">
            <v>Moldova, Republic of</v>
          </cell>
          <cell r="DK100" t="str">
            <v>Moldavie, République de</v>
          </cell>
          <cell r="DL100" t="str">
            <v>Молдова</v>
          </cell>
        </row>
        <row r="101">
          <cell r="DJ101" t="str">
            <v>Mongolia</v>
          </cell>
          <cell r="DK101" t="str">
            <v>Mongolie</v>
          </cell>
          <cell r="DL101" t="str">
            <v>Монголия</v>
          </cell>
        </row>
        <row r="102">
          <cell r="DJ102" t="str">
            <v>Montenegro</v>
          </cell>
          <cell r="DK102" t="str">
            <v>Monténégro</v>
          </cell>
          <cell r="DL102" t="str">
            <v>Черногория</v>
          </cell>
        </row>
        <row r="103">
          <cell r="DJ103" t="str">
            <v>Morocco</v>
          </cell>
          <cell r="DK103" t="str">
            <v>Maroc</v>
          </cell>
          <cell r="DL103" t="str">
            <v>Марокко</v>
          </cell>
        </row>
        <row r="104">
          <cell r="DJ104" t="str">
            <v>Mozambique</v>
          </cell>
          <cell r="DK104" t="str">
            <v>Mozambique</v>
          </cell>
          <cell r="DL104" t="str">
            <v>Мозамбик</v>
          </cell>
        </row>
        <row r="105">
          <cell r="DJ105" t="str">
            <v>Myanmar</v>
          </cell>
          <cell r="DK105" t="str">
            <v>Myanmar</v>
          </cell>
          <cell r="DL105" t="str">
            <v>Мьянма</v>
          </cell>
        </row>
        <row r="106">
          <cell r="DJ106" t="str">
            <v>Namibia</v>
          </cell>
          <cell r="DK106" t="str">
            <v>Namibie</v>
          </cell>
          <cell r="DL106" t="str">
            <v>Намибия</v>
          </cell>
        </row>
        <row r="107">
          <cell r="DJ107" t="str">
            <v>Nepal</v>
          </cell>
          <cell r="DK107" t="str">
            <v>Népal</v>
          </cell>
          <cell r="DL107" t="str">
            <v>Непал</v>
          </cell>
        </row>
        <row r="108">
          <cell r="DJ108" t="str">
            <v>Netherlands</v>
          </cell>
          <cell r="DK108" t="str">
            <v>Pays-Bas</v>
          </cell>
          <cell r="DL108" t="str">
            <v>Нидерланды</v>
          </cell>
        </row>
        <row r="109">
          <cell r="DJ109" t="str">
            <v>New Caledonia</v>
          </cell>
          <cell r="DK109" t="str">
            <v>Nouvelle-Calédonie</v>
          </cell>
          <cell r="DL109" t="str">
            <v>Новая Каледония</v>
          </cell>
        </row>
        <row r="110">
          <cell r="DJ110" t="str">
            <v>New Zealand</v>
          </cell>
          <cell r="DK110" t="str">
            <v>Nouvelle-Zélande</v>
          </cell>
          <cell r="DL110" t="str">
            <v>Новая Зеландия</v>
          </cell>
        </row>
        <row r="111">
          <cell r="DJ111" t="str">
            <v>Nigeria</v>
          </cell>
          <cell r="DK111" t="str">
            <v>Nigéria</v>
          </cell>
          <cell r="DL111" t="str">
            <v>Нигерия</v>
          </cell>
        </row>
        <row r="112">
          <cell r="DJ112" t="str">
            <v>Norway</v>
          </cell>
          <cell r="DK112" t="str">
            <v>Norvège</v>
          </cell>
          <cell r="DL112" t="str">
            <v>Норвегия</v>
          </cell>
        </row>
        <row r="113">
          <cell r="DJ113" t="str">
            <v>Oman</v>
          </cell>
          <cell r="DK113" t="str">
            <v>Oman</v>
          </cell>
          <cell r="DL113" t="str">
            <v>Оман</v>
          </cell>
        </row>
        <row r="114">
          <cell r="DJ114" t="str">
            <v>Other Africa</v>
          </cell>
          <cell r="DK114" t="str">
            <v>Autres Afrique</v>
          </cell>
          <cell r="DL114" t="str">
            <v>Другие страны Африки</v>
          </cell>
        </row>
        <row r="115">
          <cell r="DJ115" t="str">
            <v>Other Asia Oceania</v>
          </cell>
          <cell r="DK115" t="str">
            <v>Autres Asie Océanie</v>
          </cell>
          <cell r="DL115" t="str">
            <v>Другие Азия Океания</v>
          </cell>
        </row>
        <row r="116">
          <cell r="DJ116" t="str">
            <v>Other Europe</v>
          </cell>
          <cell r="DK116" t="str">
            <v>Autres Europe</v>
          </cell>
          <cell r="DL116" t="str">
            <v>Другая Европа</v>
          </cell>
        </row>
        <row r="117">
          <cell r="DJ117" t="str">
            <v>Other Former Soviet Union</v>
          </cell>
          <cell r="DK117" t="str">
            <v>Autres ex-Union soviétique</v>
          </cell>
          <cell r="DL117" t="str">
            <v>Другой бывший Советский Союз</v>
          </cell>
        </row>
        <row r="118">
          <cell r="DJ118" t="str">
            <v>Other Near and Middle East</v>
          </cell>
          <cell r="DK118" t="str">
            <v>Autres Proche et Moyen-Orient</v>
          </cell>
          <cell r="DL118" t="str">
            <v>Другие Ближний и Средний Восток</v>
          </cell>
        </row>
        <row r="119">
          <cell r="DJ119" t="str">
            <v>Other Non-OECD Americas</v>
          </cell>
          <cell r="DK119" t="str">
            <v>Autres Amériques Non-OCDE</v>
          </cell>
          <cell r="DL119" t="str">
            <v>Другие страны, не входящие в ОЭСР</v>
          </cell>
        </row>
        <row r="120">
          <cell r="DJ120" t="str">
            <v>Pakistan</v>
          </cell>
          <cell r="DK120" t="str">
            <v>Pakistan</v>
          </cell>
          <cell r="DL120" t="str">
            <v>Пакистан</v>
          </cell>
        </row>
        <row r="121">
          <cell r="DJ121" t="str">
            <v>Panama</v>
          </cell>
          <cell r="DK121" t="str">
            <v>Panama</v>
          </cell>
          <cell r="DL121" t="str">
            <v>Панама</v>
          </cell>
        </row>
        <row r="122">
          <cell r="DJ122" t="str">
            <v>Papua New Guinea</v>
          </cell>
          <cell r="DK122" t="str">
            <v>Papouasie-Nouvelle-Guinée</v>
          </cell>
          <cell r="DL122" t="str">
            <v>Папуа - Новая Гвинея</v>
          </cell>
        </row>
        <row r="123">
          <cell r="DJ123" t="str">
            <v>Peru</v>
          </cell>
          <cell r="DK123" t="str">
            <v>Pérou</v>
          </cell>
          <cell r="DL123" t="str">
            <v>Перу</v>
          </cell>
        </row>
        <row r="124">
          <cell r="DJ124" t="str">
            <v>Philippines</v>
          </cell>
          <cell r="DK124" t="str">
            <v>Philippines</v>
          </cell>
          <cell r="DL124" t="str">
            <v>Филиппины</v>
          </cell>
        </row>
        <row r="125">
          <cell r="DJ125" t="str">
            <v>Poland</v>
          </cell>
          <cell r="DK125" t="str">
            <v>Pologne</v>
          </cell>
          <cell r="DL125" t="str">
            <v>Польша</v>
          </cell>
        </row>
        <row r="126">
          <cell r="DJ126" t="str">
            <v>Portugal</v>
          </cell>
          <cell r="DK126" t="str">
            <v>Portugal</v>
          </cell>
          <cell r="DL126" t="str">
            <v>Португалия</v>
          </cell>
        </row>
        <row r="127">
          <cell r="DJ127" t="str">
            <v>Qatar</v>
          </cell>
          <cell r="DK127" t="str">
            <v>Qatar</v>
          </cell>
          <cell r="DL127" t="str">
            <v>Катар</v>
          </cell>
        </row>
        <row r="128">
          <cell r="DJ128" t="str">
            <v>Romania</v>
          </cell>
          <cell r="DK128" t="str">
            <v>Roumanie</v>
          </cell>
          <cell r="DL128" t="str">
            <v>Румыния</v>
          </cell>
        </row>
        <row r="129">
          <cell r="DJ129" t="str">
            <v>Russian Federation</v>
          </cell>
          <cell r="DK129" t="str">
            <v>Fédération de Russie</v>
          </cell>
          <cell r="DL129" t="str">
            <v>Российская Федерация</v>
          </cell>
        </row>
        <row r="130">
          <cell r="DJ130" t="str">
            <v>Sao Tome and Principe</v>
          </cell>
          <cell r="DK130" t="str">
            <v>Sao Tomé-et-Principe</v>
          </cell>
          <cell r="DL130" t="str">
            <v>Сан-Томе и Принсипи</v>
          </cell>
        </row>
        <row r="131">
          <cell r="DJ131" t="str">
            <v>Saudi Arabia</v>
          </cell>
          <cell r="DK131" t="str">
            <v>Arabie saoudite</v>
          </cell>
          <cell r="DL131" t="str">
            <v>Саудовская Аравия</v>
          </cell>
        </row>
        <row r="132">
          <cell r="DJ132" t="str">
            <v>Senegal</v>
          </cell>
          <cell r="DK132" t="str">
            <v>Sénégal</v>
          </cell>
          <cell r="DL132" t="str">
            <v>Сенегал</v>
          </cell>
        </row>
        <row r="133">
          <cell r="DJ133" t="str">
            <v>Serbia</v>
          </cell>
          <cell r="DK133" t="str">
            <v>Serbie</v>
          </cell>
          <cell r="DL133" t="str">
            <v>Сербия</v>
          </cell>
        </row>
        <row r="134">
          <cell r="DJ134" t="str">
            <v>Sierra Leone</v>
          </cell>
          <cell r="DK134" t="str">
            <v>Sierra Leone</v>
          </cell>
          <cell r="DL134" t="str">
            <v>Сьерра-Леоне</v>
          </cell>
        </row>
        <row r="135">
          <cell r="DJ135" t="str">
            <v>Singapore</v>
          </cell>
          <cell r="DK135" t="str">
            <v>Singapour</v>
          </cell>
          <cell r="DL135" t="str">
            <v>Сингапур</v>
          </cell>
        </row>
        <row r="136">
          <cell r="DJ136" t="str">
            <v>Slovak Republic</v>
          </cell>
          <cell r="DK136" t="str">
            <v>République slovaque</v>
          </cell>
          <cell r="DL136" t="str">
            <v>Словацкая Республика</v>
          </cell>
        </row>
        <row r="137">
          <cell r="DJ137" t="str">
            <v>Slovenia</v>
          </cell>
          <cell r="DK137" t="str">
            <v>Slovénie</v>
          </cell>
          <cell r="DL137" t="str">
            <v>Словения</v>
          </cell>
        </row>
        <row r="138">
          <cell r="DJ138" t="str">
            <v>South Africa</v>
          </cell>
          <cell r="DK138" t="str">
            <v>Afrique du Sud</v>
          </cell>
          <cell r="DL138" t="str">
            <v>Южная Африка</v>
          </cell>
        </row>
        <row r="139">
          <cell r="DJ139" t="str">
            <v>South Sudan</v>
          </cell>
          <cell r="DK139" t="str">
            <v>Soudan du Sud</v>
          </cell>
          <cell r="DL139" t="str">
            <v>южный Судан</v>
          </cell>
        </row>
        <row r="140">
          <cell r="DJ140" t="str">
            <v>Spain</v>
          </cell>
          <cell r="DK140" t="str">
            <v>Espagne</v>
          </cell>
          <cell r="DL140" t="str">
            <v>Испания</v>
          </cell>
        </row>
        <row r="141">
          <cell r="DJ141" t="str">
            <v>Sri Lanka</v>
          </cell>
          <cell r="DK141" t="str">
            <v>Sri Lanka</v>
          </cell>
          <cell r="DL141" t="str">
            <v>Шри-Ланка</v>
          </cell>
        </row>
        <row r="142">
          <cell r="DJ142" t="str">
            <v>Sudan</v>
          </cell>
          <cell r="DK142" t="str">
            <v>Soudan</v>
          </cell>
          <cell r="DL142" t="str">
            <v>Судан</v>
          </cell>
        </row>
        <row r="143">
          <cell r="DJ143" t="str">
            <v>Sweden</v>
          </cell>
          <cell r="DK143" t="str">
            <v>Suède</v>
          </cell>
          <cell r="DL143" t="str">
            <v>Швеция</v>
          </cell>
        </row>
        <row r="144">
          <cell r="DJ144" t="str">
            <v>Switzerland</v>
          </cell>
          <cell r="DK144" t="str">
            <v>Suisse</v>
          </cell>
          <cell r="DL144" t="str">
            <v>Швейцария</v>
          </cell>
        </row>
        <row r="145">
          <cell r="DJ145" t="str">
            <v>Syrian Arab Republic</v>
          </cell>
          <cell r="DK145" t="str">
            <v>Syrie</v>
          </cell>
          <cell r="DL145" t="str">
            <v>Сирийская Арабская Республика</v>
          </cell>
        </row>
        <row r="146">
          <cell r="DJ146" t="str">
            <v>Taiwan / Chinese Taipei</v>
          </cell>
          <cell r="DK146" t="str">
            <v>Taïwan / Taipei chinois</v>
          </cell>
          <cell r="DL146" t="str">
            <v>Тайвань / Китайский Тайбэй</v>
          </cell>
        </row>
        <row r="147">
          <cell r="DJ147" t="str">
            <v>Tajikistan</v>
          </cell>
          <cell r="DK147" t="str">
            <v>Tadjikistan</v>
          </cell>
          <cell r="DL147" t="str">
            <v>Таджикистан</v>
          </cell>
        </row>
        <row r="148">
          <cell r="DJ148" t="str">
            <v>Tanzania, United Republic of</v>
          </cell>
          <cell r="DK148" t="str">
            <v>Tanzanie, République Unie de</v>
          </cell>
          <cell r="DL148" t="str">
            <v>Танзания</v>
          </cell>
        </row>
        <row r="149">
          <cell r="DJ149" t="str">
            <v>Thailand</v>
          </cell>
          <cell r="DK149" t="str">
            <v>Thaïlande</v>
          </cell>
          <cell r="DL149" t="str">
            <v>Таиланд</v>
          </cell>
        </row>
        <row r="150">
          <cell r="DJ150" t="str">
            <v>Timor-Leste</v>
          </cell>
          <cell r="DK150" t="str">
            <v>Timor-Leste</v>
          </cell>
          <cell r="DL150" t="str">
            <v>Восточный Тимор</v>
          </cell>
        </row>
        <row r="151">
          <cell r="DJ151" t="str">
            <v>Togo</v>
          </cell>
          <cell r="DK151" t="str">
            <v>Togo</v>
          </cell>
          <cell r="DL151" t="str">
            <v>Идти</v>
          </cell>
        </row>
        <row r="152">
          <cell r="DJ152" t="str">
            <v>Trinidad and Tobago</v>
          </cell>
          <cell r="DK152" t="str">
            <v>Trinité-et-Tobago</v>
          </cell>
          <cell r="DL152" t="str">
            <v>Тринидад и Тобаго</v>
          </cell>
        </row>
        <row r="153">
          <cell r="DJ153" t="str">
            <v>Tunisia</v>
          </cell>
          <cell r="DK153" t="str">
            <v>Tunisie</v>
          </cell>
          <cell r="DL153" t="str">
            <v>Тунис</v>
          </cell>
        </row>
        <row r="154">
          <cell r="DJ154" t="str">
            <v>Turkey</v>
          </cell>
          <cell r="DK154" t="str">
            <v>Turquie</v>
          </cell>
          <cell r="DL154" t="str">
            <v>Турция</v>
          </cell>
        </row>
        <row r="155">
          <cell r="DJ155" t="str">
            <v>Turkmenistan</v>
          </cell>
          <cell r="DK155" t="str">
            <v>Turkménistan</v>
          </cell>
          <cell r="DL155" t="str">
            <v>Туркменистан</v>
          </cell>
        </row>
        <row r="156">
          <cell r="DJ156" t="str">
            <v>Uganda</v>
          </cell>
          <cell r="DK156" t="str">
            <v>Ouganda</v>
          </cell>
          <cell r="DL156" t="str">
            <v>Уганда</v>
          </cell>
        </row>
        <row r="157">
          <cell r="DJ157" t="str">
            <v>Ukraine</v>
          </cell>
          <cell r="DK157" t="str">
            <v>Ukraine</v>
          </cell>
          <cell r="DL157" t="str">
            <v>Украина</v>
          </cell>
        </row>
        <row r="158">
          <cell r="DJ158" t="str">
            <v>United Arab Emirates</v>
          </cell>
          <cell r="DK158" t="str">
            <v>Émirats arabes unis</v>
          </cell>
          <cell r="DL158" t="str">
            <v>Объединенные Арабские Эмираты</v>
          </cell>
        </row>
        <row r="159">
          <cell r="DJ159" t="str">
            <v>United Kingdom</v>
          </cell>
          <cell r="DK159" t="str">
            <v>Royaume-Uni</v>
          </cell>
          <cell r="DL159" t="str">
            <v>Великобритания</v>
          </cell>
        </row>
        <row r="160">
          <cell r="DJ160" t="str">
            <v>United States</v>
          </cell>
          <cell r="DK160" t="str">
            <v>États-Unis</v>
          </cell>
          <cell r="DL160" t="str">
            <v>Соединенные Штаты</v>
          </cell>
        </row>
        <row r="161">
          <cell r="DJ161" t="str">
            <v>Uruguay</v>
          </cell>
          <cell r="DK161" t="str">
            <v>Uruguay</v>
          </cell>
          <cell r="DL161" t="str">
            <v>Уругвай</v>
          </cell>
        </row>
        <row r="162">
          <cell r="DJ162" t="str">
            <v>Uzbekistan</v>
          </cell>
          <cell r="DK162" t="str">
            <v>Ouzbékistan</v>
          </cell>
          <cell r="DL162" t="str">
            <v>Узбекистан</v>
          </cell>
        </row>
        <row r="163">
          <cell r="DJ163" t="str">
            <v>Venezuela, Bolivarian Republic</v>
          </cell>
          <cell r="DK163" t="str">
            <v>Venezuela, République bolivarienne</v>
          </cell>
          <cell r="DL163" t="str">
            <v>Венесуэла</v>
          </cell>
        </row>
        <row r="164">
          <cell r="DJ164" t="str">
            <v>Viet Nam</v>
          </cell>
          <cell r="DK164" t="str">
            <v>Viet Nam</v>
          </cell>
          <cell r="DL164" t="str">
            <v>Вьетнам</v>
          </cell>
        </row>
        <row r="165">
          <cell r="DJ165" t="str">
            <v>Yemen</v>
          </cell>
          <cell r="DK165" t="str">
            <v>Yémen</v>
          </cell>
          <cell r="DL165" t="str">
            <v>Йемен</v>
          </cell>
        </row>
        <row r="166">
          <cell r="DJ166" t="str">
            <v>Not elsewhere specified</v>
          </cell>
          <cell r="DK166" t="str">
            <v xml:space="preserve">Non spécifié ailleurs </v>
          </cell>
          <cell r="DL166" t="str">
            <v>В другом месте не указано</v>
          </cell>
        </row>
        <row r="167">
          <cell r="DJ167" t="str">
            <v>Total Exports (Trade)</v>
          </cell>
          <cell r="DK167" t="str">
            <v>Total des exportations</v>
          </cell>
          <cell r="DL167" t="str">
            <v>ВСЕГО</v>
          </cell>
        </row>
        <row r="168">
          <cell r="DJ168" t="str">
            <v>Please report exports of indigenous production only.</v>
          </cell>
          <cell r="DK168" t="str">
            <v>Veuillez rapporter les exportations de production nationale uniquement.</v>
          </cell>
          <cell r="DL168" t="str">
            <v>Пожалуйста, сообщайте об экспорте продукции местного производства.</v>
          </cell>
        </row>
        <row r="169">
          <cell r="DJ169" t="str">
            <v>"Not elsewhere specified": Please specify on the Remarks page.
* This designation is without prejudice to positions on status, and is line with UNSCR 1244 and the ICJ Opinion on the Kosovo declaration of independence.</v>
          </cell>
          <cell r="DK169" t="str">
            <v>"Non spécifié ailleurs " : Veuillez préciser à la page réservée aux remarques.
* Cette désignation est sans préjudice des positions sur le statut, et est conforme à la résolution 1244 du Conseil de sécurité des Nations Unies et à l'avis de la CIJ sur la déclaration d'indépendance du Kosovo.</v>
          </cell>
          <cell r="DL169" t="str">
            <v>«В другом месте не указано»: укажите на странице «Комментарии».
*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row r="170">
          <cell r="DJ170" t="str">
            <v>Table 4i - Exports by destination</v>
          </cell>
          <cell r="DK170" t="str">
            <v>Tableau 4i - Exportations par destination</v>
          </cell>
          <cell r="DL170" t="str">
            <v>Таблица 4i - Экспорт по странам назначения</v>
          </cell>
        </row>
        <row r="171">
          <cell r="DJ171" t="str">
            <v>Terajoules</v>
          </cell>
          <cell r="DK171" t="str">
            <v>Terajoules</v>
          </cell>
          <cell r="DL171" t="str">
            <v>Тераджоули</v>
          </cell>
        </row>
        <row r="172">
          <cell r="DJ172" t="str">
            <v>Albania</v>
          </cell>
          <cell r="DK172" t="str">
            <v>Albanie</v>
          </cell>
          <cell r="DL172" t="str">
            <v>Албания</v>
          </cell>
        </row>
        <row r="173">
          <cell r="DJ173" t="str">
            <v>Algeria</v>
          </cell>
          <cell r="DK173" t="str">
            <v>Algérie</v>
          </cell>
          <cell r="DL173" t="str">
            <v>Алжир</v>
          </cell>
        </row>
        <row r="174">
          <cell r="DJ174" t="str">
            <v>Andorra</v>
          </cell>
          <cell r="DK174" t="str">
            <v>Andorre</v>
          </cell>
          <cell r="DL174" t="str">
            <v>андорра</v>
          </cell>
        </row>
        <row r="175">
          <cell r="DJ175" t="str">
            <v>Angola</v>
          </cell>
          <cell r="DK175" t="str">
            <v>Angola</v>
          </cell>
          <cell r="DL175" t="str">
            <v>Ангола</v>
          </cell>
        </row>
        <row r="176">
          <cell r="DJ176" t="str">
            <v>Argentina</v>
          </cell>
          <cell r="DK176" t="str">
            <v>Argentine</v>
          </cell>
          <cell r="DL176" t="str">
            <v>Аргентина</v>
          </cell>
        </row>
        <row r="177">
          <cell r="DJ177" t="str">
            <v>Armenia</v>
          </cell>
          <cell r="DK177" t="str">
            <v>Arménie</v>
          </cell>
          <cell r="DL177" t="str">
            <v>Армения</v>
          </cell>
        </row>
        <row r="178">
          <cell r="DJ178" t="str">
            <v>Aruba</v>
          </cell>
          <cell r="DK178" t="str">
            <v>Aruba</v>
          </cell>
          <cell r="DL178" t="str">
            <v>Аруба</v>
          </cell>
        </row>
        <row r="179">
          <cell r="DJ179" t="str">
            <v>Australia</v>
          </cell>
          <cell r="DK179" t="str">
            <v>Australie</v>
          </cell>
          <cell r="DL179" t="str">
            <v>Австралия</v>
          </cell>
        </row>
        <row r="180">
          <cell r="DJ180" t="str">
            <v>Austria</v>
          </cell>
          <cell r="DK180" t="str">
            <v>Autriche</v>
          </cell>
          <cell r="DL180" t="str">
            <v>Австрия</v>
          </cell>
        </row>
        <row r="181">
          <cell r="DJ181" t="str">
            <v>Azerbaijan</v>
          </cell>
          <cell r="DK181" t="str">
            <v>Azerbaïdjan</v>
          </cell>
          <cell r="DL181" t="str">
            <v>Азербайджан</v>
          </cell>
        </row>
        <row r="182">
          <cell r="DJ182" t="str">
            <v>Bahamas</v>
          </cell>
          <cell r="DK182" t="str">
            <v>Bahamas</v>
          </cell>
          <cell r="DL182" t="str">
            <v>Багамские о-ва</v>
          </cell>
        </row>
        <row r="183">
          <cell r="DJ183" t="str">
            <v>Bahrain</v>
          </cell>
          <cell r="DK183" t="str">
            <v>Bahreïn</v>
          </cell>
          <cell r="DL183" t="str">
            <v>Бахрейн</v>
          </cell>
        </row>
        <row r="184">
          <cell r="DJ184" t="str">
            <v>Bangladesh</v>
          </cell>
          <cell r="DK184" t="str">
            <v>Bangladesh</v>
          </cell>
          <cell r="DL184" t="str">
            <v>Бангладеш</v>
          </cell>
        </row>
        <row r="185">
          <cell r="DJ185" t="str">
            <v>Barbados</v>
          </cell>
          <cell r="DK185" t="str">
            <v>Barbade</v>
          </cell>
          <cell r="DL185" t="str">
            <v>Барбадос</v>
          </cell>
        </row>
        <row r="186">
          <cell r="DJ186" t="str">
            <v>Belarus</v>
          </cell>
          <cell r="DK186" t="str">
            <v>Biélorussie</v>
          </cell>
          <cell r="DL186" t="str">
            <v>Беларусь</v>
          </cell>
        </row>
        <row r="187">
          <cell r="DJ187" t="str">
            <v>Belgium</v>
          </cell>
          <cell r="DK187" t="str">
            <v>Belgique</v>
          </cell>
          <cell r="DL187" t="str">
            <v>Бельгия</v>
          </cell>
        </row>
        <row r="188">
          <cell r="DJ188" t="str">
            <v>Belize</v>
          </cell>
          <cell r="DK188" t="str">
            <v>Belize</v>
          </cell>
          <cell r="DL188" t="str">
            <v>Белиз</v>
          </cell>
        </row>
        <row r="189">
          <cell r="DJ189" t="str">
            <v>Benin</v>
          </cell>
          <cell r="DK189" t="str">
            <v>Bénin</v>
          </cell>
          <cell r="DL189" t="str">
            <v>Бенин</v>
          </cell>
        </row>
        <row r="190">
          <cell r="DJ190" t="str">
            <v>Bolivia</v>
          </cell>
          <cell r="DK190" t="str">
            <v>Bolivie</v>
          </cell>
          <cell r="DL190" t="str">
            <v>Боливия</v>
          </cell>
        </row>
        <row r="191">
          <cell r="DJ191" t="str">
            <v>Bosnia and Herzegovina</v>
          </cell>
          <cell r="DK191" t="str">
            <v>Bosnie-Herzégovine</v>
          </cell>
          <cell r="DL191" t="str">
            <v>Босния и Герцеговина</v>
          </cell>
        </row>
        <row r="192">
          <cell r="DJ192" t="str">
            <v>Brazil</v>
          </cell>
          <cell r="DK192" t="str">
            <v>Brésil</v>
          </cell>
          <cell r="DL192" t="str">
            <v>Бразилия</v>
          </cell>
        </row>
        <row r="193">
          <cell r="DJ193" t="str">
            <v>British Virgin Islands</v>
          </cell>
          <cell r="DK193" t="str">
            <v>Îles Vierges britanniques</v>
          </cell>
          <cell r="DL193" t="str">
            <v>Британские Виргинские острова</v>
          </cell>
        </row>
        <row r="194">
          <cell r="DJ194" t="str">
            <v>Brunei Darussalam</v>
          </cell>
          <cell r="DK194" t="str">
            <v>Brunei Darussalam</v>
          </cell>
          <cell r="DL194" t="str">
            <v>Бруней-Даруссалам</v>
          </cell>
        </row>
        <row r="195">
          <cell r="DJ195" t="str">
            <v>Bulgaria</v>
          </cell>
          <cell r="DK195" t="str">
            <v>Bulgarie</v>
          </cell>
          <cell r="DL195" t="str">
            <v>Болгария</v>
          </cell>
        </row>
        <row r="196">
          <cell r="DJ196" t="str">
            <v>Cambodia</v>
          </cell>
          <cell r="DK196" t="str">
            <v>Cambodge</v>
          </cell>
          <cell r="DL196" t="str">
            <v>Камбоджа</v>
          </cell>
        </row>
        <row r="197">
          <cell r="DJ197" t="str">
            <v>Cameroon</v>
          </cell>
          <cell r="DK197" t="str">
            <v>Cameroun</v>
          </cell>
          <cell r="DL197" t="str">
            <v>Камерун</v>
          </cell>
        </row>
        <row r="198">
          <cell r="DJ198" t="str">
            <v>Canada</v>
          </cell>
          <cell r="DK198" t="str">
            <v>Canada</v>
          </cell>
          <cell r="DL198" t="str">
            <v>Канада</v>
          </cell>
        </row>
        <row r="199">
          <cell r="DJ199" t="str">
            <v>Cape Verde / Cabo Verde</v>
          </cell>
          <cell r="DK199" t="str">
            <v>Cap-Vert / Cabo Verde</v>
          </cell>
          <cell r="DL199" t="str">
            <v>Кабо-Верде / Кабо-Верде</v>
          </cell>
        </row>
        <row r="200">
          <cell r="DJ200" t="str">
            <v>Chile</v>
          </cell>
          <cell r="DK200" t="str">
            <v>Chili</v>
          </cell>
          <cell r="DL200" t="str">
            <v>Чили</v>
          </cell>
        </row>
        <row r="201">
          <cell r="DJ201" t="str">
            <v>China, People's Republic of</v>
          </cell>
          <cell r="DK201" t="str">
            <v>Chine, République populaire de</v>
          </cell>
          <cell r="DL201" t="str">
            <v>Китай, Народная Республика</v>
          </cell>
        </row>
        <row r="202">
          <cell r="DJ202" t="str">
            <v>Colombia</v>
          </cell>
          <cell r="DK202" t="str">
            <v>Colombie</v>
          </cell>
          <cell r="DL202" t="str">
            <v>Колумбия</v>
          </cell>
        </row>
        <row r="203">
          <cell r="DJ203" t="str">
            <v>Congo</v>
          </cell>
          <cell r="DK203" t="str">
            <v>Congo</v>
          </cell>
          <cell r="DL203" t="str">
            <v>Конго</v>
          </cell>
        </row>
        <row r="204">
          <cell r="DJ204" t="str">
            <v>Costa Rica</v>
          </cell>
          <cell r="DK204" t="str">
            <v>Costa Rica</v>
          </cell>
          <cell r="DL204" t="str">
            <v>Коста-Рика</v>
          </cell>
        </row>
        <row r="205">
          <cell r="DJ205" t="str">
            <v>Côte d’Ivoire</v>
          </cell>
          <cell r="DK205" t="str">
            <v>Côte d’Ivoire</v>
          </cell>
          <cell r="DL205" t="str">
            <v>Берег Слоновой Кости</v>
          </cell>
        </row>
        <row r="206">
          <cell r="DJ206" t="str">
            <v>Croatia</v>
          </cell>
          <cell r="DK206" t="str">
            <v>Croatie</v>
          </cell>
          <cell r="DL206" t="str">
            <v>Хорватия</v>
          </cell>
        </row>
        <row r="207">
          <cell r="DJ207" t="str">
            <v>Cuba</v>
          </cell>
          <cell r="DK207" t="str">
            <v>Cuba</v>
          </cell>
          <cell r="DL207" t="str">
            <v>Куба</v>
          </cell>
        </row>
        <row r="208">
          <cell r="DJ208" t="str">
            <v>Curaçao</v>
          </cell>
          <cell r="DK208" t="str">
            <v>Curaçao</v>
          </cell>
          <cell r="DL208" t="str">
            <v>Кюрасао</v>
          </cell>
        </row>
        <row r="209">
          <cell r="DJ209" t="str">
            <v>Cyprus</v>
          </cell>
          <cell r="DK209" t="str">
            <v>Chypre</v>
          </cell>
          <cell r="DL209" t="str">
            <v>Кипр</v>
          </cell>
        </row>
        <row r="210">
          <cell r="DJ210" t="str">
            <v>Czech Republic</v>
          </cell>
          <cell r="DK210" t="str">
            <v>République tchèque</v>
          </cell>
          <cell r="DL210" t="str">
            <v>Чешская Республика</v>
          </cell>
        </row>
        <row r="211">
          <cell r="DJ211" t="str">
            <v>Korea, Democratic People's Republic of</v>
          </cell>
          <cell r="DK211" t="str">
            <v>Corée, République populaire démocratique de</v>
          </cell>
          <cell r="DL211" t="str">
            <v>Корейская Народно-Демократическая Республика</v>
          </cell>
        </row>
        <row r="212">
          <cell r="DJ212" t="str">
            <v>Congo, Democratic Republic of the</v>
          </cell>
          <cell r="DK212" t="str">
            <v>Congo, République démocratique du</v>
          </cell>
          <cell r="DL212" t="str">
            <v>Демократическая Республика Конго</v>
          </cell>
        </row>
        <row r="213">
          <cell r="DJ213" t="str">
            <v>Denmark</v>
          </cell>
          <cell r="DK213" t="str">
            <v>Danemark</v>
          </cell>
          <cell r="DL213" t="str">
            <v>Дания</v>
          </cell>
        </row>
        <row r="214">
          <cell r="DJ214" t="str">
            <v>Djibouti</v>
          </cell>
          <cell r="DK214" t="str">
            <v>Djibouti</v>
          </cell>
          <cell r="DL214" t="str">
            <v>Джибути</v>
          </cell>
        </row>
        <row r="215">
          <cell r="DJ215" t="str">
            <v>Dominican Republic</v>
          </cell>
          <cell r="DK215" t="str">
            <v>République dominicaine</v>
          </cell>
          <cell r="DL215" t="str">
            <v>Доминиканская Республика</v>
          </cell>
        </row>
        <row r="216">
          <cell r="DJ216" t="str">
            <v>Ecuador</v>
          </cell>
          <cell r="DK216" t="str">
            <v>Équateur</v>
          </cell>
          <cell r="DL216" t="str">
            <v>Эквадор</v>
          </cell>
        </row>
        <row r="217">
          <cell r="DJ217" t="str">
            <v>Egypt</v>
          </cell>
          <cell r="DK217" t="str">
            <v>Égypte</v>
          </cell>
          <cell r="DL217" t="str">
            <v>Египет</v>
          </cell>
        </row>
        <row r="218">
          <cell r="DJ218" t="str">
            <v>Equatorial Guinea</v>
          </cell>
          <cell r="DK218" t="str">
            <v>Guinée équatoriale</v>
          </cell>
          <cell r="DL218" t="str">
            <v>Экваториальная Гвинея</v>
          </cell>
        </row>
        <row r="219">
          <cell r="DJ219" t="str">
            <v>Eritrea</v>
          </cell>
          <cell r="DK219" t="str">
            <v>Érythrée</v>
          </cell>
          <cell r="DL219" t="str">
            <v>Эритрея</v>
          </cell>
        </row>
        <row r="220">
          <cell r="DJ220" t="str">
            <v>Estonia</v>
          </cell>
          <cell r="DK220" t="str">
            <v>Estonie</v>
          </cell>
          <cell r="DL220" t="str">
            <v>Эстония</v>
          </cell>
        </row>
        <row r="221">
          <cell r="DJ221" t="str">
            <v>Ethiopia</v>
          </cell>
          <cell r="DK221" t="str">
            <v>Éthiopie</v>
          </cell>
          <cell r="DL221" t="str">
            <v>Эфиопия</v>
          </cell>
        </row>
        <row r="222">
          <cell r="DJ222" t="str">
            <v>Finland</v>
          </cell>
          <cell r="DK222" t="str">
            <v>Finlande</v>
          </cell>
          <cell r="DL222" t="str">
            <v>Финляндия</v>
          </cell>
        </row>
        <row r="223">
          <cell r="DJ223" t="str">
            <v>Macedonia, Former Yugoslav Republic of</v>
          </cell>
          <cell r="DK223" t="str">
            <v>Macédoine, Ex-République yougoslave de</v>
          </cell>
          <cell r="DL223" t="str">
            <v>Бывшая югославская Республика Македония</v>
          </cell>
        </row>
        <row r="224">
          <cell r="DJ224" t="str">
            <v>France</v>
          </cell>
          <cell r="DK224" t="str">
            <v>France</v>
          </cell>
          <cell r="DL224" t="str">
            <v>Франция</v>
          </cell>
        </row>
        <row r="225">
          <cell r="DJ225" t="str">
            <v>Gabon</v>
          </cell>
          <cell r="DK225" t="str">
            <v>Gabon</v>
          </cell>
          <cell r="DL225" t="str">
            <v>Габон</v>
          </cell>
        </row>
        <row r="226">
          <cell r="DJ226" t="str">
            <v>Georgia</v>
          </cell>
          <cell r="DK226" t="str">
            <v>Géorgie</v>
          </cell>
          <cell r="DL226" t="str">
            <v>Грузия</v>
          </cell>
        </row>
        <row r="227">
          <cell r="DJ227" t="str">
            <v>Germany</v>
          </cell>
          <cell r="DK227" t="str">
            <v>Allemagne</v>
          </cell>
          <cell r="DL227" t="str">
            <v>Германия</v>
          </cell>
        </row>
        <row r="228">
          <cell r="DJ228" t="str">
            <v>Ghana</v>
          </cell>
          <cell r="DK228" t="str">
            <v>Ghana</v>
          </cell>
          <cell r="DL228" t="str">
            <v>Гана</v>
          </cell>
        </row>
        <row r="229">
          <cell r="DJ229" t="str">
            <v>Gibraltar</v>
          </cell>
          <cell r="DK229" t="str">
            <v>Gibraltar</v>
          </cell>
          <cell r="DL229" t="str">
            <v>Гибралтар</v>
          </cell>
        </row>
        <row r="230">
          <cell r="DJ230" t="str">
            <v>Greece</v>
          </cell>
          <cell r="DK230" t="str">
            <v>Grèce</v>
          </cell>
          <cell r="DL230" t="str">
            <v>Греция</v>
          </cell>
        </row>
        <row r="231">
          <cell r="DJ231" t="str">
            <v>Guatemala</v>
          </cell>
          <cell r="DK231" t="str">
            <v>Guatemala</v>
          </cell>
          <cell r="DL231" t="str">
            <v>Гватемала</v>
          </cell>
        </row>
        <row r="232">
          <cell r="DJ232" t="str">
            <v>Guinea-Bissau</v>
          </cell>
          <cell r="DK232" t="str">
            <v>Guinée-Bissau</v>
          </cell>
          <cell r="DL232" t="str">
            <v>Гвинея-Бисау</v>
          </cell>
        </row>
        <row r="233">
          <cell r="DJ233" t="str">
            <v>Honduras</v>
          </cell>
          <cell r="DK233" t="str">
            <v>Honduras</v>
          </cell>
          <cell r="DL233" t="str">
            <v>Гондурас</v>
          </cell>
        </row>
        <row r="234">
          <cell r="DJ234" t="str">
            <v>Hong Kong, China</v>
          </cell>
          <cell r="DK234" t="str">
            <v>Hong Kong, Chine</v>
          </cell>
          <cell r="DL234" t="str">
            <v>Гонконг, Китай</v>
          </cell>
        </row>
        <row r="235">
          <cell r="DJ235" t="str">
            <v>Hungary</v>
          </cell>
          <cell r="DK235" t="str">
            <v>Hongrie</v>
          </cell>
          <cell r="DL235" t="str">
            <v>Венгрия</v>
          </cell>
        </row>
        <row r="236">
          <cell r="DJ236" t="str">
            <v>Iceland</v>
          </cell>
          <cell r="DK236" t="str">
            <v>Islande</v>
          </cell>
          <cell r="DL236" t="str">
            <v>Исландия</v>
          </cell>
        </row>
        <row r="237">
          <cell r="DJ237" t="str">
            <v>India</v>
          </cell>
          <cell r="DK237" t="str">
            <v>Inde</v>
          </cell>
          <cell r="DL237" t="str">
            <v>Индия</v>
          </cell>
        </row>
        <row r="238">
          <cell r="DJ238" t="str">
            <v>Indonesia</v>
          </cell>
          <cell r="DK238" t="str">
            <v>Indonésie</v>
          </cell>
          <cell r="DL238" t="str">
            <v>Индонезия</v>
          </cell>
        </row>
        <row r="239">
          <cell r="DJ239" t="str">
            <v>Iran, Islamic Republic of</v>
          </cell>
          <cell r="DK239" t="str">
            <v>Iran</v>
          </cell>
          <cell r="DL239" t="str">
            <v>Исламская Республика Иран</v>
          </cell>
        </row>
        <row r="240">
          <cell r="DJ240" t="str">
            <v>Iraq</v>
          </cell>
          <cell r="DK240" t="str">
            <v>Iraq</v>
          </cell>
          <cell r="DL240" t="str">
            <v>Ирак</v>
          </cell>
        </row>
        <row r="241">
          <cell r="DJ241" t="str">
            <v>Ireland</v>
          </cell>
          <cell r="DK241" t="str">
            <v>Irlande</v>
          </cell>
          <cell r="DL241" t="str">
            <v>Ирландия</v>
          </cell>
        </row>
        <row r="242">
          <cell r="DJ242" t="str">
            <v>Israel</v>
          </cell>
          <cell r="DK242" t="str">
            <v>Israël</v>
          </cell>
          <cell r="DL242" t="str">
            <v>Израиль</v>
          </cell>
        </row>
        <row r="243">
          <cell r="DJ243" t="str">
            <v>Italy</v>
          </cell>
          <cell r="DK243" t="str">
            <v>Italie</v>
          </cell>
          <cell r="DL243" t="str">
            <v>Италия</v>
          </cell>
        </row>
        <row r="244">
          <cell r="DJ244" t="str">
            <v>Jamaica</v>
          </cell>
          <cell r="DK244" t="str">
            <v>Jamaïque</v>
          </cell>
          <cell r="DL244" t="str">
            <v>Ямайка</v>
          </cell>
        </row>
        <row r="245">
          <cell r="DJ245" t="str">
            <v>Japan</v>
          </cell>
          <cell r="DK245" t="str">
            <v>Japon</v>
          </cell>
          <cell r="DL245" t="str">
            <v>Япония</v>
          </cell>
        </row>
        <row r="246">
          <cell r="DJ246" t="str">
            <v>Jordan</v>
          </cell>
          <cell r="DK246" t="str">
            <v>Jordanie</v>
          </cell>
          <cell r="DL246" t="str">
            <v>Иордания</v>
          </cell>
        </row>
        <row r="247">
          <cell r="DJ247" t="str">
            <v>Kazakhstan</v>
          </cell>
          <cell r="DK247" t="str">
            <v>Kazakhstan</v>
          </cell>
          <cell r="DL247" t="str">
            <v>Казахстан</v>
          </cell>
        </row>
        <row r="248">
          <cell r="DJ248" t="str">
            <v>Kenya</v>
          </cell>
          <cell r="DK248" t="str">
            <v>Kenya</v>
          </cell>
          <cell r="DL248" t="str">
            <v>Кения</v>
          </cell>
        </row>
        <row r="249">
          <cell r="DJ249" t="str">
            <v>Korea</v>
          </cell>
          <cell r="DK249" t="str">
            <v>Corée</v>
          </cell>
          <cell r="DL249" t="str">
            <v>Корея</v>
          </cell>
        </row>
        <row r="250">
          <cell r="DJ250" t="str">
            <v>Kosovo*</v>
          </cell>
          <cell r="DK250" t="str">
            <v>Kosovo*</v>
          </cell>
          <cell r="DL250" t="str">
            <v>Косово*</v>
          </cell>
        </row>
        <row r="251">
          <cell r="DJ251" t="str">
            <v>Kuwait</v>
          </cell>
          <cell r="DK251" t="str">
            <v>Koweït</v>
          </cell>
          <cell r="DL251" t="str">
            <v>Кувейт</v>
          </cell>
        </row>
        <row r="252">
          <cell r="DJ252" t="str">
            <v>Kyrgyzstan</v>
          </cell>
          <cell r="DK252" t="str">
            <v>Kirghizistan</v>
          </cell>
          <cell r="DL252" t="str">
            <v>Киргизия</v>
          </cell>
        </row>
        <row r="253">
          <cell r="DJ253" t="str">
            <v>Lao People's Democratic Republic</v>
          </cell>
          <cell r="DK253" t="str">
            <v>Laos</v>
          </cell>
          <cell r="DL253" t="str">
            <v>Лаосская Народно-Демократическая Республика</v>
          </cell>
        </row>
        <row r="254">
          <cell r="DJ254" t="str">
            <v>Latvia</v>
          </cell>
          <cell r="DK254" t="str">
            <v>Lettonie</v>
          </cell>
          <cell r="DL254" t="str">
            <v>Латвия</v>
          </cell>
        </row>
        <row r="255">
          <cell r="DJ255" t="str">
            <v>Lebanon</v>
          </cell>
          <cell r="DK255" t="str">
            <v>Liban</v>
          </cell>
          <cell r="DL255" t="str">
            <v>Ливан</v>
          </cell>
        </row>
        <row r="256">
          <cell r="DJ256" t="str">
            <v>Liberia</v>
          </cell>
          <cell r="DK256" t="str">
            <v>Libéria</v>
          </cell>
          <cell r="DL256" t="str">
            <v>Либерия</v>
          </cell>
        </row>
        <row r="257">
          <cell r="DJ257" t="str">
            <v>Libya</v>
          </cell>
          <cell r="DK257" t="str">
            <v>Libye</v>
          </cell>
          <cell r="DL257" t="str">
            <v>Ливия</v>
          </cell>
        </row>
        <row r="258">
          <cell r="DJ258" t="str">
            <v>Liechtenstein</v>
          </cell>
          <cell r="DK258" t="str">
            <v>Liechtenstein</v>
          </cell>
          <cell r="DL258" t="str">
            <v>Лихтенштейн</v>
          </cell>
        </row>
        <row r="259">
          <cell r="DJ259" t="str">
            <v>Lithuania</v>
          </cell>
          <cell r="DK259" t="str">
            <v>Lituanie</v>
          </cell>
          <cell r="DL259" t="str">
            <v>Литва</v>
          </cell>
        </row>
        <row r="260">
          <cell r="DJ260" t="str">
            <v>Luxembourg</v>
          </cell>
          <cell r="DK260" t="str">
            <v>Luxembourg</v>
          </cell>
          <cell r="DL260" t="str">
            <v>Люксембург</v>
          </cell>
        </row>
        <row r="261">
          <cell r="DJ261" t="str">
            <v>Madagascar</v>
          </cell>
          <cell r="DK261" t="str">
            <v>Madagascar</v>
          </cell>
          <cell r="DL261" t="str">
            <v>Мадагаскар</v>
          </cell>
        </row>
        <row r="262">
          <cell r="DJ262" t="str">
            <v>Malaysia</v>
          </cell>
          <cell r="DK262" t="str">
            <v>Malaisie</v>
          </cell>
          <cell r="DL262" t="str">
            <v>Малайзия</v>
          </cell>
        </row>
        <row r="263">
          <cell r="DJ263" t="str">
            <v>Malta</v>
          </cell>
          <cell r="DK263" t="str">
            <v>Malte</v>
          </cell>
          <cell r="DL263" t="str">
            <v>Мальта</v>
          </cell>
        </row>
        <row r="264">
          <cell r="DJ264" t="str">
            <v>Marshall Islands</v>
          </cell>
          <cell r="DK264" t="str">
            <v>Îles Marshall</v>
          </cell>
          <cell r="DL264" t="str">
            <v>Маршалловы острова</v>
          </cell>
        </row>
        <row r="265">
          <cell r="DJ265" t="str">
            <v>Mauritania</v>
          </cell>
          <cell r="DK265" t="str">
            <v>Mauritanie</v>
          </cell>
          <cell r="DL265" t="str">
            <v>Мавритания</v>
          </cell>
        </row>
        <row r="266">
          <cell r="DJ266" t="str">
            <v>Mauritius</v>
          </cell>
          <cell r="DK266" t="str">
            <v>Maurice</v>
          </cell>
          <cell r="DL266" t="str">
            <v>Маврикий</v>
          </cell>
        </row>
        <row r="267">
          <cell r="DJ267" t="str">
            <v>Mexico</v>
          </cell>
          <cell r="DK267" t="str">
            <v>Mexique</v>
          </cell>
          <cell r="DL267" t="str">
            <v>Мексика</v>
          </cell>
        </row>
        <row r="268">
          <cell r="DJ268" t="str">
            <v>Moldova, Republic of</v>
          </cell>
          <cell r="DK268" t="str">
            <v>Moldavie, République de</v>
          </cell>
          <cell r="DL268" t="str">
            <v>Молдова</v>
          </cell>
        </row>
        <row r="269">
          <cell r="DJ269" t="str">
            <v>Mongolia</v>
          </cell>
          <cell r="DK269" t="str">
            <v>Mongolie</v>
          </cell>
          <cell r="DL269" t="str">
            <v>Монголия</v>
          </cell>
        </row>
        <row r="270">
          <cell r="DJ270" t="str">
            <v>Montenegro</v>
          </cell>
          <cell r="DK270" t="str">
            <v>Monténégro</v>
          </cell>
          <cell r="DL270" t="str">
            <v>Черногория</v>
          </cell>
        </row>
        <row r="271">
          <cell r="DJ271" t="str">
            <v>Morocco</v>
          </cell>
          <cell r="DK271" t="str">
            <v>Maroc</v>
          </cell>
          <cell r="DL271" t="str">
            <v>Марокко</v>
          </cell>
        </row>
        <row r="272">
          <cell r="DJ272" t="str">
            <v>Mozambique</v>
          </cell>
          <cell r="DK272" t="str">
            <v>Mozambique</v>
          </cell>
          <cell r="DL272" t="str">
            <v>Мозамбик</v>
          </cell>
        </row>
        <row r="273">
          <cell r="DJ273" t="str">
            <v>Myanmar</v>
          </cell>
          <cell r="DK273" t="str">
            <v>Myanmar</v>
          </cell>
          <cell r="DL273" t="str">
            <v>Мьянма</v>
          </cell>
        </row>
        <row r="274">
          <cell r="DJ274" t="str">
            <v>Namibia</v>
          </cell>
          <cell r="DK274" t="str">
            <v>Namibie</v>
          </cell>
          <cell r="DL274" t="str">
            <v>Намибия</v>
          </cell>
        </row>
        <row r="275">
          <cell r="DJ275" t="str">
            <v>Nepal</v>
          </cell>
          <cell r="DK275" t="str">
            <v>Népal</v>
          </cell>
          <cell r="DL275" t="str">
            <v>Непал</v>
          </cell>
        </row>
        <row r="276">
          <cell r="DJ276" t="str">
            <v>Netherlands</v>
          </cell>
          <cell r="DK276" t="str">
            <v>Pays-Bas</v>
          </cell>
          <cell r="DL276" t="str">
            <v>Нидерланды</v>
          </cell>
        </row>
        <row r="277">
          <cell r="DJ277" t="str">
            <v>New Caledonia</v>
          </cell>
          <cell r="DK277" t="str">
            <v>Nouvelle-Calédonie</v>
          </cell>
          <cell r="DL277" t="str">
            <v>Новая Каледония</v>
          </cell>
        </row>
        <row r="278">
          <cell r="DJ278" t="str">
            <v>New Zealand</v>
          </cell>
          <cell r="DK278" t="str">
            <v>Nouvelle-Zélande</v>
          </cell>
          <cell r="DL278" t="str">
            <v>Новая Зеландия</v>
          </cell>
        </row>
        <row r="279">
          <cell r="DJ279" t="str">
            <v>Nigeria</v>
          </cell>
          <cell r="DK279" t="str">
            <v>Nigéria</v>
          </cell>
          <cell r="DL279" t="str">
            <v>Нигерия</v>
          </cell>
        </row>
        <row r="280">
          <cell r="DJ280" t="str">
            <v>Norway</v>
          </cell>
          <cell r="DK280" t="str">
            <v>Norvège</v>
          </cell>
          <cell r="DL280" t="str">
            <v>Норвегия</v>
          </cell>
        </row>
        <row r="281">
          <cell r="DJ281" t="str">
            <v>Oman</v>
          </cell>
          <cell r="DK281" t="str">
            <v>Oman</v>
          </cell>
          <cell r="DL281" t="str">
            <v>Оман</v>
          </cell>
        </row>
        <row r="282">
          <cell r="DJ282" t="str">
            <v>Other Africa</v>
          </cell>
          <cell r="DK282" t="str">
            <v>Autres Afrique</v>
          </cell>
          <cell r="DL282" t="str">
            <v>Другие страны Африки</v>
          </cell>
        </row>
        <row r="283">
          <cell r="DJ283" t="str">
            <v>Other Asia Oceania</v>
          </cell>
          <cell r="DK283" t="str">
            <v>Autres Asie Océanie</v>
          </cell>
          <cell r="DL283" t="str">
            <v>Другие Азия Океания</v>
          </cell>
        </row>
        <row r="284">
          <cell r="DJ284" t="str">
            <v>Other Europe</v>
          </cell>
          <cell r="DK284" t="str">
            <v>Autres Europe</v>
          </cell>
          <cell r="DL284" t="str">
            <v>Другая Европа</v>
          </cell>
        </row>
        <row r="285">
          <cell r="DJ285" t="str">
            <v>Other Former Soviet Union</v>
          </cell>
          <cell r="DK285" t="str">
            <v>Autres ex-Union soviétique</v>
          </cell>
          <cell r="DL285" t="str">
            <v>Другой бывший Советский Союз</v>
          </cell>
        </row>
        <row r="286">
          <cell r="DJ286" t="str">
            <v>Other Near and Middle East</v>
          </cell>
          <cell r="DK286" t="str">
            <v>Autres Proche et Moyen-Orient</v>
          </cell>
          <cell r="DL286" t="str">
            <v>Другие Ближний и Средний Восток</v>
          </cell>
        </row>
        <row r="287">
          <cell r="DJ287" t="str">
            <v>Other Non-OECD Americas</v>
          </cell>
          <cell r="DK287" t="str">
            <v>Autres Amériques Non-OCDE</v>
          </cell>
          <cell r="DL287" t="str">
            <v>Другие страны, не входящие в ОЭСР</v>
          </cell>
        </row>
        <row r="288">
          <cell r="DJ288" t="str">
            <v>Pakistan</v>
          </cell>
          <cell r="DK288" t="str">
            <v>Pakistan</v>
          </cell>
          <cell r="DL288" t="str">
            <v>Пакистан</v>
          </cell>
        </row>
        <row r="289">
          <cell r="DJ289" t="str">
            <v>Panama</v>
          </cell>
          <cell r="DK289" t="str">
            <v>Panama</v>
          </cell>
          <cell r="DL289" t="str">
            <v>Панама</v>
          </cell>
        </row>
        <row r="290">
          <cell r="DJ290" t="str">
            <v>Papua New Guinea</v>
          </cell>
          <cell r="DK290" t="str">
            <v>Papouasie-Nouvelle-Guinée</v>
          </cell>
          <cell r="DL290" t="str">
            <v>Папуа - Новая Гвинея</v>
          </cell>
        </row>
        <row r="291">
          <cell r="DJ291" t="str">
            <v>Peru</v>
          </cell>
          <cell r="DK291" t="str">
            <v>Pérou</v>
          </cell>
          <cell r="DL291" t="str">
            <v>Перу</v>
          </cell>
        </row>
        <row r="292">
          <cell r="DJ292" t="str">
            <v>Philippines</v>
          </cell>
          <cell r="DK292" t="str">
            <v>Philippines</v>
          </cell>
          <cell r="DL292" t="str">
            <v>Филиппины</v>
          </cell>
        </row>
        <row r="293">
          <cell r="DJ293" t="str">
            <v>Poland</v>
          </cell>
          <cell r="DK293" t="str">
            <v>Pologne</v>
          </cell>
          <cell r="DL293" t="str">
            <v>Польша</v>
          </cell>
        </row>
        <row r="294">
          <cell r="DJ294" t="str">
            <v>Portugal</v>
          </cell>
          <cell r="DK294" t="str">
            <v>Portugal</v>
          </cell>
          <cell r="DL294" t="str">
            <v>Португалия</v>
          </cell>
        </row>
        <row r="295">
          <cell r="DJ295" t="str">
            <v>Qatar</v>
          </cell>
          <cell r="DK295" t="str">
            <v>Qatar</v>
          </cell>
          <cell r="DL295" t="str">
            <v>Катар</v>
          </cell>
        </row>
        <row r="296">
          <cell r="DJ296" t="str">
            <v>Romania</v>
          </cell>
          <cell r="DK296" t="str">
            <v>Roumanie</v>
          </cell>
          <cell r="DL296" t="str">
            <v>Румыния</v>
          </cell>
        </row>
        <row r="297">
          <cell r="DJ297" t="str">
            <v>Russian Federation</v>
          </cell>
          <cell r="DK297" t="str">
            <v>Fédération de Russie</v>
          </cell>
          <cell r="DL297" t="str">
            <v>Российская Федерация</v>
          </cell>
        </row>
        <row r="298">
          <cell r="DJ298" t="str">
            <v>Sao Tome and Principe</v>
          </cell>
          <cell r="DK298" t="str">
            <v>Sao Tomé-et-Principe</v>
          </cell>
          <cell r="DL298" t="str">
            <v>Сан-Томе и Принсипи</v>
          </cell>
        </row>
        <row r="299">
          <cell r="DJ299" t="str">
            <v>Saudi Arabia</v>
          </cell>
          <cell r="DK299" t="str">
            <v>Arabie saoudite</v>
          </cell>
          <cell r="DL299" t="str">
            <v>Саудовская Аравия</v>
          </cell>
        </row>
        <row r="300">
          <cell r="DJ300" t="str">
            <v>Senegal</v>
          </cell>
          <cell r="DK300" t="str">
            <v>Sénégal</v>
          </cell>
          <cell r="DL300" t="str">
            <v>Сенегал</v>
          </cell>
        </row>
        <row r="301">
          <cell r="DJ301" t="str">
            <v>Serbia</v>
          </cell>
          <cell r="DK301" t="str">
            <v>Serbie</v>
          </cell>
          <cell r="DL301" t="str">
            <v>Сербия</v>
          </cell>
        </row>
        <row r="302">
          <cell r="DJ302" t="str">
            <v>Sierra Leone</v>
          </cell>
          <cell r="DK302" t="str">
            <v>Sierra Leone</v>
          </cell>
          <cell r="DL302" t="str">
            <v>Сьерра-Леоне</v>
          </cell>
        </row>
        <row r="303">
          <cell r="DJ303" t="str">
            <v>Singapore</v>
          </cell>
          <cell r="DK303" t="str">
            <v>Singapour</v>
          </cell>
          <cell r="DL303" t="str">
            <v>Сингапур</v>
          </cell>
        </row>
        <row r="304">
          <cell r="DJ304" t="str">
            <v>Slovak Republic</v>
          </cell>
          <cell r="DK304" t="str">
            <v>République slovaque</v>
          </cell>
          <cell r="DL304" t="str">
            <v>Словацкая Республика</v>
          </cell>
        </row>
        <row r="305">
          <cell r="DJ305" t="str">
            <v>Slovenia</v>
          </cell>
          <cell r="DK305" t="str">
            <v>Slovénie</v>
          </cell>
          <cell r="DL305" t="str">
            <v>Словения</v>
          </cell>
        </row>
        <row r="306">
          <cell r="DJ306" t="str">
            <v>South Africa</v>
          </cell>
          <cell r="DK306" t="str">
            <v>Afrique du Sud</v>
          </cell>
          <cell r="DL306" t="str">
            <v>Южная Африка</v>
          </cell>
        </row>
        <row r="307">
          <cell r="DJ307" t="str">
            <v>South Sudan</v>
          </cell>
          <cell r="DK307" t="str">
            <v>Soudan du Sud</v>
          </cell>
          <cell r="DL307" t="str">
            <v>южный Судан</v>
          </cell>
        </row>
        <row r="308">
          <cell r="DJ308" t="str">
            <v>Spain</v>
          </cell>
          <cell r="DK308" t="str">
            <v>Espagne</v>
          </cell>
          <cell r="DL308" t="str">
            <v>Испания</v>
          </cell>
        </row>
        <row r="309">
          <cell r="DJ309" t="str">
            <v>Sri Lanka</v>
          </cell>
          <cell r="DK309" t="str">
            <v>Sri Lanka</v>
          </cell>
          <cell r="DL309" t="str">
            <v>Шри-Ланка</v>
          </cell>
        </row>
        <row r="310">
          <cell r="DJ310" t="str">
            <v>Sudan</v>
          </cell>
          <cell r="DK310" t="str">
            <v>Soudan</v>
          </cell>
          <cell r="DL310" t="str">
            <v>Судан</v>
          </cell>
        </row>
        <row r="311">
          <cell r="DJ311" t="str">
            <v>Sweden</v>
          </cell>
          <cell r="DK311" t="str">
            <v>Suède</v>
          </cell>
          <cell r="DL311" t="str">
            <v>Швеция</v>
          </cell>
        </row>
        <row r="312">
          <cell r="DJ312" t="str">
            <v>Switzerland</v>
          </cell>
          <cell r="DK312" t="str">
            <v>Suisse</v>
          </cell>
          <cell r="DL312" t="str">
            <v>Швейцария</v>
          </cell>
        </row>
        <row r="313">
          <cell r="DJ313" t="str">
            <v>Syrian Arab Republic</v>
          </cell>
          <cell r="DK313" t="str">
            <v>Syrie</v>
          </cell>
          <cell r="DL313" t="str">
            <v>Сирийская Арабская Республика</v>
          </cell>
        </row>
        <row r="314">
          <cell r="DJ314" t="str">
            <v>Taiwan / Chinese Taipei</v>
          </cell>
          <cell r="DK314" t="str">
            <v>Taïwan / Taipei chinois</v>
          </cell>
          <cell r="DL314" t="str">
            <v>Тайвань / Китайский Тайбэй</v>
          </cell>
        </row>
        <row r="315">
          <cell r="DJ315" t="str">
            <v>Tajikistan</v>
          </cell>
          <cell r="DK315" t="str">
            <v>Tadjikistan</v>
          </cell>
          <cell r="DL315" t="str">
            <v>Таджикистан</v>
          </cell>
        </row>
        <row r="316">
          <cell r="DJ316" t="str">
            <v>Tanzania, United Republic of</v>
          </cell>
          <cell r="DK316" t="str">
            <v>Tanzanie, République Unie de</v>
          </cell>
          <cell r="DL316" t="str">
            <v>Танзания</v>
          </cell>
        </row>
        <row r="317">
          <cell r="DJ317" t="str">
            <v>Thailand</v>
          </cell>
          <cell r="DK317" t="str">
            <v>Thaïlande</v>
          </cell>
          <cell r="DL317" t="str">
            <v>Таиланд</v>
          </cell>
        </row>
        <row r="318">
          <cell r="DJ318" t="str">
            <v>Timor-Leste</v>
          </cell>
          <cell r="DK318" t="str">
            <v>Timor-Leste</v>
          </cell>
          <cell r="DL318" t="str">
            <v>Восточный Тимор</v>
          </cell>
        </row>
        <row r="319">
          <cell r="DJ319" t="str">
            <v>Togo</v>
          </cell>
          <cell r="DK319" t="str">
            <v>Togo</v>
          </cell>
          <cell r="DL319" t="str">
            <v>Идти</v>
          </cell>
        </row>
        <row r="320">
          <cell r="DJ320" t="str">
            <v>Trinidad and Tobago</v>
          </cell>
          <cell r="DK320" t="str">
            <v>Trinité-et-Tobago</v>
          </cell>
          <cell r="DL320" t="str">
            <v>Тринидад и Тобаго</v>
          </cell>
        </row>
        <row r="321">
          <cell r="DJ321" t="str">
            <v>Tunisia</v>
          </cell>
          <cell r="DK321" t="str">
            <v>Tunisie</v>
          </cell>
          <cell r="DL321" t="str">
            <v>Тунис</v>
          </cell>
        </row>
        <row r="322">
          <cell r="DJ322" t="str">
            <v>Turkey</v>
          </cell>
          <cell r="DK322" t="str">
            <v>Turquie</v>
          </cell>
          <cell r="DL322" t="str">
            <v>Турция</v>
          </cell>
        </row>
        <row r="323">
          <cell r="DJ323" t="str">
            <v>Turkmenistan</v>
          </cell>
          <cell r="DK323" t="str">
            <v>Turkménistan</v>
          </cell>
          <cell r="DL323" t="str">
            <v>Туркменистан</v>
          </cell>
        </row>
        <row r="324">
          <cell r="DJ324" t="str">
            <v>Uganda</v>
          </cell>
          <cell r="DK324" t="str">
            <v>Ouganda</v>
          </cell>
          <cell r="DL324" t="str">
            <v>Уганда</v>
          </cell>
        </row>
        <row r="325">
          <cell r="DJ325" t="str">
            <v>Ukraine</v>
          </cell>
          <cell r="DK325" t="str">
            <v>Ukraine</v>
          </cell>
          <cell r="DL325" t="str">
            <v>Украина</v>
          </cell>
        </row>
        <row r="326">
          <cell r="DJ326" t="str">
            <v>United Arab Emirates</v>
          </cell>
          <cell r="DK326" t="str">
            <v>Émirats arabes unis</v>
          </cell>
          <cell r="DL326" t="str">
            <v>Объединенные Арабские Эмираты</v>
          </cell>
        </row>
        <row r="327">
          <cell r="DJ327" t="str">
            <v>United Kingdom</v>
          </cell>
          <cell r="DK327" t="str">
            <v>Royaume-Uni</v>
          </cell>
          <cell r="DL327" t="str">
            <v>Великобритания</v>
          </cell>
        </row>
        <row r="328">
          <cell r="DJ328" t="str">
            <v>United States</v>
          </cell>
          <cell r="DK328" t="str">
            <v>États-Unis</v>
          </cell>
          <cell r="DL328" t="str">
            <v>Соединенные Штаты</v>
          </cell>
        </row>
        <row r="329">
          <cell r="DJ329" t="str">
            <v>Uruguay</v>
          </cell>
          <cell r="DK329" t="str">
            <v>Uruguay</v>
          </cell>
          <cell r="DL329" t="str">
            <v>Уругвай</v>
          </cell>
        </row>
        <row r="330">
          <cell r="DJ330" t="str">
            <v>Uzbekistan</v>
          </cell>
          <cell r="DK330" t="str">
            <v>Ouzbékistan</v>
          </cell>
          <cell r="DL330" t="str">
            <v>Узбекистан</v>
          </cell>
        </row>
        <row r="331">
          <cell r="DJ331" t="str">
            <v>Venezuela, Bolivarian Republic</v>
          </cell>
          <cell r="DK331" t="str">
            <v>Venezuela, République bolivarienne</v>
          </cell>
          <cell r="DL331" t="str">
            <v>Венесуэла</v>
          </cell>
        </row>
        <row r="332">
          <cell r="DJ332" t="str">
            <v>Viet Nam</v>
          </cell>
          <cell r="DK332" t="str">
            <v>Viet Nam</v>
          </cell>
          <cell r="DL332" t="str">
            <v>Вьетнам</v>
          </cell>
        </row>
        <row r="333">
          <cell r="DJ333" t="str">
            <v>Yemen</v>
          </cell>
          <cell r="DK333" t="str">
            <v>Yémen</v>
          </cell>
          <cell r="DL333" t="str">
            <v>Йемен</v>
          </cell>
        </row>
        <row r="334">
          <cell r="DJ334" t="str">
            <v>Not elsewhere specified</v>
          </cell>
          <cell r="DK334" t="str">
            <v xml:space="preserve">Non spécifié ailleurs </v>
          </cell>
          <cell r="DL334" t="str">
            <v>В другом месте не указано</v>
          </cell>
        </row>
        <row r="335">
          <cell r="DJ335" t="str">
            <v>Total Exports (Trade)</v>
          </cell>
          <cell r="DK335" t="str">
            <v>Total des exportations</v>
          </cell>
          <cell r="DL335" t="str">
            <v>ВСЕГО</v>
          </cell>
        </row>
        <row r="336">
          <cell r="DJ336" t="str">
            <v>Please report exports of indigenous production only.</v>
          </cell>
          <cell r="DK336" t="str">
            <v>Veuillez rapporter les exportations de production nationale uniquement.</v>
          </cell>
          <cell r="DL336" t="str">
            <v>Пожалуйста, сообщайте об экспорте продукции местного производства.</v>
          </cell>
        </row>
        <row r="337">
          <cell r="DJ337" t="str">
            <v>"Not elsewhere specified": Please specify on the Remarks page.</v>
          </cell>
          <cell r="DK337" t="str">
            <v>"Non spécifié ailleurs " : Veuillez préciser à la page réservée aux remarques.</v>
          </cell>
          <cell r="DL337" t="str">
            <v>«В другом месте не указано»: укажите на странице «Комментарии».</v>
          </cell>
        </row>
        <row r="338">
          <cell r="DJ338" t="str">
            <v>* This designation is without prejudice to positions on status, and is line with UNSCR 1244 and the ICJ Opinion on the Kosovo declaration of independence.</v>
          </cell>
          <cell r="DK338" t="str">
            <v>* Cette désignation est sans préjudice des positions sur le statut, et est conforme à la résolution 1244 du Conseil de sécurité des Nations Unies et à l'avis de la CIJ sur la déclaration d'indépendance du Kosovo.</v>
          </cell>
          <cell r="DL338"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sheetData>
      <sheetData sheetId="22">
        <row r="1">
          <cell r="DJ1" t="str">
            <v>Table 4ii - LNG Exports by destination</v>
          </cell>
          <cell r="DK1" t="str">
            <v>Tableau 4ii - Exportations de GNL par destination</v>
          </cell>
          <cell r="DL1" t="str">
            <v>Таблица 4ii - Экспорт СПГ по странам назначения</v>
          </cell>
        </row>
        <row r="3">
          <cell r="DJ3" t="str">
            <v>Million cubic metres</v>
          </cell>
          <cell r="DK3" t="str">
            <v>Millions mètres cube</v>
          </cell>
          <cell r="DL3" t="str">
            <v>Миллионы кубических метров</v>
          </cell>
        </row>
        <row r="168">
          <cell r="DJ168" t="str">
            <v>Please report exports of indigenous production only.</v>
          </cell>
          <cell r="DK168" t="str">
            <v>Veuillez rapporter les exportations de production nationale uniquement.</v>
          </cell>
          <cell r="DL168" t="str">
            <v>Пожалуйста, сообщайте об экспорте продукции местного производства.</v>
          </cell>
        </row>
        <row r="169">
          <cell r="DJ169" t="str">
            <v>"Not elsewhere specified": Please specify on the Remarks page.</v>
          </cell>
          <cell r="DK169" t="str">
            <v>"Non spécifié ailleurs " : Veuillez préciser à la page réservée aux remarques.</v>
          </cell>
          <cell r="DL169" t="str">
            <v>«В другом месте не указано»: укажите на странице «Комментарии».</v>
          </cell>
        </row>
        <row r="170">
          <cell r="DJ170" t="str">
            <v>Table 4ii - LNG Exports</v>
          </cell>
          <cell r="DK170" t="str">
            <v>Tableau 4ii - Exportations de GNL(1)</v>
          </cell>
          <cell r="DL170" t="str">
            <v>Таблица 4ii - Экспорт СПГ</v>
          </cell>
        </row>
        <row r="171">
          <cell r="DJ171" t="str">
            <v>Terajoules</v>
          </cell>
          <cell r="DK171" t="str">
            <v>Terajoules</v>
          </cell>
          <cell r="DL171" t="str">
            <v>Тераджоули</v>
          </cell>
        </row>
      </sheetData>
      <sheetData sheetId="23">
        <row r="2">
          <cell r="AA2" t="str">
            <v>Remarks</v>
          </cell>
          <cell r="AB2" t="str">
            <v>Remarques</v>
          </cell>
          <cell r="AC2" t="str">
            <v>Замечания</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Cover"/>
      <sheetName val="Menu"/>
      <sheetName val="Table 1"/>
      <sheetName val="Table 2"/>
      <sheetName val="Table 3"/>
      <sheetName val="Table 4"/>
      <sheetName val="Anthracite"/>
      <sheetName val="BituminousCoal"/>
      <sheetName val="CokingCoal"/>
      <sheetName val="Sub-bituminousCoal"/>
      <sheetName val="Lignite"/>
      <sheetName val="PatentFuel"/>
      <sheetName val="Coke_OvenCoke"/>
      <sheetName val="GasCoke"/>
      <sheetName val="Coal Tar"/>
      <sheetName val="BKB"/>
      <sheetName val="GasWorksGas"/>
      <sheetName val="CokeOvenGas"/>
      <sheetName val="BlastFurnaceGas"/>
      <sheetName val="OtherRecoveredGases"/>
      <sheetName val="Peat"/>
      <sheetName val="PeatProducts"/>
      <sheetName val="OilShale&amp;OilSands"/>
      <sheetName val="Remarks"/>
    </sheetNames>
    <sheetDataSet>
      <sheetData sheetId="0"/>
      <sheetData sheetId="1"/>
      <sheetData sheetId="2"/>
      <sheetData sheetId="3"/>
      <sheetData sheetId="4">
        <row r="211">
          <cell r="E211" t="str">
            <v>Anthracite</v>
          </cell>
          <cell r="F211" t="str">
            <v>Coking coal</v>
          </cell>
          <cell r="G211" t="str">
            <v>Other bituminous coal</v>
          </cell>
          <cell r="H211" t="str">
            <v>Sub-bituminous coal</v>
          </cell>
          <cell r="I211" t="str">
            <v>Lignite</v>
          </cell>
          <cell r="J211" t="str">
            <v>Patent fuel</v>
          </cell>
          <cell r="K211" t="str">
            <v>Coke oven coke</v>
          </cell>
          <cell r="L211" t="str">
            <v>Coal tar</v>
          </cell>
          <cell r="M211" t="str">
            <v>BKB</v>
          </cell>
          <cell r="N211" t="str">
            <v>Peat</v>
          </cell>
          <cell r="O211" t="str">
            <v>Peat products</v>
          </cell>
        </row>
        <row r="212">
          <cell r="E212" t="str">
            <v>Anthracite</v>
          </cell>
          <cell r="F212" t="str">
            <v xml:space="preserve"> Charbon à coke</v>
          </cell>
          <cell r="G212" t="str">
            <v>Autres charbons bitumineux</v>
          </cell>
          <cell r="H212" t="str">
            <v xml:space="preserve"> Charbon sous-bitumineux</v>
          </cell>
          <cell r="I212" t="str">
            <v xml:space="preserve"> Lignite</v>
          </cell>
          <cell r="J212" t="str">
            <v>Aggloméres</v>
          </cell>
          <cell r="K212" t="str">
            <v>Coke de cokerie</v>
          </cell>
          <cell r="L212" t="str">
            <v>Goudron de houille</v>
          </cell>
          <cell r="M212" t="str">
            <v>Briquettes de lignite</v>
          </cell>
          <cell r="N212" t="str">
            <v>Tourbe</v>
          </cell>
          <cell r="O212" t="str">
            <v>Produits de la tourbe</v>
          </cell>
        </row>
        <row r="213">
          <cell r="E213" t="str">
            <v xml:space="preserve"> Антрацит</v>
          </cell>
          <cell r="F213" t="str">
            <v>Коксующийся уголь</v>
          </cell>
          <cell r="G213" t="str">
            <v xml:space="preserve">Прочие битуминозные угли </v>
          </cell>
          <cell r="H213" t="str">
            <v>Полубитуминозные угли</v>
          </cell>
          <cell r="I213" t="str">
            <v>Лигнит</v>
          </cell>
          <cell r="J213" t="str">
            <v>Каменно-угольные брикеты</v>
          </cell>
          <cell r="K213" t="str">
            <v>Доменный кокс</v>
          </cell>
          <cell r="L213" t="str">
            <v>Деготь</v>
          </cell>
          <cell r="M213" t="str">
            <v>Буроугольные брикеты</v>
          </cell>
          <cell r="N213" t="str">
            <v>Торф</v>
          </cell>
          <cell r="O213" t="str">
            <v>Продукты 
из торфа</v>
          </cell>
        </row>
      </sheetData>
      <sheetData sheetId="5"/>
      <sheetData sheetId="6">
        <row r="1">
          <cell r="BB1" t="str">
            <v>Table 4 CALORIFIC VALUES
Note: The data in this table will be used by the Secretariats to obtain conversion factors for each type of coal and their different end-use</v>
          </cell>
          <cell r="BC1" t="str">
            <v>Table 4 POUVOIRS CALORIFIQUES
Note: Les données de ce tableau seront utilisées par les Secrétariats pour calculer des facteurs de conversion pour chaque type de combustible et pour chaque secteur</v>
          </cell>
          <cell r="BD1" t="str">
            <v>Таблица 4 Значения теплотворной способности
Замечание: Данные из таблицы будут использованы Секретариатом для получения коэффициентов преобразования для каждого типа угля и разных видов конечного использования</v>
          </cell>
        </row>
        <row r="6">
          <cell r="BB6" t="str">
            <v>Production</v>
          </cell>
          <cell r="BC6" t="str">
            <v>Production</v>
          </cell>
          <cell r="BD6" t="str">
            <v>Производство</v>
          </cell>
          <cell r="BF6" t="str">
            <v>gross -  1</v>
          </cell>
          <cell r="BG6" t="str">
            <v>PCS    1</v>
          </cell>
          <cell r="BH6" t="str">
            <v>валовое -1</v>
          </cell>
        </row>
        <row r="7">
          <cell r="BF7" t="str">
            <v>net   -  2</v>
          </cell>
          <cell r="BG7" t="str">
            <v>PCI    2</v>
          </cell>
          <cell r="BH7" t="str">
            <v>нетто -2</v>
          </cell>
        </row>
        <row r="8">
          <cell r="BB8" t="str">
            <v>Imports</v>
          </cell>
          <cell r="BC8" t="str">
            <v>Importations</v>
          </cell>
          <cell r="BD8" t="str">
            <v>Импорт</v>
          </cell>
          <cell r="BF8" t="str">
            <v>gross -  3</v>
          </cell>
          <cell r="BG8" t="str">
            <v>PCS    3</v>
          </cell>
          <cell r="BH8" t="str">
            <v>валовое -3</v>
          </cell>
        </row>
        <row r="9">
          <cell r="BF9" t="str">
            <v>net   -  4</v>
          </cell>
          <cell r="BG9" t="str">
            <v>PCI    4</v>
          </cell>
          <cell r="BH9" t="str">
            <v>нетто -4</v>
          </cell>
        </row>
        <row r="10">
          <cell r="BB10" t="str">
            <v>Exports</v>
          </cell>
          <cell r="BC10" t="str">
            <v>Exportations</v>
          </cell>
          <cell r="BD10" t="str">
            <v>Экспорт</v>
          </cell>
          <cell r="BF10" t="str">
            <v>gross -  5</v>
          </cell>
          <cell r="BG10" t="str">
            <v>PCS    5</v>
          </cell>
          <cell r="BH10" t="str">
            <v>валовое -5</v>
          </cell>
        </row>
        <row r="11">
          <cell r="BF11" t="str">
            <v>net   -  6</v>
          </cell>
          <cell r="BG11" t="str">
            <v>PCI    6</v>
          </cell>
          <cell r="BH11" t="str">
            <v>нетто -6</v>
          </cell>
        </row>
        <row r="12">
          <cell r="BB12" t="str">
            <v>Used in coke ovens</v>
          </cell>
          <cell r="BC12" t="str">
            <v>Consommé dans les cokeries</v>
          </cell>
          <cell r="BD12" t="str">
            <v>Использование в коксовых печах</v>
          </cell>
          <cell r="BF12" t="str">
            <v>gross -  7</v>
          </cell>
          <cell r="BG12" t="str">
            <v>PCS    7</v>
          </cell>
          <cell r="BH12" t="str">
            <v>валовое -7</v>
          </cell>
        </row>
        <row r="13">
          <cell r="BF13" t="str">
            <v>net   -  8</v>
          </cell>
          <cell r="BG13" t="str">
            <v>PCI    8</v>
          </cell>
          <cell r="BH13" t="str">
            <v>нетто -8</v>
          </cell>
        </row>
        <row r="14">
          <cell r="BB14" t="str">
            <v>Used in blast furnaces</v>
          </cell>
          <cell r="BC14" t="str">
            <v>Consommé dans les hauts-fourneaux</v>
          </cell>
          <cell r="BD14" t="str">
            <v>Использование в доменных печах</v>
          </cell>
          <cell r="BF14" t="str">
            <v>gross -  9</v>
          </cell>
          <cell r="BG14" t="str">
            <v>PCS    9</v>
          </cell>
          <cell r="BH14" t="str">
            <v>валовое -9</v>
          </cell>
        </row>
        <row r="15">
          <cell r="BF15" t="str">
            <v>net   - 10</v>
          </cell>
          <cell r="BG15" t="str">
            <v>PCI   10</v>
          </cell>
          <cell r="BH15" t="str">
            <v>нетто -10</v>
          </cell>
        </row>
        <row r="16">
          <cell r="BB16" t="str">
            <v>Used in main activity plants</v>
          </cell>
          <cell r="BC16" t="str">
            <v>Consommé dans la production d'électricité et de chaleur (activité principale)</v>
          </cell>
          <cell r="BD16" t="str">
            <v>Использование для производства энергии и тепла (основной вид деят.)</v>
          </cell>
          <cell r="BF16" t="str">
            <v>gross - 11</v>
          </cell>
          <cell r="BG16" t="str">
            <v>PCS   11</v>
          </cell>
          <cell r="BH16" t="str">
            <v>валовое -11</v>
          </cell>
        </row>
        <row r="17">
          <cell r="BF17" t="str">
            <v>net   - 12</v>
          </cell>
          <cell r="BG17" t="str">
            <v>PCI   12</v>
          </cell>
          <cell r="BH17" t="str">
            <v>нетто -12</v>
          </cell>
        </row>
        <row r="18">
          <cell r="BB18" t="str">
            <v>Used in industry</v>
          </cell>
          <cell r="BC18" t="str">
            <v>Consommé dans l'industrie</v>
          </cell>
          <cell r="BD18" t="str">
            <v>Использование в промышленности</v>
          </cell>
          <cell r="BF18" t="str">
            <v>gross - 13</v>
          </cell>
          <cell r="BG18" t="str">
            <v>PCS   13</v>
          </cell>
          <cell r="BH18" t="str">
            <v>валовое -13</v>
          </cell>
        </row>
        <row r="19">
          <cell r="BF19" t="str">
            <v>net   - 14</v>
          </cell>
          <cell r="BG19" t="str">
            <v>PCI   14</v>
          </cell>
          <cell r="BH19" t="str">
            <v>нетто -14</v>
          </cell>
        </row>
        <row r="20">
          <cell r="BB20" t="str">
            <v>For other uses</v>
          </cell>
          <cell r="BC20" t="str">
            <v>Autres utilisations</v>
          </cell>
          <cell r="BD20" t="str">
            <v>Для других использований</v>
          </cell>
          <cell r="BF20" t="str">
            <v>gross - 15</v>
          </cell>
          <cell r="BG20" t="str">
            <v>PCS   15</v>
          </cell>
          <cell r="BH20" t="str">
            <v>валовое -15</v>
          </cell>
        </row>
        <row r="21">
          <cell r="BF21" t="str">
            <v>net   - 16</v>
          </cell>
          <cell r="BG21" t="str">
            <v>PCI   16</v>
          </cell>
          <cell r="BH21" t="str">
            <v>нетто -16</v>
          </cell>
        </row>
        <row r="22">
          <cell r="BB22" t="str">
            <v>Rows 1 and 2: Refer to Item 1 in Table 1</v>
          </cell>
          <cell r="BC22" t="str">
            <v>Lignes 1 et 2 : Cf. ligne 1 du tableau 1</v>
          </cell>
          <cell r="BD22" t="str">
            <v>Строки 1 и 2 : Ссылка на позицию 1 в Таблице 1</v>
          </cell>
        </row>
        <row r="23">
          <cell r="BB23" t="str">
            <v>Rows 3 and 4: Refer to Item 5 in Table 1</v>
          </cell>
          <cell r="BC23" t="str">
            <v>Lignes 3 et 4 : Cf. ligne 5 du tableau 1</v>
          </cell>
          <cell r="BD23" t="str">
            <v>Строки 3 и 4 : Ссылка на позицию 5 в Таблице 1</v>
          </cell>
        </row>
        <row r="24">
          <cell r="BB24" t="str">
            <v>Rows 5 and 6: Refer to Item 6 in Table 1</v>
          </cell>
          <cell r="BC24" t="str">
            <v>Lignes 5 et 6 : Cf. ligne 6 du tableau 1</v>
          </cell>
          <cell r="BD24" t="str">
            <v>Строки 5 и 6 : Ссылка на позицию 6 в Таблице 1</v>
          </cell>
        </row>
        <row r="25">
          <cell r="BB25" t="str">
            <v>Rows 7 and 8: Refer to Item 22 and 33 in Table 1</v>
          </cell>
          <cell r="BC25" t="str">
            <v>Lignes 7 et 8 : Cf. ligne 22 et 33 du tableau 1</v>
          </cell>
          <cell r="BD25" t="str">
            <v>Строки 7 и 8 : Ссылка на позиции 22 и 33 в Таблице 1</v>
          </cell>
        </row>
        <row r="26">
          <cell r="BB26" t="str">
            <v>Rows 9 and 10: Refer to Item 25 and 36 in Table 1</v>
          </cell>
          <cell r="BC26" t="str">
            <v>Lignes 9 et 10 : Cf. ligne 25 et 36 du tableau 1</v>
          </cell>
          <cell r="BD26" t="str">
            <v>Строки 9 и 10 : Ссылка на позиции 25 и 36 в Таблице 1</v>
          </cell>
        </row>
        <row r="27">
          <cell r="BB27" t="str">
            <v>Rows 11 and 12: Refer to Items 15 to 17 in Table 1. Please ensure that these calorific values are in line with those given in the joint IEA/EUROSTAT/UN ECE "Annual Electricity and Heat Questionnaire"</v>
          </cell>
          <cell r="BC27" t="str">
            <v>Lignes 11 et 12 : Cf. lignes 15 à 17 du tableau 1. Veillez à ce que le pouvoir calorifique indiqué soit compatible avec ceux indiqués dans le questionnaire annuel conjoint AIE/EUROSTAT/CEE(ONU) sur l'électricité et la chaleur</v>
          </cell>
          <cell r="BD27" t="str">
            <v xml:space="preserve">Строки 11 и 12 : Ссылка на позиции с 15 по 17 в Таблице 1. Уточните пожалуйста что данные теплотворные способности соответствуют с приведёнными в совместном "Годовом Вопроснике по Электроэнергии и Теплу" IEA/EUROSTAT/UNECE </v>
          </cell>
        </row>
        <row r="28">
          <cell r="BB28" t="str">
            <v>Rows 13 and 14: Refer to Item 48 and its sub-items in Table 1</v>
          </cell>
          <cell r="BC28" t="str">
            <v>Lignes 13 et 14 : Cf. ligne 48 et suivantes du tableau 1</v>
          </cell>
          <cell r="BD28" t="str">
            <v>Строки 13 и 14 : Ссылка на позицию 48 и ее подразделы в Таблице 1</v>
          </cell>
        </row>
        <row r="29">
          <cell r="BB29" t="str">
            <v>Rows 15 and 16: Refer to the average calorific value of remaining consumption items not specified above</v>
          </cell>
          <cell r="BC29" t="str">
            <v>Lignes 15 et 16 : Veuillez indiquer les pouvoirs calorifiques des utilisations non citées précédemment</v>
          </cell>
          <cell r="BD29" t="str">
            <v>Строки 15 и 16 : Ссылка на среднюю теплотворную способность остальных позиций потребления, не указанных выше</v>
          </cell>
        </row>
        <row r="120">
          <cell r="E120" t="str">
            <v>Anthracite</v>
          </cell>
          <cell r="F120" t="str">
            <v>Coking coal</v>
          </cell>
          <cell r="G120" t="str">
            <v>Other bituminous coal</v>
          </cell>
          <cell r="H120" t="str">
            <v>Sub-bituminous coal</v>
          </cell>
          <cell r="I120" t="str">
            <v>Lignite</v>
          </cell>
          <cell r="J120" t="str">
            <v>Patent fuel</v>
          </cell>
          <cell r="K120" t="str">
            <v>Coke oven coke</v>
          </cell>
          <cell r="L120" t="str">
            <v>Gas coke</v>
          </cell>
          <cell r="M120" t="str">
            <v>Coal tar</v>
          </cell>
          <cell r="N120" t="str">
            <v>BKB</v>
          </cell>
          <cell r="O120" t="str">
            <v>Peat</v>
          </cell>
          <cell r="P120" t="str">
            <v>Peat products</v>
          </cell>
          <cell r="Q120" t="str">
            <v>Oil shale and oil sands</v>
          </cell>
        </row>
        <row r="121">
          <cell r="E121" t="str">
            <v>Anthracite</v>
          </cell>
          <cell r="F121" t="str">
            <v xml:space="preserve"> Charbon à coke</v>
          </cell>
          <cell r="G121" t="str">
            <v>Autres charbons bitumineux</v>
          </cell>
          <cell r="H121" t="str">
            <v xml:space="preserve"> Charbon sous-bitumineux</v>
          </cell>
          <cell r="I121" t="str">
            <v xml:space="preserve"> Lignite</v>
          </cell>
          <cell r="J121" t="str">
            <v>Aggloméres</v>
          </cell>
          <cell r="K121" t="str">
            <v>Coke de cokerie</v>
          </cell>
          <cell r="L121" t="str">
            <v>Coke de gaz</v>
          </cell>
          <cell r="M121" t="str">
            <v>Goudron de houille</v>
          </cell>
          <cell r="N121" t="str">
            <v>Briquettes de lignite</v>
          </cell>
          <cell r="O121" t="str">
            <v>Tourbe</v>
          </cell>
          <cell r="P121" t="str">
            <v>Produits de la tourbe</v>
          </cell>
          <cell r="Q121" t="str">
            <v>Schistes et sables bitumeux</v>
          </cell>
        </row>
        <row r="122">
          <cell r="E122" t="str">
            <v xml:space="preserve">Антрацит    </v>
          </cell>
          <cell r="F122" t="str">
            <v>Коксующийся уголь</v>
          </cell>
          <cell r="G122" t="str">
            <v>Прочие битуминозные угли и антрацит</v>
          </cell>
          <cell r="H122" t="str">
            <v>Полубитуминозные угли</v>
          </cell>
          <cell r="I122" t="str">
            <v>Лигнит</v>
          </cell>
          <cell r="J122" t="str">
            <v>Каменно-угольные брикеты</v>
          </cell>
          <cell r="K122" t="str">
            <v>Доменный кокс</v>
          </cell>
          <cell r="L122" t="str">
            <v>Газовый кокс</v>
          </cell>
          <cell r="M122" t="str">
            <v xml:space="preserve">Деготь    </v>
          </cell>
          <cell r="N122" t="str">
            <v>Буроугольные брикеты</v>
          </cell>
          <cell r="O122" t="str">
            <v>Торф</v>
          </cell>
          <cell r="P122" t="str">
            <v>Продукты из торфа</v>
          </cell>
          <cell r="Q122" t="str">
            <v>Сланцы и битуминозные пески</v>
          </cell>
        </row>
      </sheetData>
      <sheetData sheetId="7">
        <row r="1">
          <cell r="BT1" t="str">
            <v>Anthracite</v>
          </cell>
          <cell r="BU1" t="str">
            <v>Anthracite</v>
          </cell>
          <cell r="BV1" t="str">
            <v xml:space="preserve"> Антрацит </v>
          </cell>
        </row>
        <row r="4">
          <cell r="BT4" t="str">
            <v>Supply, transformation and end-use sectors</v>
          </cell>
          <cell r="BU4" t="str">
            <v>Approvisionnement, transformation et utilisations finales</v>
          </cell>
          <cell r="BV4" t="str">
            <v>Секторы поставки, переработки и конечного использования</v>
          </cell>
        </row>
        <row r="5">
          <cell r="BT5" t="str">
            <v>Indigenous production</v>
          </cell>
          <cell r="BU5" t="str">
            <v>Production</v>
          </cell>
          <cell r="BV5" t="str">
            <v xml:space="preserve">Производство </v>
          </cell>
        </row>
        <row r="6">
          <cell r="BT6" t="str">
            <v>Underground production</v>
          </cell>
          <cell r="BU6" t="str">
            <v xml:space="preserve">    dont au fond</v>
          </cell>
          <cell r="BV6" t="str">
            <v xml:space="preserve">    в том числе подземная добыча</v>
          </cell>
        </row>
        <row r="7">
          <cell r="BT7" t="str">
            <v>Surface production</v>
          </cell>
          <cell r="BU7" t="str">
            <v xml:space="preserve">    dont au jour</v>
          </cell>
          <cell r="BV7" t="str">
            <v xml:space="preserve">    в том числе открытым способом</v>
          </cell>
        </row>
        <row r="8">
          <cell r="BT8" t="str">
            <v>From other sources</v>
          </cell>
          <cell r="BU8" t="str">
            <v>Autres sources</v>
          </cell>
          <cell r="BV8" t="str">
            <v xml:space="preserve">Из других источников </v>
          </cell>
        </row>
        <row r="9">
          <cell r="BT9" t="str">
            <v>From other sources - Oil</v>
          </cell>
          <cell r="BU9" t="str">
            <v xml:space="preserve">    dont produits pétroliers</v>
          </cell>
          <cell r="BV9" t="str">
            <v>-в том числе из нефтепродуктов</v>
          </cell>
        </row>
        <row r="10">
          <cell r="BT10" t="str">
            <v>From other sources - Natural gas</v>
          </cell>
          <cell r="BU10" t="str">
            <v xml:space="preserve">    dont gaz naturel</v>
          </cell>
          <cell r="BV10" t="str">
            <v>-в том числе из природного газа</v>
          </cell>
        </row>
        <row r="11">
          <cell r="BT11" t="str">
            <v>From other sources - Renewables</v>
          </cell>
          <cell r="BU11" t="str">
            <v xml:space="preserve">    dont renouvelables</v>
          </cell>
          <cell r="BV11" t="str">
            <v>-в том числе из возобновляемых источников</v>
          </cell>
        </row>
        <row r="12">
          <cell r="BT12" t="str">
            <v>Total imports (Balance)</v>
          </cell>
          <cell r="BU12" t="str">
            <v>Importations</v>
          </cell>
          <cell r="BV12" t="str">
            <v xml:space="preserve">Импорт </v>
          </cell>
        </row>
        <row r="13">
          <cell r="BT13" t="str">
            <v>Total exports (Balance)</v>
          </cell>
          <cell r="BU13" t="str">
            <v>Exportations</v>
          </cell>
          <cell r="BV13" t="str">
            <v>Экспорт</v>
          </cell>
        </row>
        <row r="14">
          <cell r="BT14" t="str">
            <v>International marine bunkers</v>
          </cell>
          <cell r="BU14" t="str">
            <v>Soutes maritimes internationales</v>
          </cell>
          <cell r="BV14" t="str">
            <v>Морская бункеровка</v>
          </cell>
        </row>
        <row r="15">
          <cell r="BT15" t="str">
            <v>Stock changes (National territory)</v>
          </cell>
          <cell r="BU15" t="str">
            <v>Variations de stocks</v>
          </cell>
          <cell r="BV15" t="str">
            <v>Изменения запасов</v>
          </cell>
        </row>
        <row r="16">
          <cell r="BT16" t="str">
            <v>Inland consumption (Calculated)</v>
          </cell>
          <cell r="BU16" t="str">
            <v>Consommation brute</v>
          </cell>
          <cell r="BV16" t="str">
            <v>Валовое потребление</v>
          </cell>
        </row>
        <row r="17">
          <cell r="BT17" t="str">
            <v>Statistical differences</v>
          </cell>
          <cell r="BU17" t="str">
            <v>Ecart statistique</v>
          </cell>
          <cell r="BV17" t="str">
            <v>Статистические расхождения</v>
          </cell>
        </row>
        <row r="18">
          <cell r="BT18" t="str">
            <v>Transformation sector</v>
          </cell>
          <cell r="BU18" t="str">
            <v>Secteur Transformation, dont:</v>
          </cell>
          <cell r="BV18" t="str">
            <v>Перерабатывающий сектор</v>
          </cell>
        </row>
        <row r="19">
          <cell r="BT19" t="str">
            <v>Main activity producer electricity plants</v>
          </cell>
          <cell r="BU19" t="str">
            <v>Centrales d'électricité (activité principale)</v>
          </cell>
          <cell r="BV19" t="str">
            <v>Электростанции производителей энергии (основной вид деятельности)</v>
          </cell>
        </row>
        <row r="20">
          <cell r="BT20" t="str">
            <v>Main activity producer CHP plants</v>
          </cell>
          <cell r="BU20" t="str">
            <v>Centrales de cogénération (activité principale)</v>
          </cell>
          <cell r="BV20" t="str">
            <v>ТЭЦ производителей энергии (основной вид деятельности)</v>
          </cell>
        </row>
        <row r="21">
          <cell r="BT21" t="str">
            <v>Main activity producer heat plants</v>
          </cell>
          <cell r="BU21" t="str">
            <v>Centrales calogènes (activité principale)</v>
          </cell>
          <cell r="BV21" t="str">
            <v>Теплоцентрали производителей энергии (основной вид деятельности)</v>
          </cell>
        </row>
        <row r="22">
          <cell r="BT22" t="str">
            <v>Autoproducer electricity plants</v>
          </cell>
          <cell r="BU22" t="str">
            <v>Centrales autoproductrices d'électricité</v>
          </cell>
          <cell r="BV22" t="str">
            <v>Электростанции предприятий, производящих энергию для собственных нужд</v>
          </cell>
        </row>
        <row r="23">
          <cell r="BT23" t="str">
            <v>Autoproducer CHP plants</v>
          </cell>
          <cell r="BU23" t="str">
            <v>Centrales autoproductrices de cogénération</v>
          </cell>
          <cell r="BV23" t="str">
            <v>ТЭЦ предприятий, производящих энергию для собственных нужд</v>
          </cell>
        </row>
        <row r="24">
          <cell r="BT24" t="str">
            <v>Autoproducer heat plants</v>
          </cell>
          <cell r="BU24" t="str">
            <v>Centrales autoproductrices calogènes</v>
          </cell>
          <cell r="BV24" t="str">
            <v>Теплоцентрали предприятий, производящих энергию для собственных нужд</v>
          </cell>
        </row>
        <row r="25">
          <cell r="BT25" t="str">
            <v>Patent fuel plants (Transformation)</v>
          </cell>
          <cell r="BU25" t="str">
            <v>Fabriques d'agglomérés</v>
          </cell>
          <cell r="BV25" t="str">
            <v>Предприятия по производству каменноугольных брикетов</v>
          </cell>
        </row>
        <row r="26">
          <cell r="BT26" t="str">
            <v>Coke ovens (Transformation)</v>
          </cell>
          <cell r="BU26" t="str">
            <v>Cokeries</v>
          </cell>
          <cell r="BV26" t="str">
            <v>Коксовые печи</v>
          </cell>
        </row>
        <row r="27">
          <cell r="BT27" t="str">
            <v>BKB/PB plants (Transformation)</v>
          </cell>
          <cell r="BU27" t="str">
            <v>Fabriques de briquettes de lignite et de tourbe</v>
          </cell>
          <cell r="BV27" t="str">
            <v>Буроугольные брикеты (производство)</v>
          </cell>
        </row>
        <row r="28">
          <cell r="BT28" t="str">
            <v>Gas works (Transformation)</v>
          </cell>
          <cell r="BU28" t="str">
            <v>Usines à gaz</v>
          </cell>
          <cell r="BV28" t="str">
            <v>Газовые эаводы/предприятия газификации</v>
          </cell>
        </row>
        <row r="29">
          <cell r="BT29" t="str">
            <v>Blast furnaces (Transformation)</v>
          </cell>
          <cell r="BU29" t="str">
            <v>Hauts-fourneaux</v>
          </cell>
          <cell r="BV29" t="str">
            <v>Доменные печи</v>
          </cell>
        </row>
        <row r="30">
          <cell r="BT30" t="str">
            <v>Coal liquefaction plants (Transformation)</v>
          </cell>
          <cell r="BU30" t="str">
            <v>Unités de liquéfaction</v>
          </cell>
          <cell r="BV30" t="str">
            <v xml:space="preserve">Ожижение </v>
          </cell>
        </row>
        <row r="31">
          <cell r="BT31" t="str">
            <v>For blended natural gas</v>
          </cell>
          <cell r="BU31" t="str">
            <v>Pour mélange avec du gaz naturel</v>
          </cell>
          <cell r="BV31" t="str">
            <v>Для смешанного природного газа</v>
          </cell>
        </row>
        <row r="32">
          <cell r="BT32" t="str">
            <v>Not elsewhere specified (Transformation)</v>
          </cell>
          <cell r="BU32" t="str">
            <v>Transformation non spécifiée</v>
          </cell>
          <cell r="BV32" t="str">
            <v>Другие - переработки</v>
          </cell>
        </row>
        <row r="33">
          <cell r="BT33" t="str">
            <v>Energy sector</v>
          </cell>
          <cell r="BU33" t="str">
            <v>Secteur Energie, dont:</v>
          </cell>
          <cell r="BV33" t="str">
            <v>Топливно-энергетический сектор</v>
          </cell>
        </row>
        <row r="34">
          <cell r="BT34" t="str">
            <v>Own use in electricity, CHP and heat plants</v>
          </cell>
          <cell r="BU34" t="str">
            <v>Centrales d'électricité (seule), de cogénération et calogènes</v>
          </cell>
          <cell r="BV34" t="str">
            <v xml:space="preserve">Электростанции, ТЭЦ и теплоцентрали </v>
          </cell>
        </row>
        <row r="35">
          <cell r="BT35" t="str">
            <v>Coal mines</v>
          </cell>
          <cell r="BU35" t="str">
            <v>Mines de charbon</v>
          </cell>
          <cell r="BV35" t="str">
            <v>Угольные шахты</v>
          </cell>
        </row>
        <row r="36">
          <cell r="BT36" t="str">
            <v>Patent fuel plants (Energy)</v>
          </cell>
          <cell r="BU36" t="str">
            <v>Fabriques d'agglomérés</v>
          </cell>
          <cell r="BV36" t="str">
            <v>Предприятия по производству каменноугольных брикетов</v>
          </cell>
        </row>
        <row r="37">
          <cell r="BT37" t="str">
            <v>Coke ovens (Energy)</v>
          </cell>
          <cell r="BU37" t="str">
            <v>Cokeries</v>
          </cell>
          <cell r="BV37" t="str">
            <v xml:space="preserve">Коксовые печи (энергия)            </v>
          </cell>
        </row>
        <row r="38">
          <cell r="BT38" t="str">
            <v>BKB/PB plants (Energy)</v>
          </cell>
          <cell r="BU38" t="str">
            <v>Fabriques de briquettes de lignite et de tourbe</v>
          </cell>
          <cell r="BV38" t="str">
            <v>Буроугольные брикеты</v>
          </cell>
        </row>
        <row r="39">
          <cell r="BT39" t="str">
            <v>Gas works (Energy)</v>
          </cell>
          <cell r="BU39" t="str">
            <v>Usines à gaz</v>
          </cell>
          <cell r="BV39" t="str">
            <v xml:space="preserve">Газовые эаводы (энергия)           </v>
          </cell>
        </row>
        <row r="40">
          <cell r="BT40" t="str">
            <v>Blast furnaces (Energy)</v>
          </cell>
          <cell r="BU40" t="str">
            <v>Hauts-Fourneaux</v>
          </cell>
          <cell r="BV40" t="str">
            <v xml:space="preserve">Доменные печи                </v>
          </cell>
        </row>
        <row r="41">
          <cell r="BT41" t="str">
            <v>Oil refineries</v>
          </cell>
          <cell r="BU41" t="str">
            <v>Raffineries de pétrole</v>
          </cell>
          <cell r="BV41" t="str">
            <v>Нефтеперераб. заводы</v>
          </cell>
        </row>
        <row r="42">
          <cell r="BT42" t="str">
            <v>Coal liquefaction plants (Energy)</v>
          </cell>
          <cell r="BU42" t="str">
            <v>Unités de liquéfaction</v>
          </cell>
          <cell r="BV42" t="str">
            <v xml:space="preserve">Ожижение </v>
          </cell>
        </row>
        <row r="43">
          <cell r="BT43" t="str">
            <v>Not elsewhere specified (Energy industry own use)</v>
          </cell>
          <cell r="BU43" t="str">
            <v>Autres utilisations du secteur Energie</v>
          </cell>
          <cell r="BV43" t="str">
            <v>Другие виды использования в секторе энергетики</v>
          </cell>
        </row>
        <row r="44">
          <cell r="BT44" t="str">
            <v>Distribution losses</v>
          </cell>
          <cell r="BU44" t="str">
            <v>Pertes de distribution</v>
          </cell>
          <cell r="BV44" t="str">
            <v>Потери при распределении</v>
          </cell>
        </row>
        <row r="45">
          <cell r="BT45" t="str">
            <v>Total final consumption</v>
          </cell>
          <cell r="BU45" t="str">
            <v>Consommation Finale Totale</v>
          </cell>
          <cell r="BV45" t="str">
            <v>Общий объем конечного потребления</v>
          </cell>
        </row>
        <row r="46">
          <cell r="BT46" t="str">
            <v>Total non-energy use</v>
          </cell>
          <cell r="BU46" t="str">
            <v>Usages non-énergétiques, dont:</v>
          </cell>
          <cell r="BV46" t="str">
            <v>Использование для незнергетических целей:</v>
          </cell>
        </row>
        <row r="47">
          <cell r="BT47" t="str">
            <v>Non-energy use industry/transformation/energy</v>
          </cell>
          <cell r="BU47" t="str">
            <v>Dans les secteurs Industrie, Transformation et Energie</v>
          </cell>
          <cell r="BV47" t="str">
            <v>В промышленном секторе, секторах переработки-преобразования и топливно-знергетики</v>
          </cell>
        </row>
        <row r="48">
          <cell r="BT48" t="str">
            <v>Of which: Non-energy use-Chemical/petrochem</v>
          </cell>
          <cell r="BU48" t="str">
            <v xml:space="preserve">  dont dans le secteur pétrochimie</v>
          </cell>
          <cell r="BV48" t="str">
            <v xml:space="preserve">  в том числе в нефтехимическом секторе</v>
          </cell>
        </row>
        <row r="49">
          <cell r="BT49" t="str">
            <v>Non-energy use in transport</v>
          </cell>
          <cell r="BU49" t="str">
            <v>Dans le secteur Transports</v>
          </cell>
          <cell r="BV49" t="str">
            <v>В транспортном секторе</v>
          </cell>
        </row>
        <row r="50">
          <cell r="BT50" t="str">
            <v>Non-energy use in other sectors</v>
          </cell>
          <cell r="BU50" t="str">
            <v>Dans Autres secteurs</v>
          </cell>
          <cell r="BV50" t="str">
            <v>В других секторах</v>
          </cell>
        </row>
        <row r="51">
          <cell r="BT51" t="str">
            <v>Final energy consumption</v>
          </cell>
          <cell r="BU51" t="str">
            <v>Consommation d'énergie finale</v>
          </cell>
          <cell r="BV51" t="str">
            <v xml:space="preserve">Конечное потребление энергии </v>
          </cell>
        </row>
        <row r="52">
          <cell r="BT52" t="str">
            <v>Industry sector</v>
          </cell>
          <cell r="BU52" t="str">
            <v>Secteur Industrie, dont:</v>
          </cell>
          <cell r="BV52" t="str">
            <v>Промышленный сектор:</v>
          </cell>
        </row>
        <row r="53">
          <cell r="BT53" t="str">
            <v>Iron and steel</v>
          </cell>
          <cell r="BU53" t="str">
            <v>Sidérurgie</v>
          </cell>
          <cell r="BV53" t="str">
            <v xml:space="preserve">Черная металлургия               </v>
          </cell>
        </row>
        <row r="54">
          <cell r="BT54" t="str">
            <v>Chemical and petrochemical</v>
          </cell>
          <cell r="BU54" t="str">
            <v>Industries chimique et pétrochimique</v>
          </cell>
          <cell r="BV54" t="str">
            <v>Химическая, в том числе нефтехимическая промышленность</v>
          </cell>
        </row>
        <row r="55">
          <cell r="BT55" t="str">
            <v>Non-ferrous metals</v>
          </cell>
          <cell r="BU55" t="str">
            <v>Métaux non ferreux</v>
          </cell>
          <cell r="BV55" t="str">
            <v xml:space="preserve">Цветная металлургия             </v>
          </cell>
        </row>
        <row r="56">
          <cell r="BT56" t="str">
            <v>Non-metallic minerals</v>
          </cell>
          <cell r="BU56" t="str">
            <v>Produits minéraux non métalliques</v>
          </cell>
          <cell r="BV56" t="str">
            <v xml:space="preserve">Неметаллические минеральные продукты  </v>
          </cell>
        </row>
        <row r="57">
          <cell r="BT57" t="str">
            <v>Transport equipment</v>
          </cell>
          <cell r="BU57" t="str">
            <v>Matériel de transport</v>
          </cell>
          <cell r="BV57" t="str">
            <v xml:space="preserve">Транспортное оборудование      </v>
          </cell>
        </row>
        <row r="58">
          <cell r="BT58" t="str">
            <v>Machinery</v>
          </cell>
          <cell r="BU58" t="str">
            <v>Construction mécanique</v>
          </cell>
          <cell r="BV58" t="str">
            <v xml:space="preserve">Машиностроение                     </v>
          </cell>
        </row>
        <row r="59">
          <cell r="BT59" t="str">
            <v>Mining and quarrying</v>
          </cell>
          <cell r="BU59" t="str">
            <v>Industries extractives</v>
          </cell>
          <cell r="BV59" t="str">
            <v xml:space="preserve">Горнодобывающая промышленность и разработка карьеров           </v>
          </cell>
        </row>
        <row r="60">
          <cell r="BT60" t="str">
            <v>Food, beverages and tobacco</v>
          </cell>
          <cell r="BU60" t="str">
            <v>Produits alimentaires, boissons et tabac</v>
          </cell>
          <cell r="BV60" t="str">
            <v xml:space="preserve">Пищевая промышленность, производство табачных изделий и напитков      </v>
          </cell>
        </row>
        <row r="61">
          <cell r="BT61" t="str">
            <v>Paper, pulp and printing</v>
          </cell>
          <cell r="BU61" t="str">
            <v>Imprimerie, pâtes et papiers</v>
          </cell>
          <cell r="BV61" t="str">
            <v xml:space="preserve">Целлюлозно-бумажная и полиграфическая промышленность      </v>
          </cell>
        </row>
        <row r="62">
          <cell r="BT62" t="str">
            <v>Wood and wood products</v>
          </cell>
          <cell r="BU62" t="str">
            <v>Bois et produits dérivés</v>
          </cell>
          <cell r="BV62" t="str">
            <v xml:space="preserve">Деревообрабатывающая промышленность и изготовление изделий из дерева         </v>
          </cell>
        </row>
        <row r="63">
          <cell r="BT63" t="str">
            <v>Construction</v>
          </cell>
          <cell r="BU63" t="str">
            <v>Construction</v>
          </cell>
          <cell r="BV63" t="str">
            <v>Строительство</v>
          </cell>
        </row>
        <row r="64">
          <cell r="BT64" t="str">
            <v>Textiles and leather</v>
          </cell>
          <cell r="BU64" t="str">
            <v>Textiles et cuir</v>
          </cell>
          <cell r="BV64" t="str">
            <v xml:space="preserve">Текстильная и кожевенная промышленность           </v>
          </cell>
        </row>
        <row r="65">
          <cell r="BT65" t="str">
            <v>Not elsewhere specified (Industry)</v>
          </cell>
          <cell r="BU65" t="str">
            <v>Industries non spécifiées</v>
          </cell>
          <cell r="BV65" t="str">
            <v xml:space="preserve">Другое потребление (промышленность)     </v>
          </cell>
        </row>
        <row r="66">
          <cell r="BT66" t="str">
            <v>Transport sector</v>
          </cell>
          <cell r="BU66" t="str">
            <v>Secteur transports, dont:</v>
          </cell>
          <cell r="BV66" t="str">
            <v>Сектор транспорта:</v>
          </cell>
        </row>
        <row r="67">
          <cell r="BT67" t="str">
            <v>Rail</v>
          </cell>
          <cell r="BU67" t="str">
            <v>Transport ferroviaire</v>
          </cell>
          <cell r="BV67" t="str">
            <v>Железные дороги</v>
          </cell>
        </row>
        <row r="68">
          <cell r="BT68" t="str">
            <v>Domestic navigation</v>
          </cell>
          <cell r="BU68" t="str">
            <v>Navigation intérieure</v>
          </cell>
          <cell r="BV68" t="str">
            <v>Внутренние водные пути</v>
          </cell>
        </row>
        <row r="69">
          <cell r="BT69" t="str">
            <v>Not elsewhere specified (Transport)</v>
          </cell>
          <cell r="BU69" t="str">
            <v>Transports non spécifiés</v>
          </cell>
          <cell r="BV69" t="str">
            <v>Другие</v>
          </cell>
        </row>
        <row r="70">
          <cell r="BT70" t="str">
            <v>Other sectors</v>
          </cell>
          <cell r="BU70" t="str">
            <v>Autres secteurs, dont:</v>
          </cell>
          <cell r="BV70" t="str">
            <v>Прочие секторы:</v>
          </cell>
        </row>
        <row r="71">
          <cell r="BT71" t="str">
            <v>Commercial and public services</v>
          </cell>
          <cell r="BU71" t="str">
            <v>Commerce et services publics</v>
          </cell>
          <cell r="BV71" t="str">
            <v xml:space="preserve">Торговля и услуги      </v>
          </cell>
        </row>
        <row r="72">
          <cell r="BT72" t="str">
            <v>Residential</v>
          </cell>
          <cell r="BU72" t="str">
            <v>Résidentiel</v>
          </cell>
          <cell r="BV72" t="str">
            <v xml:space="preserve">Жилищное хозяйство     </v>
          </cell>
        </row>
        <row r="73">
          <cell r="BT73" t="str">
            <v>Agriculture/forestry</v>
          </cell>
          <cell r="BU73" t="str">
            <v>Agriculture/Sylviculture</v>
          </cell>
          <cell r="BV73" t="str">
            <v xml:space="preserve">Сельское хозяйство             </v>
          </cell>
        </row>
        <row r="74">
          <cell r="BT74" t="str">
            <v>Fishing</v>
          </cell>
          <cell r="BU74" t="str">
            <v>Pêche</v>
          </cell>
          <cell r="BV74" t="str">
            <v>Рыболовство</v>
          </cell>
        </row>
        <row r="75">
          <cell r="BT75" t="str">
            <v>Not elsewhere specified (Other)</v>
          </cell>
          <cell r="BU75" t="str">
            <v>Non-spécifié ci-dessus</v>
          </cell>
          <cell r="BV75" t="str">
            <v>Другие</v>
          </cell>
        </row>
        <row r="76">
          <cell r="BT76" t="str">
            <v>Calorific Values</v>
          </cell>
          <cell r="BU76" t="str">
            <v>Pouvoirs calorifiques</v>
          </cell>
          <cell r="BV76" t="str">
            <v>Теплотворные способности</v>
          </cell>
        </row>
        <row r="77">
          <cell r="BT77" t="str">
            <v>Production (gross)</v>
          </cell>
          <cell r="BU77" t="str">
            <v>Production - PCS</v>
          </cell>
          <cell r="BV77" t="str">
            <v>Производство - брутто</v>
          </cell>
        </row>
        <row r="78">
          <cell r="BT78" t="str">
            <v>Production (net)</v>
          </cell>
          <cell r="BU78" t="str">
            <v>Production - PCI</v>
          </cell>
          <cell r="BV78" t="str">
            <v>Производство - нетто</v>
          </cell>
        </row>
        <row r="79">
          <cell r="BT79" t="str">
            <v>Imports (gross)</v>
          </cell>
          <cell r="BU79" t="str">
            <v>Importations - PCS</v>
          </cell>
          <cell r="BV79" t="str">
            <v>Импорт - брутто</v>
          </cell>
        </row>
        <row r="80">
          <cell r="BT80" t="str">
            <v>Imports (net)</v>
          </cell>
          <cell r="BU80" t="str">
            <v>Importations - PCI</v>
          </cell>
          <cell r="BV80" t="str">
            <v>Импорт - нетто</v>
          </cell>
        </row>
        <row r="81">
          <cell r="BT81" t="str">
            <v>Exports (gross)</v>
          </cell>
          <cell r="BU81" t="str">
            <v>Exportations - PCS</v>
          </cell>
          <cell r="BV81" t="str">
            <v>Экспорт - брутто</v>
          </cell>
        </row>
        <row r="82">
          <cell r="BT82" t="str">
            <v>Exports (net)</v>
          </cell>
          <cell r="BU82" t="str">
            <v>Exportations - PCI</v>
          </cell>
          <cell r="BV82" t="str">
            <v>Экспорт - нетто</v>
          </cell>
        </row>
        <row r="83">
          <cell r="BT83" t="str">
            <v>Used in coke ovens (gross)</v>
          </cell>
          <cell r="BU83" t="str">
            <v>Consommé dans les cokeries - PCS</v>
          </cell>
          <cell r="BV83" t="str">
            <v>Потребление в коксовых печях - брутто</v>
          </cell>
        </row>
        <row r="84">
          <cell r="BT84" t="str">
            <v>Used in coke ovens (net)</v>
          </cell>
          <cell r="BU84" t="str">
            <v>Consommé dans les cokeries - PCI</v>
          </cell>
          <cell r="BV84" t="str">
            <v>Потребление в коксовых печях - нетто</v>
          </cell>
        </row>
        <row r="85">
          <cell r="BT85" t="str">
            <v>Used in blast furnaces (gross)</v>
          </cell>
          <cell r="BU85" t="str">
            <v>Consommé dans les hauts-fourneaux - PCS</v>
          </cell>
          <cell r="BV85" t="str">
            <v>Потребление в доменных печях - брутто</v>
          </cell>
        </row>
        <row r="86">
          <cell r="BT86" t="str">
            <v>Used in blast furnaces (net)</v>
          </cell>
          <cell r="BU86" t="str">
            <v>Consommé dans les hauts-fourneaux - PCI</v>
          </cell>
          <cell r="BV86" t="str">
            <v>Потребление в доменных печях - нетто</v>
          </cell>
        </row>
        <row r="87">
          <cell r="BT87" t="str">
            <v>Used in main activity plants (gross)</v>
          </cell>
          <cell r="BU87" t="str">
            <v>Consommé dans la production d'électricité et de chaleur (activité principale) - PCS</v>
          </cell>
          <cell r="BV87" t="str">
            <v>Потребление в электростанциях,ТЭЦ и теплоцентралях - брутто</v>
          </cell>
        </row>
        <row r="88">
          <cell r="BT88" t="str">
            <v>Used in main activity plants (net)</v>
          </cell>
          <cell r="BU88" t="str">
            <v>Consommé dans la production d'électricité et de chaleur (activité principale) - PCI</v>
          </cell>
          <cell r="BV88" t="str">
            <v>Потребление в электростанциях,ТЭЦ и теплоцентралях - нетто</v>
          </cell>
        </row>
        <row r="89">
          <cell r="BT89" t="str">
            <v>Used in industry (gross)</v>
          </cell>
          <cell r="BU89" t="str">
            <v>Consommé dans l'industrie - PCS</v>
          </cell>
          <cell r="BV89" t="str">
            <v>Потребление в промышленности - брутто</v>
          </cell>
        </row>
        <row r="90">
          <cell r="BT90" t="str">
            <v>Used in industry (net)</v>
          </cell>
          <cell r="BU90" t="str">
            <v>Consommé dans l'industrie - PCI</v>
          </cell>
          <cell r="BV90" t="str">
            <v>Потребление в промышленности - нетто</v>
          </cell>
        </row>
        <row r="91">
          <cell r="BT91" t="str">
            <v>For other uses (gross)</v>
          </cell>
          <cell r="BU91" t="str">
            <v>Autres utilisations - PCS</v>
          </cell>
          <cell r="BV91" t="str">
            <v>Потребление для других целей - брутто</v>
          </cell>
        </row>
        <row r="92">
          <cell r="BT92" t="str">
            <v>For other uses (net)</v>
          </cell>
          <cell r="BU92" t="str">
            <v>Autres utilisations - PCI</v>
          </cell>
          <cell r="BV92" t="str">
            <v>Потребление для других целей - нетто</v>
          </cell>
        </row>
        <row r="93">
          <cell r="BT93" t="str">
            <v>Imports by Source</v>
          </cell>
          <cell r="BU93" t="str">
            <v>Importations par origine</v>
          </cell>
          <cell r="BV93" t="str">
            <v>Импорт по странам происхождения</v>
          </cell>
        </row>
        <row r="258">
          <cell r="BT258" t="str">
            <v>Exports by Destination</v>
          </cell>
          <cell r="BU258" t="str">
            <v>Exportations par destination</v>
          </cell>
          <cell r="BV258" t="str">
            <v>Экспорт по странам назначения</v>
          </cell>
        </row>
      </sheetData>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MENU"/>
      <sheetName val="MACRO ECONOMIC DATA"/>
      <sheetName val="COMMODITIES"/>
      <sheetName val="INDUSTRY"/>
      <sheetName val="SERVICES"/>
      <sheetName val="RESIDENTIAL"/>
      <sheetName val="TRANSPORT"/>
      <sheetName val="ELECTRICITY GENERATION"/>
      <sheetName val="BASIC INDICATORS"/>
      <sheetName val="USER REMARKS"/>
      <sheetName val="DATA COVERAGE"/>
      <sheetName val="GRAPHS"/>
      <sheetName val="MULTILINE GRAPHS"/>
      <sheetName val="CHECKS"/>
      <sheetName val="indicators data"/>
    </sheetNames>
    <sheetDataSet>
      <sheetData sheetId="0" refreshError="1"/>
      <sheetData sheetId="1">
        <row r="133">
          <cell r="D133">
            <v>2011</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printerSettings" Target="../printerSettings/printerSettings2.bin"/><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trlProp" Target="../ctrlProps/ctrlProp12.xml"/><Relationship Id="rId2" Type="http://schemas.openxmlformats.org/officeDocument/2006/relationships/hyperlink" Target="mailto:estat-energy-annual@ec.europa.eu" TargetMode="External"/><Relationship Id="rId16" Type="http://schemas.openxmlformats.org/officeDocument/2006/relationships/ctrlProp" Target="../ctrlProps/ctrlProp1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5" Type="http://schemas.openxmlformats.org/officeDocument/2006/relationships/ctrlProp" Target="../ctrlProps/ctrlProp10.x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 Id="rId14" Type="http://schemas.openxmlformats.org/officeDocument/2006/relationships/ctrlProp" Target="../ctrlProps/ctrlProp9.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 Id="rId5" Type="http://schemas.openxmlformats.org/officeDocument/2006/relationships/ctrlProp" Target="../ctrlProps/ctrlProp13.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ctrlProp" Target="../ctrlProps/ctrlProp14.xml"/><Relationship Id="rId4"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5" Type="http://schemas.openxmlformats.org/officeDocument/2006/relationships/ctrlProp" Target="../ctrlProps/ctrlProp15.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16.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 Id="rId6" Type="http://schemas.openxmlformats.org/officeDocument/2006/relationships/comments" Target="../comments1.xml"/><Relationship Id="rId5" Type="http://schemas.openxmlformats.org/officeDocument/2006/relationships/ctrlProp" Target="../ctrlProps/ctrlProp17.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3.bin"/><Relationship Id="rId1" Type="http://schemas.openxmlformats.org/officeDocument/2006/relationships/printerSettings" Target="../printerSettings/printerSettings12.bin"/><Relationship Id="rId6" Type="http://schemas.openxmlformats.org/officeDocument/2006/relationships/comments" Target="../comments2.xml"/><Relationship Id="rId5" Type="http://schemas.openxmlformats.org/officeDocument/2006/relationships/ctrlProp" Target="../ctrlProps/ctrlProp18.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5.bin"/><Relationship Id="rId1" Type="http://schemas.openxmlformats.org/officeDocument/2006/relationships/printerSettings" Target="../printerSettings/printerSettings14.bin"/><Relationship Id="rId6" Type="http://schemas.openxmlformats.org/officeDocument/2006/relationships/comments" Target="../comments3.xml"/><Relationship Id="rId5" Type="http://schemas.openxmlformats.org/officeDocument/2006/relationships/ctrlProp" Target="../ctrlProps/ctrlProp19.xml"/><Relationship Id="rId4"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7.bin"/><Relationship Id="rId1" Type="http://schemas.openxmlformats.org/officeDocument/2006/relationships/printerSettings" Target="../printerSettings/printerSettings16.bin"/><Relationship Id="rId6" Type="http://schemas.openxmlformats.org/officeDocument/2006/relationships/comments" Target="../comments4.xml"/><Relationship Id="rId5" Type="http://schemas.openxmlformats.org/officeDocument/2006/relationships/ctrlProp" Target="../ctrlProps/ctrlProp20.xml"/><Relationship Id="rId4"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9.bin"/><Relationship Id="rId1" Type="http://schemas.openxmlformats.org/officeDocument/2006/relationships/printerSettings" Target="../printerSettings/printerSettings18.bin"/><Relationship Id="rId5" Type="http://schemas.openxmlformats.org/officeDocument/2006/relationships/ctrlProp" Target="../ctrlProps/ctrlProp21.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21.bin"/><Relationship Id="rId1" Type="http://schemas.openxmlformats.org/officeDocument/2006/relationships/printerSettings" Target="../printerSettings/printerSettings20.bin"/><Relationship Id="rId6" Type="http://schemas.openxmlformats.org/officeDocument/2006/relationships/comments" Target="../comments5.xml"/><Relationship Id="rId5" Type="http://schemas.openxmlformats.org/officeDocument/2006/relationships/ctrlProp" Target="../ctrlProps/ctrlProp22.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 Id="rId5" Type="http://schemas.openxmlformats.org/officeDocument/2006/relationships/ctrlProp" Target="../ctrlProps/ctrlProp23.xml"/><Relationship Id="rId4" Type="http://schemas.openxmlformats.org/officeDocument/2006/relationships/vmlDrawing" Target="../drawings/vmlDrawing12.v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24.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A1:E44"/>
  <sheetViews>
    <sheetView tabSelected="1" zoomScale="90" zoomScaleNormal="90" workbookViewId="0">
      <selection activeCell="D15" sqref="D15"/>
    </sheetView>
  </sheetViews>
  <sheetFormatPr defaultColWidth="9.140625" defaultRowHeight="15" x14ac:dyDescent="0.25"/>
  <cols>
    <col min="1" max="1" width="15.5703125" style="50" customWidth="1"/>
    <col min="2" max="3" width="30.7109375" style="50" customWidth="1"/>
    <col min="4" max="4" width="42.5703125" style="50" customWidth="1"/>
    <col min="5" max="5" width="15.5703125" style="50" customWidth="1"/>
    <col min="6" max="6" width="24.7109375" style="50" customWidth="1"/>
    <col min="7" max="16384" width="9.140625" style="50"/>
  </cols>
  <sheetData>
    <row r="1" spans="1:5" ht="9" customHeight="1" x14ac:dyDescent="0.25"/>
    <row r="2" spans="1:5" ht="9" customHeight="1" x14ac:dyDescent="0.25"/>
    <row r="3" spans="1:5" ht="9" customHeight="1" x14ac:dyDescent="0.25"/>
    <row r="4" spans="1:5" ht="9" customHeight="1" x14ac:dyDescent="0.25"/>
    <row r="8" spans="1:5" ht="9" customHeight="1" x14ac:dyDescent="0.25"/>
    <row r="9" spans="1:5" ht="9" customHeight="1" x14ac:dyDescent="0.25"/>
    <row r="10" spans="1:5" ht="9" customHeight="1" x14ac:dyDescent="0.25"/>
    <row r="11" spans="1:5" ht="45" customHeight="1" x14ac:dyDescent="0.25">
      <c r="A11" s="23"/>
      <c r="B11" s="23"/>
      <c r="C11" s="18" t="s">
        <v>143</v>
      </c>
      <c r="D11" s="23"/>
      <c r="E11" s="23"/>
    </row>
    <row r="12" spans="1:5" x14ac:dyDescent="0.25">
      <c r="A12" s="23"/>
      <c r="B12" s="23"/>
      <c r="C12" s="23"/>
      <c r="D12" s="23"/>
      <c r="E12" s="23"/>
    </row>
    <row r="13" spans="1:5" ht="45" customHeight="1" x14ac:dyDescent="0.25">
      <c r="A13" s="161" t="s">
        <v>144</v>
      </c>
      <c r="B13" s="161"/>
      <c r="C13" s="161"/>
      <c r="D13" s="161"/>
      <c r="E13" s="161"/>
    </row>
    <row r="14" spans="1:5" ht="15" customHeight="1" thickBot="1" x14ac:dyDescent="0.3">
      <c r="A14" s="23"/>
      <c r="B14" s="24"/>
      <c r="C14" s="24"/>
      <c r="D14" s="24"/>
      <c r="E14" s="24"/>
    </row>
    <row r="15" spans="1:5" ht="21" customHeight="1" thickBot="1" x14ac:dyDescent="0.3">
      <c r="A15" s="23"/>
      <c r="B15" s="23"/>
      <c r="C15" s="51" t="s">
        <v>32</v>
      </c>
      <c r="D15" s="56" t="s">
        <v>74</v>
      </c>
      <c r="E15" s="25"/>
    </row>
    <row r="16" spans="1:5" ht="9" customHeight="1" x14ac:dyDescent="0.25">
      <c r="A16" s="23"/>
      <c r="B16" s="24"/>
      <c r="C16" s="24"/>
      <c r="D16" s="24"/>
      <c r="E16" s="24"/>
    </row>
    <row r="17" spans="1:5" ht="21" customHeight="1" x14ac:dyDescent="0.25">
      <c r="A17" s="26" t="s">
        <v>33</v>
      </c>
      <c r="B17" s="24"/>
      <c r="C17" s="23"/>
      <c r="D17" s="24"/>
      <c r="E17" s="24"/>
    </row>
    <row r="18" spans="1:5" ht="15" customHeight="1" thickBot="1" x14ac:dyDescent="0.3">
      <c r="A18" s="23"/>
      <c r="B18" s="24"/>
      <c r="C18" s="26"/>
      <c r="D18" s="24"/>
      <c r="E18" s="24"/>
    </row>
    <row r="19" spans="1:5" ht="21" customHeight="1" thickBot="1" x14ac:dyDescent="0.3">
      <c r="A19" s="23"/>
      <c r="B19" s="27" t="s">
        <v>34</v>
      </c>
      <c r="C19" s="162"/>
      <c r="D19" s="163"/>
      <c r="E19" s="23"/>
    </row>
    <row r="20" spans="1:5" ht="15" customHeight="1" thickBot="1" x14ac:dyDescent="0.3">
      <c r="A20" s="23"/>
      <c r="B20" s="27"/>
      <c r="C20" s="24"/>
      <c r="D20" s="24"/>
      <c r="E20" s="23"/>
    </row>
    <row r="21" spans="1:5" ht="21" customHeight="1" thickBot="1" x14ac:dyDescent="0.3">
      <c r="A21" s="23"/>
      <c r="B21" s="27" t="s">
        <v>35</v>
      </c>
      <c r="C21" s="162"/>
      <c r="D21" s="163"/>
      <c r="E21" s="23"/>
    </row>
    <row r="22" spans="1:5" ht="15" customHeight="1" thickBot="1" x14ac:dyDescent="0.3">
      <c r="A22" s="23"/>
      <c r="B22" s="27"/>
      <c r="C22" s="24"/>
      <c r="D22" s="24"/>
      <c r="E22" s="23"/>
    </row>
    <row r="23" spans="1:5" ht="21" customHeight="1" thickBot="1" x14ac:dyDescent="0.3">
      <c r="A23" s="23"/>
      <c r="B23" s="27" t="s">
        <v>36</v>
      </c>
      <c r="C23" s="162"/>
      <c r="D23" s="163"/>
      <c r="E23" s="23"/>
    </row>
    <row r="24" spans="1:5" ht="21" customHeight="1" x14ac:dyDescent="0.25">
      <c r="A24" s="23"/>
      <c r="B24" s="24"/>
      <c r="C24" s="24"/>
      <c r="D24" s="23"/>
      <c r="E24" s="23"/>
    </row>
    <row r="25" spans="1:5" ht="30" customHeight="1" x14ac:dyDescent="0.25">
      <c r="A25" s="23"/>
      <c r="B25" s="29"/>
      <c r="C25" s="29"/>
      <c r="D25" s="29"/>
      <c r="E25" s="23"/>
    </row>
    <row r="26" spans="1:5" ht="12" customHeight="1" x14ac:dyDescent="0.25">
      <c r="A26" s="23"/>
      <c r="B26" s="29"/>
      <c r="C26" s="29"/>
      <c r="D26" s="29"/>
      <c r="E26" s="23"/>
    </row>
    <row r="27" spans="1:5" ht="12" customHeight="1" x14ac:dyDescent="0.25">
      <c r="A27" s="23"/>
      <c r="B27" s="29"/>
      <c r="C27" s="29"/>
      <c r="D27" s="29"/>
      <c r="E27" s="23"/>
    </row>
    <row r="28" spans="1:5" ht="30" customHeight="1" x14ac:dyDescent="0.25">
      <c r="A28" s="23"/>
      <c r="B28" s="28"/>
      <c r="C28" s="29"/>
      <c r="D28" s="30"/>
      <c r="E28" s="23"/>
    </row>
    <row r="29" spans="1:5" ht="12" customHeight="1" x14ac:dyDescent="0.25">
      <c r="A29" s="23"/>
      <c r="B29" s="29"/>
      <c r="C29" s="29"/>
      <c r="D29" s="29"/>
      <c r="E29" s="23"/>
    </row>
    <row r="30" spans="1:5" ht="12" customHeight="1" x14ac:dyDescent="0.25">
      <c r="A30" s="23"/>
      <c r="B30" s="29"/>
      <c r="C30" s="29"/>
      <c r="D30" s="29"/>
      <c r="E30" s="23"/>
    </row>
    <row r="31" spans="1:5" ht="30" customHeight="1" x14ac:dyDescent="0.25">
      <c r="A31" s="23"/>
      <c r="B31" s="29"/>
      <c r="C31" s="29"/>
      <c r="D31" s="29"/>
      <c r="E31" s="23"/>
    </row>
    <row r="32" spans="1:5" ht="12" customHeight="1" x14ac:dyDescent="0.25">
      <c r="A32" s="23"/>
      <c r="B32" s="29"/>
      <c r="C32" s="29"/>
      <c r="D32" s="29"/>
      <c r="E32" s="23"/>
    </row>
    <row r="33" spans="1:5" ht="12" customHeight="1" x14ac:dyDescent="0.25">
      <c r="A33" s="23"/>
      <c r="B33" s="29"/>
      <c r="C33" s="29"/>
      <c r="D33" s="29"/>
      <c r="E33" s="23"/>
    </row>
    <row r="34" spans="1:5" ht="24" customHeight="1" x14ac:dyDescent="0.25">
      <c r="A34" s="23"/>
      <c r="B34" s="29"/>
      <c r="C34" s="29"/>
      <c r="D34" s="29"/>
      <c r="E34" s="52"/>
    </row>
    <row r="35" spans="1:5" ht="12" customHeight="1" x14ac:dyDescent="0.25">
      <c r="A35" s="23"/>
      <c r="B35" s="29"/>
      <c r="C35" s="29"/>
      <c r="D35" s="29"/>
      <c r="E35" s="23"/>
    </row>
    <row r="36" spans="1:5" ht="21" customHeight="1" x14ac:dyDescent="0.25">
      <c r="A36" s="23"/>
      <c r="B36" s="23"/>
      <c r="C36" s="24"/>
      <c r="D36" s="24"/>
      <c r="E36" s="23"/>
    </row>
    <row r="37" spans="1:5" ht="45" customHeight="1" x14ac:dyDescent="0.25">
      <c r="A37" s="160" t="s">
        <v>142</v>
      </c>
      <c r="B37" s="160"/>
      <c r="C37" s="160"/>
      <c r="D37" s="160"/>
      <c r="E37" s="160"/>
    </row>
    <row r="38" spans="1:5" ht="15" customHeight="1" x14ac:dyDescent="0.25">
      <c r="A38" s="53"/>
      <c r="B38" s="53"/>
      <c r="C38" s="53"/>
      <c r="D38" s="53"/>
      <c r="E38" s="53"/>
    </row>
    <row r="39" spans="1:5" ht="21" customHeight="1" x14ac:dyDescent="0.25">
      <c r="A39" s="160" t="s">
        <v>39</v>
      </c>
      <c r="B39" s="160"/>
      <c r="C39" s="160"/>
      <c r="D39" s="160"/>
      <c r="E39" s="160"/>
    </row>
    <row r="40" spans="1:5" ht="45" customHeight="1" x14ac:dyDescent="0.25">
      <c r="A40" s="160" t="s">
        <v>148</v>
      </c>
      <c r="B40" s="160"/>
      <c r="C40" s="160"/>
      <c r="D40" s="160"/>
      <c r="E40" s="160"/>
    </row>
    <row r="41" spans="1:5" ht="21" customHeight="1" x14ac:dyDescent="0.25">
      <c r="A41" s="53"/>
      <c r="B41" s="51" t="s">
        <v>34</v>
      </c>
      <c r="C41" s="54" t="s">
        <v>40</v>
      </c>
      <c r="D41" s="54"/>
      <c r="E41" s="54"/>
    </row>
    <row r="42" spans="1:5" ht="21" customHeight="1" x14ac:dyDescent="0.25">
      <c r="A42" s="53"/>
      <c r="B42" s="51" t="s">
        <v>37</v>
      </c>
      <c r="C42" s="153" t="s">
        <v>314</v>
      </c>
      <c r="D42" s="54"/>
      <c r="E42" s="54"/>
    </row>
    <row r="43" spans="1:5" ht="21" customHeight="1" x14ac:dyDescent="0.25">
      <c r="A43" s="53"/>
      <c r="B43" s="51" t="s">
        <v>38</v>
      </c>
      <c r="C43" s="55" t="s">
        <v>41</v>
      </c>
      <c r="D43" s="54"/>
      <c r="E43" s="54"/>
    </row>
    <row r="44" spans="1:5" ht="21" customHeight="1" x14ac:dyDescent="0.25"/>
  </sheetData>
  <protectedRanges>
    <protectedRange sqref="D15 C23 C19 C21" name="Country_selection"/>
  </protectedRanges>
  <customSheetViews>
    <customSheetView guid="{B79E7212-8DD5-488D-8E68-A79B69F231E2}" scale="90" fitToPage="1" topLeftCell="A13">
      <selection activeCell="C24" sqref="C24:D24"/>
      <pageMargins left="0.70866141732283472" right="0.70866141732283472" top="0.74803149606299213" bottom="0.74803149606299213" header="0.31496062992125984" footer="0.31496062992125984"/>
      <printOptions horizontalCentered="1" verticalCentered="1"/>
      <pageSetup paperSize="9" scale="71" orientation="portrait" r:id="rId1"/>
    </customSheetView>
  </customSheetViews>
  <mergeCells count="7">
    <mergeCell ref="A40:E40"/>
    <mergeCell ref="A13:E13"/>
    <mergeCell ref="C19:D19"/>
    <mergeCell ref="C21:D21"/>
    <mergeCell ref="C23:D23"/>
    <mergeCell ref="A37:E37"/>
    <mergeCell ref="A39:E39"/>
  </mergeCells>
  <dataValidations count="1">
    <dataValidation type="list" allowBlank="1" showInputMessage="1" showErrorMessage="1" sqref="D15">
      <formula1>Submission_country</formula1>
    </dataValidation>
  </dataValidations>
  <hyperlinks>
    <hyperlink ref="C42" r:id="rId2"/>
  </hyperlinks>
  <printOptions horizontalCentered="1" verticalCentered="1"/>
  <pageMargins left="0.70866141732283472" right="0.70866141732283472" top="0.74803149606299213" bottom="0.74803149606299213" header="0.31496062992125984" footer="0.31496062992125984"/>
  <pageSetup paperSize="9" scale="65"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3172" r:id="rId6" name="START">
              <controlPr defaultSize="0" print="0" autoFill="0" autoPict="0" macro="[0]!GoToTable1_Totals">
                <anchor moveWithCells="1" sizeWithCells="1">
                  <from>
                    <xdr:col>1</xdr:col>
                    <xdr:colOff>133350</xdr:colOff>
                    <xdr:row>26</xdr:row>
                    <xdr:rowOff>142875</xdr:rowOff>
                  </from>
                  <to>
                    <xdr:col>1</xdr:col>
                    <xdr:colOff>1924050</xdr:colOff>
                    <xdr:row>28</xdr:row>
                    <xdr:rowOff>133350</xdr:rowOff>
                  </to>
                </anchor>
              </controlPr>
            </control>
          </mc:Choice>
        </mc:AlternateContent>
        <mc:AlternateContent xmlns:mc="http://schemas.openxmlformats.org/markup-compatibility/2006">
          <mc:Choice Requires="x14">
            <control shapeId="3174" r:id="rId7" name="Button 102">
              <controlPr defaultSize="0" print="0" autoFill="0" autoPict="0" macro="[0]!GoToCalorific_Values">
                <anchor moveWithCells="1" sizeWithCells="1">
                  <from>
                    <xdr:col>1</xdr:col>
                    <xdr:colOff>133350</xdr:colOff>
                    <xdr:row>29</xdr:row>
                    <xdr:rowOff>123825</xdr:rowOff>
                  </from>
                  <to>
                    <xdr:col>1</xdr:col>
                    <xdr:colOff>1924050</xdr:colOff>
                    <xdr:row>31</xdr:row>
                    <xdr:rowOff>114300</xdr:rowOff>
                  </to>
                </anchor>
              </controlPr>
            </control>
          </mc:Choice>
        </mc:AlternateContent>
        <mc:AlternateContent xmlns:mc="http://schemas.openxmlformats.org/markup-compatibility/2006">
          <mc:Choice Requires="x14">
            <control shapeId="3176" r:id="rId8" name="Button 104">
              <controlPr defaultSize="0" print="0" autoFill="0" autoPict="0" macro="[0]!GoTo1e_LightingAndAppliances">
                <anchor moveWithCells="1" sizeWithCells="1">
                  <from>
                    <xdr:col>3</xdr:col>
                    <xdr:colOff>152400</xdr:colOff>
                    <xdr:row>26</xdr:row>
                    <xdr:rowOff>142875</xdr:rowOff>
                  </from>
                  <to>
                    <xdr:col>3</xdr:col>
                    <xdr:colOff>1943100</xdr:colOff>
                    <xdr:row>28</xdr:row>
                    <xdr:rowOff>114300</xdr:rowOff>
                  </to>
                </anchor>
              </controlPr>
            </control>
          </mc:Choice>
        </mc:AlternateContent>
        <mc:AlternateContent xmlns:mc="http://schemas.openxmlformats.org/markup-compatibility/2006">
          <mc:Choice Requires="x14">
            <control shapeId="3177" r:id="rId9" name="Button 105">
              <controlPr defaultSize="0" print="0" autoFill="0" autoPict="0" macro="[0]!GoTo1a_SpaceHeating">
                <anchor moveWithCells="1" sizeWithCells="1">
                  <from>
                    <xdr:col>2</xdr:col>
                    <xdr:colOff>133350</xdr:colOff>
                    <xdr:row>24</xdr:row>
                    <xdr:rowOff>9525</xdr:rowOff>
                  </from>
                  <to>
                    <xdr:col>2</xdr:col>
                    <xdr:colOff>1933575</xdr:colOff>
                    <xdr:row>25</xdr:row>
                    <xdr:rowOff>133350</xdr:rowOff>
                  </to>
                </anchor>
              </controlPr>
            </control>
          </mc:Choice>
        </mc:AlternateContent>
        <mc:AlternateContent xmlns:mc="http://schemas.openxmlformats.org/markup-compatibility/2006">
          <mc:Choice Requires="x14">
            <control shapeId="3179" r:id="rId10" name="Button 107">
              <controlPr defaultSize="0" print="0" autoFill="0" autoPict="0" macro="[0]!GoTo1f_OtherEndUses">
                <anchor moveWithCells="1">
                  <from>
                    <xdr:col>3</xdr:col>
                    <xdr:colOff>171450</xdr:colOff>
                    <xdr:row>29</xdr:row>
                    <xdr:rowOff>123825</xdr:rowOff>
                  </from>
                  <to>
                    <xdr:col>3</xdr:col>
                    <xdr:colOff>1943100</xdr:colOff>
                    <xdr:row>31</xdr:row>
                    <xdr:rowOff>95250</xdr:rowOff>
                  </to>
                </anchor>
              </controlPr>
            </control>
          </mc:Choice>
        </mc:AlternateContent>
        <mc:AlternateContent xmlns:mc="http://schemas.openxmlformats.org/markup-compatibility/2006">
          <mc:Choice Requires="x14">
            <control shapeId="3180" r:id="rId11" name="Button 108">
              <controlPr defaultSize="0" print="0" autoFill="0" autoPict="0" macro="[0]!GoToRemarks">
                <anchor moveWithCells="1" sizeWithCells="1">
                  <from>
                    <xdr:col>2</xdr:col>
                    <xdr:colOff>133350</xdr:colOff>
                    <xdr:row>32</xdr:row>
                    <xdr:rowOff>123825</xdr:rowOff>
                  </from>
                  <to>
                    <xdr:col>2</xdr:col>
                    <xdr:colOff>1933575</xdr:colOff>
                    <xdr:row>34</xdr:row>
                    <xdr:rowOff>104775</xdr:rowOff>
                  </to>
                </anchor>
              </controlPr>
            </control>
          </mc:Choice>
        </mc:AlternateContent>
        <mc:AlternateContent xmlns:mc="http://schemas.openxmlformats.org/markup-compatibility/2006">
          <mc:Choice Requires="x14">
            <control shapeId="3181" r:id="rId12" name="Button 109">
              <controlPr defaultSize="0" print="0" autoFill="0" autoPict="0" macro="[0]!GoToDefinitions">
                <anchor moveWithCells="1" sizeWithCells="1">
                  <from>
                    <xdr:col>1</xdr:col>
                    <xdr:colOff>133350</xdr:colOff>
                    <xdr:row>24</xdr:row>
                    <xdr:rowOff>9525</xdr:rowOff>
                  </from>
                  <to>
                    <xdr:col>1</xdr:col>
                    <xdr:colOff>1924050</xdr:colOff>
                    <xdr:row>25</xdr:row>
                    <xdr:rowOff>133350</xdr:rowOff>
                  </to>
                </anchor>
              </controlPr>
            </control>
          </mc:Choice>
        </mc:AlternateContent>
        <mc:AlternateContent xmlns:mc="http://schemas.openxmlformats.org/markup-compatibility/2006">
          <mc:Choice Requires="x14">
            <control shapeId="3182" r:id="rId13" name="Button 110">
              <controlPr defaultSize="0" print="0" autoFill="0" autoPict="0" macro="[0]!GoTo1d_Cooking">
                <anchor moveWithCells="1" sizeWithCells="1">
                  <from>
                    <xdr:col>3</xdr:col>
                    <xdr:colOff>152400</xdr:colOff>
                    <xdr:row>24</xdr:row>
                    <xdr:rowOff>9525</xdr:rowOff>
                  </from>
                  <to>
                    <xdr:col>3</xdr:col>
                    <xdr:colOff>1943100</xdr:colOff>
                    <xdr:row>25</xdr:row>
                    <xdr:rowOff>133350</xdr:rowOff>
                  </to>
                </anchor>
              </controlPr>
            </control>
          </mc:Choice>
        </mc:AlternateContent>
        <mc:AlternateContent xmlns:mc="http://schemas.openxmlformats.org/markup-compatibility/2006">
          <mc:Choice Requires="x14">
            <control shapeId="3184" r:id="rId14" name="Button 112">
              <controlPr defaultSize="0" print="0" autoFill="0" autoPict="0" macro="[0]!GoTo1b_SpaceCooling">
                <anchor moveWithCells="1" sizeWithCells="1">
                  <from>
                    <xdr:col>2</xdr:col>
                    <xdr:colOff>133350</xdr:colOff>
                    <xdr:row>26</xdr:row>
                    <xdr:rowOff>142875</xdr:rowOff>
                  </from>
                  <to>
                    <xdr:col>2</xdr:col>
                    <xdr:colOff>1924050</xdr:colOff>
                    <xdr:row>28</xdr:row>
                    <xdr:rowOff>133350</xdr:rowOff>
                  </to>
                </anchor>
              </controlPr>
            </control>
          </mc:Choice>
        </mc:AlternateContent>
        <mc:AlternateContent xmlns:mc="http://schemas.openxmlformats.org/markup-compatibility/2006">
          <mc:Choice Requires="x14">
            <control shapeId="3185" r:id="rId15" name="Button 113">
              <controlPr defaultSize="0" print="0" autoFill="0" autoPict="0" macro="[0]!GoTo1c_WaterHeating">
                <anchor moveWithCells="1" sizeWithCells="1">
                  <from>
                    <xdr:col>2</xdr:col>
                    <xdr:colOff>133350</xdr:colOff>
                    <xdr:row>29</xdr:row>
                    <xdr:rowOff>123825</xdr:rowOff>
                  </from>
                  <to>
                    <xdr:col>2</xdr:col>
                    <xdr:colOff>1924050</xdr:colOff>
                    <xdr:row>31</xdr:row>
                    <xdr:rowOff>95250</xdr:rowOff>
                  </to>
                </anchor>
              </controlPr>
            </control>
          </mc:Choice>
        </mc:AlternateContent>
        <mc:AlternateContent xmlns:mc="http://schemas.openxmlformats.org/markup-compatibility/2006">
          <mc:Choice Requires="x14">
            <control shapeId="3192" r:id="rId16" name="START">
              <controlPr defaultSize="0" print="0" autoFill="0" autoPict="0" macro="[0]!GoToTable2_Energy_Totals">
                <anchor moveWithCells="1" sizeWithCells="1">
                  <from>
                    <xdr:col>1</xdr:col>
                    <xdr:colOff>133350</xdr:colOff>
                    <xdr:row>32</xdr:row>
                    <xdr:rowOff>66675</xdr:rowOff>
                  </from>
                  <to>
                    <xdr:col>1</xdr:col>
                    <xdr:colOff>1924050</xdr:colOff>
                    <xdr:row>34</xdr:row>
                    <xdr:rowOff>133350</xdr:rowOff>
                  </to>
                </anchor>
              </controlPr>
            </control>
          </mc:Choice>
        </mc:AlternateContent>
        <mc:AlternateContent xmlns:mc="http://schemas.openxmlformats.org/markup-compatibility/2006">
          <mc:Choice Requires="x14">
            <control shapeId="3197" r:id="rId17" name="Button 125">
              <controlPr defaultSize="0" print="0" autoFill="0" autoPict="0" macro="[0]!GoToValidation">
                <anchor moveWithCells="1" sizeWithCells="1">
                  <from>
                    <xdr:col>3</xdr:col>
                    <xdr:colOff>161925</xdr:colOff>
                    <xdr:row>32</xdr:row>
                    <xdr:rowOff>114300</xdr:rowOff>
                  </from>
                  <to>
                    <xdr:col>3</xdr:col>
                    <xdr:colOff>1962150</xdr:colOff>
                    <xdr:row>34</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C82"/>
  <sheetViews>
    <sheetView zoomScale="90" zoomScaleNormal="90" workbookViewId="0"/>
  </sheetViews>
  <sheetFormatPr defaultColWidth="9.140625" defaultRowHeight="15" x14ac:dyDescent="0.25"/>
  <cols>
    <col min="1" max="1" width="3.7109375" style="19" customWidth="1"/>
    <col min="2" max="2" width="48.7109375" style="19" customWidth="1"/>
    <col min="3" max="3" width="148.7109375" style="19" customWidth="1"/>
    <col min="4" max="4" width="3.7109375" style="19" customWidth="1"/>
    <col min="5" max="16384" width="9.140625" style="19"/>
  </cols>
  <sheetData>
    <row r="1" spans="2:3" ht="9" customHeight="1" x14ac:dyDescent="0.25"/>
    <row r="2" spans="2:3" ht="39" customHeight="1" x14ac:dyDescent="0.25">
      <c r="B2" s="164" t="s">
        <v>145</v>
      </c>
      <c r="C2" s="165"/>
    </row>
    <row r="3" spans="2:3" ht="9.75" customHeight="1" x14ac:dyDescent="0.25">
      <c r="B3" s="61"/>
      <c r="C3" s="62"/>
    </row>
    <row r="4" spans="2:3" ht="36" customHeight="1" x14ac:dyDescent="0.25">
      <c r="B4" s="166" t="s">
        <v>82</v>
      </c>
      <c r="C4" s="63" t="s">
        <v>83</v>
      </c>
    </row>
    <row r="5" spans="2:3" ht="36" customHeight="1" x14ac:dyDescent="0.25">
      <c r="B5" s="167"/>
      <c r="C5" s="64" t="s">
        <v>134</v>
      </c>
    </row>
    <row r="6" spans="2:3" ht="36" customHeight="1" x14ac:dyDescent="0.25">
      <c r="B6" s="167"/>
      <c r="C6" s="64" t="s">
        <v>146</v>
      </c>
    </row>
    <row r="7" spans="2:3" ht="45" customHeight="1" x14ac:dyDescent="0.25">
      <c r="B7" s="168"/>
      <c r="C7" s="65" t="s">
        <v>84</v>
      </c>
    </row>
    <row r="8" spans="2:3" ht="9.75" customHeight="1" x14ac:dyDescent="0.25">
      <c r="B8" s="66"/>
      <c r="C8" s="67"/>
    </row>
    <row r="9" spans="2:3" ht="30" customHeight="1" x14ac:dyDescent="0.25">
      <c r="B9" s="68" t="s">
        <v>112</v>
      </c>
      <c r="C9" s="69"/>
    </row>
    <row r="10" spans="2:3" ht="9" customHeight="1" x14ac:dyDescent="0.25">
      <c r="B10" s="70"/>
      <c r="C10" s="64"/>
    </row>
    <row r="11" spans="2:3" ht="30" customHeight="1" x14ac:dyDescent="0.25">
      <c r="B11" s="71" t="s">
        <v>13</v>
      </c>
      <c r="C11" s="64" t="s">
        <v>147</v>
      </c>
    </row>
    <row r="12" spans="2:3" ht="15" customHeight="1" x14ac:dyDescent="0.25">
      <c r="B12" s="70"/>
      <c r="C12" s="64"/>
    </row>
    <row r="13" spans="2:3" ht="60" customHeight="1" x14ac:dyDescent="0.25">
      <c r="B13" s="71" t="s">
        <v>15</v>
      </c>
      <c r="C13" s="64" t="s">
        <v>136</v>
      </c>
    </row>
    <row r="14" spans="2:3" ht="15" customHeight="1" x14ac:dyDescent="0.25">
      <c r="B14" s="70"/>
      <c r="C14" s="64"/>
    </row>
    <row r="15" spans="2:3" ht="45" customHeight="1" x14ac:dyDescent="0.25">
      <c r="B15" s="169" t="s">
        <v>29</v>
      </c>
      <c r="C15" s="64" t="s">
        <v>312</v>
      </c>
    </row>
    <row r="16" spans="2:3" ht="63" customHeight="1" x14ac:dyDescent="0.25">
      <c r="B16" s="170"/>
      <c r="C16" s="64" t="s">
        <v>310</v>
      </c>
    </row>
    <row r="17" spans="2:3" ht="30" hidden="1" customHeight="1" x14ac:dyDescent="0.25">
      <c r="B17" s="70"/>
      <c r="C17" s="64" t="s">
        <v>120</v>
      </c>
    </row>
    <row r="18" spans="2:3" ht="63" hidden="1" customHeight="1" x14ac:dyDescent="0.25">
      <c r="B18" s="70"/>
      <c r="C18" s="64" t="s">
        <v>121</v>
      </c>
    </row>
    <row r="19" spans="2:3" ht="135" hidden="1" customHeight="1" x14ac:dyDescent="0.25">
      <c r="B19" s="70"/>
      <c r="C19" s="64" t="s">
        <v>122</v>
      </c>
    </row>
    <row r="20" spans="2:3" ht="60" hidden="1" customHeight="1" x14ac:dyDescent="0.25">
      <c r="B20" s="70"/>
      <c r="C20" s="64" t="s">
        <v>123</v>
      </c>
    </row>
    <row r="21" spans="2:3" ht="15" customHeight="1" x14ac:dyDescent="0.25">
      <c r="B21" s="70"/>
      <c r="C21" s="64"/>
    </row>
    <row r="22" spans="2:3" ht="30" customHeight="1" x14ac:dyDescent="0.25">
      <c r="B22" s="71" t="s">
        <v>156</v>
      </c>
      <c r="C22" s="64" t="s">
        <v>309</v>
      </c>
    </row>
    <row r="23" spans="2:3" ht="15" customHeight="1" x14ac:dyDescent="0.25">
      <c r="B23" s="70"/>
      <c r="C23" s="64"/>
    </row>
    <row r="24" spans="2:3" ht="75" customHeight="1" x14ac:dyDescent="0.25">
      <c r="B24" s="71" t="s">
        <v>110</v>
      </c>
      <c r="C24" s="64" t="s">
        <v>313</v>
      </c>
    </row>
    <row r="25" spans="2:3" ht="9" customHeight="1" x14ac:dyDescent="0.25">
      <c r="B25" s="72"/>
      <c r="C25" s="64"/>
    </row>
    <row r="26" spans="2:3" ht="15" customHeight="1" x14ac:dyDescent="0.25">
      <c r="B26" s="73" t="s">
        <v>124</v>
      </c>
      <c r="C26" s="64"/>
    </row>
    <row r="27" spans="2:3" ht="60" customHeight="1" x14ac:dyDescent="0.25">
      <c r="B27" s="70" t="s">
        <v>113</v>
      </c>
      <c r="C27" s="64" t="s">
        <v>308</v>
      </c>
    </row>
    <row r="28" spans="2:3" ht="9" customHeight="1" x14ac:dyDescent="0.25">
      <c r="B28" s="70"/>
      <c r="C28" s="64"/>
    </row>
    <row r="29" spans="2:3" ht="30" customHeight="1" x14ac:dyDescent="0.25">
      <c r="B29" s="70" t="s">
        <v>114</v>
      </c>
      <c r="C29" s="64" t="s">
        <v>137</v>
      </c>
    </row>
    <row r="30" spans="2:3" ht="9" customHeight="1" x14ac:dyDescent="0.25">
      <c r="B30" s="70"/>
      <c r="C30" s="64"/>
    </row>
    <row r="31" spans="2:3" ht="105" customHeight="1" x14ac:dyDescent="0.25">
      <c r="B31" s="171" t="s">
        <v>115</v>
      </c>
      <c r="C31" s="64" t="s">
        <v>311</v>
      </c>
    </row>
    <row r="32" spans="2:3" ht="105" customHeight="1" x14ac:dyDescent="0.25">
      <c r="B32" s="172"/>
      <c r="C32" s="64" t="s">
        <v>119</v>
      </c>
    </row>
    <row r="33" spans="1:3" ht="15" customHeight="1" x14ac:dyDescent="0.25">
      <c r="B33" s="70"/>
      <c r="C33" s="64"/>
    </row>
    <row r="34" spans="1:3" ht="30" customHeight="1" x14ac:dyDescent="0.25">
      <c r="B34" s="73" t="s">
        <v>129</v>
      </c>
      <c r="C34" s="64" t="s">
        <v>130</v>
      </c>
    </row>
    <row r="35" spans="1:3" ht="15" customHeight="1" x14ac:dyDescent="0.25">
      <c r="B35" s="70"/>
      <c r="C35" s="64"/>
    </row>
    <row r="36" spans="1:3" ht="18" customHeight="1" x14ac:dyDescent="0.25">
      <c r="B36" s="71" t="s">
        <v>111</v>
      </c>
      <c r="C36" s="64" t="s">
        <v>125</v>
      </c>
    </row>
    <row r="37" spans="1:3" ht="9" customHeight="1" x14ac:dyDescent="0.25">
      <c r="B37" s="72"/>
      <c r="C37" s="64"/>
    </row>
    <row r="38" spans="1:3" ht="15" customHeight="1" x14ac:dyDescent="0.25">
      <c r="B38" s="73" t="s">
        <v>124</v>
      </c>
      <c r="C38" s="64"/>
    </row>
    <row r="39" spans="1:3" ht="30" customHeight="1" x14ac:dyDescent="0.25">
      <c r="B39" s="70" t="s">
        <v>116</v>
      </c>
      <c r="C39" s="64" t="s">
        <v>126</v>
      </c>
    </row>
    <row r="40" spans="1:3" ht="9" customHeight="1" x14ac:dyDescent="0.25">
      <c r="B40" s="70"/>
      <c r="C40" s="64"/>
    </row>
    <row r="41" spans="1:3" ht="30" customHeight="1" x14ac:dyDescent="0.25">
      <c r="B41" s="171" t="s">
        <v>117</v>
      </c>
      <c r="C41" s="64" t="s">
        <v>127</v>
      </c>
    </row>
    <row r="42" spans="1:3" ht="59.25" customHeight="1" x14ac:dyDescent="0.25">
      <c r="B42" s="172"/>
      <c r="C42" s="64" t="s">
        <v>172</v>
      </c>
    </row>
    <row r="43" spans="1:3" ht="9" customHeight="1" x14ac:dyDescent="0.25">
      <c r="A43" s="44"/>
      <c r="B43" s="70"/>
      <c r="C43" s="64"/>
    </row>
    <row r="44" spans="1:3" ht="90" customHeight="1" x14ac:dyDescent="0.25">
      <c r="B44" s="70" t="s">
        <v>118</v>
      </c>
      <c r="C44" s="64" t="s">
        <v>128</v>
      </c>
    </row>
    <row r="45" spans="1:3" ht="14.25" customHeight="1" x14ac:dyDescent="0.25">
      <c r="B45" s="128"/>
      <c r="C45" s="64"/>
    </row>
    <row r="46" spans="1:3" ht="42" customHeight="1" x14ac:dyDescent="0.25">
      <c r="B46" s="128" t="s">
        <v>184</v>
      </c>
      <c r="C46" s="64" t="s">
        <v>186</v>
      </c>
    </row>
    <row r="47" spans="1:3" ht="15" customHeight="1" x14ac:dyDescent="0.25">
      <c r="B47" s="70"/>
      <c r="C47" s="64"/>
    </row>
    <row r="48" spans="1:3" ht="30" customHeight="1" x14ac:dyDescent="0.25">
      <c r="B48" s="73" t="s">
        <v>129</v>
      </c>
      <c r="C48" s="64" t="s">
        <v>131</v>
      </c>
    </row>
    <row r="49" spans="2:3" ht="18" customHeight="1" x14ac:dyDescent="0.25">
      <c r="B49" s="74"/>
      <c r="C49" s="65"/>
    </row>
    <row r="50" spans="2:3" ht="9" customHeight="1" x14ac:dyDescent="0.25">
      <c r="B50" s="75"/>
      <c r="C50" s="75"/>
    </row>
    <row r="51" spans="2:3" ht="36" customHeight="1" x14ac:dyDescent="0.25">
      <c r="B51" s="76" t="s">
        <v>85</v>
      </c>
      <c r="C51" s="69"/>
    </row>
    <row r="52" spans="2:3" ht="24" customHeight="1" x14ac:dyDescent="0.25">
      <c r="B52" s="77" t="s">
        <v>86</v>
      </c>
      <c r="C52" s="64"/>
    </row>
    <row r="53" spans="2:3" ht="12" customHeight="1" x14ac:dyDescent="0.25">
      <c r="B53" s="78"/>
      <c r="C53" s="64"/>
    </row>
    <row r="54" spans="2:3" x14ac:dyDescent="0.25">
      <c r="B54" s="72" t="s">
        <v>93</v>
      </c>
      <c r="C54" s="64" t="s">
        <v>87</v>
      </c>
    </row>
    <row r="55" spans="2:3" ht="12" customHeight="1" x14ac:dyDescent="0.25">
      <c r="B55" s="78"/>
      <c r="C55" s="64"/>
    </row>
    <row r="56" spans="2:3" x14ac:dyDescent="0.25">
      <c r="B56" s="72" t="s">
        <v>94</v>
      </c>
      <c r="C56" s="64" t="s">
        <v>180</v>
      </c>
    </row>
    <row r="57" spans="2:3" ht="30" x14ac:dyDescent="0.25">
      <c r="B57" s="78"/>
      <c r="C57" s="64" t="s">
        <v>88</v>
      </c>
    </row>
    <row r="58" spans="2:3" ht="12" customHeight="1" x14ac:dyDescent="0.25">
      <c r="B58" s="78"/>
      <c r="C58" s="64"/>
    </row>
    <row r="59" spans="2:3" x14ac:dyDescent="0.25">
      <c r="B59" s="72" t="s">
        <v>95</v>
      </c>
      <c r="C59" s="64" t="s">
        <v>181</v>
      </c>
    </row>
    <row r="60" spans="2:3" x14ac:dyDescent="0.25">
      <c r="B60" s="78"/>
      <c r="C60" s="64" t="s">
        <v>89</v>
      </c>
    </row>
    <row r="61" spans="2:3" ht="12" customHeight="1" x14ac:dyDescent="0.25">
      <c r="B61" s="78"/>
      <c r="C61" s="64"/>
    </row>
    <row r="62" spans="2:3" x14ac:dyDescent="0.25">
      <c r="B62" s="72" t="s">
        <v>96</v>
      </c>
      <c r="C62" s="64" t="s">
        <v>182</v>
      </c>
    </row>
    <row r="63" spans="2:3" ht="18" customHeight="1" x14ac:dyDescent="0.25">
      <c r="B63" s="78"/>
      <c r="C63" s="64" t="s">
        <v>90</v>
      </c>
    </row>
    <row r="64" spans="2:3" ht="12" customHeight="1" x14ac:dyDescent="0.25">
      <c r="B64" s="78"/>
      <c r="C64" s="64"/>
    </row>
    <row r="65" spans="2:3" x14ac:dyDescent="0.25">
      <c r="B65" s="72" t="s">
        <v>97</v>
      </c>
      <c r="C65" s="64" t="s">
        <v>99</v>
      </c>
    </row>
    <row r="66" spans="2:3" ht="12" customHeight="1" x14ac:dyDescent="0.25">
      <c r="B66" s="78"/>
      <c r="C66" s="64"/>
    </row>
    <row r="67" spans="2:3" ht="30" x14ac:dyDescent="0.25">
      <c r="B67" s="72" t="s">
        <v>98</v>
      </c>
      <c r="C67" s="64" t="s">
        <v>91</v>
      </c>
    </row>
    <row r="68" spans="2:3" ht="12" customHeight="1" x14ac:dyDescent="0.25">
      <c r="B68" s="78"/>
      <c r="C68" s="64"/>
    </row>
    <row r="69" spans="2:3" ht="12" customHeight="1" x14ac:dyDescent="0.25">
      <c r="B69" s="78"/>
      <c r="C69" s="64"/>
    </row>
    <row r="70" spans="2:3" ht="45" x14ac:dyDescent="0.25">
      <c r="B70" s="79" t="s">
        <v>5</v>
      </c>
      <c r="C70" s="65" t="s">
        <v>92</v>
      </c>
    </row>
    <row r="71" spans="2:3" ht="9" customHeight="1" x14ac:dyDescent="0.25">
      <c r="B71" s="75"/>
      <c r="C71" s="75"/>
    </row>
    <row r="72" spans="2:3" ht="45" x14ac:dyDescent="0.25">
      <c r="B72" s="88" t="s">
        <v>135</v>
      </c>
      <c r="C72" s="80" t="s">
        <v>183</v>
      </c>
    </row>
    <row r="73" spans="2:3" ht="9" customHeight="1" x14ac:dyDescent="0.25">
      <c r="B73" s="75"/>
      <c r="C73" s="75"/>
    </row>
    <row r="74" spans="2:3" ht="24" customHeight="1" x14ac:dyDescent="0.25">
      <c r="B74" s="81" t="s">
        <v>100</v>
      </c>
      <c r="C74" s="82"/>
    </row>
    <row r="75" spans="2:3" ht="12" customHeight="1" x14ac:dyDescent="0.25">
      <c r="B75" s="83"/>
      <c r="C75" s="84"/>
    </row>
    <row r="76" spans="2:3" x14ac:dyDescent="0.25">
      <c r="B76" s="85" t="s">
        <v>102</v>
      </c>
      <c r="C76" s="84" t="s">
        <v>101</v>
      </c>
    </row>
    <row r="77" spans="2:3" x14ac:dyDescent="0.25">
      <c r="B77" s="85" t="s">
        <v>103</v>
      </c>
      <c r="C77" s="84" t="s">
        <v>109</v>
      </c>
    </row>
    <row r="78" spans="2:3" x14ac:dyDescent="0.25">
      <c r="B78" s="85" t="s">
        <v>132</v>
      </c>
      <c r="C78" s="84" t="s">
        <v>133</v>
      </c>
    </row>
    <row r="79" spans="2:3" x14ac:dyDescent="0.25">
      <c r="B79" s="85" t="s">
        <v>16</v>
      </c>
      <c r="C79" s="84" t="s">
        <v>106</v>
      </c>
    </row>
    <row r="80" spans="2:3" x14ac:dyDescent="0.25">
      <c r="B80" s="85" t="s">
        <v>107</v>
      </c>
      <c r="C80" s="84" t="s">
        <v>104</v>
      </c>
    </row>
    <row r="81" spans="2:3" x14ac:dyDescent="0.25">
      <c r="B81" s="86" t="s">
        <v>108</v>
      </c>
      <c r="C81" s="87" t="s">
        <v>105</v>
      </c>
    </row>
    <row r="82" spans="2:3" ht="24" customHeight="1" x14ac:dyDescent="0.25"/>
  </sheetData>
  <customSheetViews>
    <customSheetView guid="{B79E7212-8DD5-488D-8E68-A79B69F231E2}" scale="90" fitToPage="1" hiddenRows="1" topLeftCell="A48">
      <selection activeCell="C70" sqref="C70"/>
      <pageMargins left="0.25" right="0.25" top="0.75" bottom="0.75" header="0.3" footer="0.3"/>
      <printOptions horizontalCentered="1" verticalCentered="1"/>
      <pageSetup paperSize="9" scale="41" orientation="portrait" r:id="rId1"/>
    </customSheetView>
  </customSheetViews>
  <mergeCells count="5">
    <mergeCell ref="B2:C2"/>
    <mergeCell ref="B4:B7"/>
    <mergeCell ref="B15:B16"/>
    <mergeCell ref="B31:B32"/>
    <mergeCell ref="B41:B42"/>
  </mergeCells>
  <printOptions horizontalCentered="1" verticalCentered="1"/>
  <pageMargins left="0.25" right="0.25" top="0.75" bottom="0.75" header="0.3" footer="0.3"/>
  <pageSetup paperSize="9" scale="41"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GoToCover">
                <anchor moveWithCells="1" sizeWithCells="1">
                  <from>
                    <xdr:col>2</xdr:col>
                    <xdr:colOff>8258175</xdr:colOff>
                    <xdr:row>1</xdr:row>
                    <xdr:rowOff>9525</xdr:rowOff>
                  </from>
                  <to>
                    <xdr:col>2</xdr:col>
                    <xdr:colOff>9906000</xdr:colOff>
                    <xdr:row>1</xdr:row>
                    <xdr:rowOff>485775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ED19"/>
  <sheetViews>
    <sheetView showGridLines="0" zoomScale="90" zoomScaleNormal="90" workbookViewId="0">
      <pane xSplit="3" topLeftCell="J1" activePane="topRight" state="frozen"/>
      <selection activeCell="DS1" sqref="DS1:ED1048576"/>
      <selection pane="topRight" activeCell="M11" sqref="M11"/>
    </sheetView>
  </sheetViews>
  <sheetFormatPr defaultColWidth="9.140625" defaultRowHeight="12" x14ac:dyDescent="0.2"/>
  <cols>
    <col min="1" max="1" width="9.140625" style="4"/>
    <col min="2" max="2" width="54.7109375" style="4" customWidth="1"/>
    <col min="3" max="3" width="10.7109375" style="4" customWidth="1"/>
    <col min="4" max="4" width="15.7109375" style="13" customWidth="1"/>
    <col min="5" max="15" width="15.7109375" style="4" customWidth="1"/>
    <col min="16" max="122" width="9.140625" style="4"/>
    <col min="123" max="134" width="0" style="4" hidden="1" customWidth="1"/>
    <col min="135" max="16384" width="9.140625" style="4"/>
  </cols>
  <sheetData>
    <row r="1" spans="1:134" ht="24" customHeight="1" x14ac:dyDescent="0.2">
      <c r="A1" s="178" t="s">
        <v>0</v>
      </c>
      <c r="B1" s="179"/>
      <c r="C1" s="20"/>
      <c r="D1" s="1"/>
      <c r="E1" s="2"/>
      <c r="F1" s="2"/>
      <c r="G1" s="2"/>
      <c r="H1" s="2"/>
      <c r="I1" s="2"/>
      <c r="J1" s="2"/>
      <c r="K1" s="2"/>
      <c r="L1" s="2"/>
      <c r="M1" s="2"/>
      <c r="N1" s="2"/>
      <c r="O1" s="2"/>
    </row>
    <row r="2" spans="1:134" ht="18" customHeight="1" x14ac:dyDescent="0.25">
      <c r="A2" s="180"/>
      <c r="B2" s="181"/>
      <c r="C2" s="1"/>
      <c r="D2" s="1"/>
      <c r="E2" s="5"/>
      <c r="F2" s="3"/>
      <c r="G2" s="3"/>
      <c r="H2" s="3"/>
      <c r="I2" s="3"/>
      <c r="J2" s="3"/>
      <c r="K2" s="3"/>
      <c r="L2" s="3"/>
      <c r="M2" s="3"/>
      <c r="N2" s="3"/>
      <c r="O2" s="3"/>
    </row>
    <row r="3" spans="1:134" ht="18" customHeight="1" x14ac:dyDescent="0.3">
      <c r="A3" s="182" t="s">
        <v>12</v>
      </c>
      <c r="B3" s="183"/>
      <c r="C3" s="1"/>
      <c r="D3" s="1"/>
      <c r="E3" s="5"/>
      <c r="F3" s="3"/>
      <c r="G3" s="3"/>
      <c r="H3" s="3"/>
      <c r="I3" s="3"/>
      <c r="J3" s="3"/>
      <c r="K3" s="3"/>
      <c r="L3" s="3"/>
      <c r="M3" s="3"/>
      <c r="N3" s="3"/>
      <c r="O3" s="3"/>
      <c r="DS3" s="4" t="s">
        <v>229</v>
      </c>
    </row>
    <row r="4" spans="1:134" ht="18" customHeight="1" x14ac:dyDescent="0.25">
      <c r="A4" s="184"/>
      <c r="B4" s="181"/>
      <c r="C4" s="20"/>
      <c r="D4" s="1"/>
      <c r="E4" s="5"/>
      <c r="F4" s="3"/>
      <c r="G4" s="3"/>
      <c r="H4" s="3"/>
      <c r="I4" s="3"/>
      <c r="J4" s="3"/>
      <c r="K4" s="3"/>
      <c r="L4" s="3"/>
      <c r="M4" s="3"/>
      <c r="N4" s="3"/>
      <c r="O4" s="3"/>
      <c r="DS4" s="4" t="s">
        <v>203</v>
      </c>
      <c r="DT4" s="4" t="s">
        <v>205</v>
      </c>
      <c r="DU4" s="4" t="s">
        <v>207</v>
      </c>
      <c r="DV4" s="4" t="s">
        <v>208</v>
      </c>
      <c r="DW4" s="4" t="s">
        <v>209</v>
      </c>
      <c r="DX4" s="4" t="s">
        <v>210</v>
      </c>
      <c r="DY4" s="4" t="s">
        <v>211</v>
      </c>
      <c r="DZ4" s="4" t="s">
        <v>212</v>
      </c>
      <c r="EA4" s="4" t="s">
        <v>213</v>
      </c>
      <c r="EB4" s="4" t="s">
        <v>214</v>
      </c>
      <c r="EC4" s="4" t="s">
        <v>218</v>
      </c>
      <c r="ED4" s="4" t="s">
        <v>219</v>
      </c>
    </row>
    <row r="5" spans="1:134" ht="37.5" customHeight="1" x14ac:dyDescent="0.25">
      <c r="A5" s="185" t="s">
        <v>3</v>
      </c>
      <c r="B5" s="186"/>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73" t="s">
        <v>13</v>
      </c>
      <c r="B6" s="174"/>
      <c r="C6" s="47"/>
      <c r="D6" s="48"/>
      <c r="E6" s="49"/>
      <c r="F6" s="49"/>
      <c r="G6" s="49"/>
      <c r="H6" s="49"/>
      <c r="I6" s="49"/>
      <c r="J6" s="49"/>
      <c r="K6" s="49"/>
      <c r="L6" s="49"/>
      <c r="M6" s="49"/>
      <c r="N6" s="49"/>
      <c r="O6" s="49"/>
      <c r="DS6" s="4" t="str">
        <f>VLOOKUP(Cover!$D$15, Country_list!$B$3:$C$44, 2, 0)</f>
        <v>DE</v>
      </c>
      <c r="DV6" s="4" t="s">
        <v>298</v>
      </c>
    </row>
    <row r="7" spans="1:134" ht="24" customHeight="1" x14ac:dyDescent="0.2">
      <c r="A7" s="176" t="s">
        <v>15</v>
      </c>
      <c r="B7" s="177"/>
      <c r="C7" s="45"/>
      <c r="D7" s="15"/>
      <c r="E7" s="46"/>
      <c r="F7" s="46"/>
      <c r="G7" s="46"/>
      <c r="H7" s="46"/>
      <c r="I7" s="46"/>
      <c r="J7" s="46"/>
      <c r="K7" s="46"/>
      <c r="L7" s="46"/>
      <c r="M7" s="46"/>
      <c r="N7" s="46"/>
      <c r="O7" s="46"/>
    </row>
    <row r="8" spans="1:134" ht="24" customHeight="1" x14ac:dyDescent="0.2">
      <c r="A8" s="176" t="s">
        <v>29</v>
      </c>
      <c r="B8" s="177"/>
      <c r="C8" s="45"/>
      <c r="D8" s="15"/>
      <c r="E8" s="46"/>
      <c r="F8" s="46"/>
      <c r="G8" s="46"/>
      <c r="H8" s="46"/>
      <c r="I8" s="46"/>
      <c r="J8" s="46"/>
      <c r="K8" s="46"/>
      <c r="L8" s="46"/>
      <c r="M8" s="46"/>
      <c r="N8" s="46"/>
      <c r="O8" s="46"/>
    </row>
    <row r="9" spans="1:134" ht="24" customHeight="1" x14ac:dyDescent="0.2">
      <c r="A9" s="176" t="s">
        <v>156</v>
      </c>
      <c r="B9" s="177"/>
      <c r="C9" s="9" t="s">
        <v>132</v>
      </c>
      <c r="D9" s="90">
        <v>23627.896606112914</v>
      </c>
      <c r="E9" s="91">
        <v>23598.668677322199</v>
      </c>
      <c r="F9" s="91">
        <v>22825.253147066807</v>
      </c>
      <c r="G9" s="91">
        <v>22009.411901484018</v>
      </c>
      <c r="H9" s="91">
        <v>22708.811184424067</v>
      </c>
      <c r="I9" s="91">
        <v>22653.371448233909</v>
      </c>
      <c r="J9" s="91">
        <v>22312.235919155188</v>
      </c>
      <c r="K9" s="91">
        <v>22169</v>
      </c>
      <c r="L9" s="91">
        <v>22029</v>
      </c>
      <c r="M9" s="91"/>
      <c r="N9" s="91"/>
      <c r="O9" s="91"/>
      <c r="DT9" s="4" t="s">
        <v>279</v>
      </c>
      <c r="EB9" s="4" t="s">
        <v>300</v>
      </c>
      <c r="ED9" s="4" t="s">
        <v>301</v>
      </c>
    </row>
    <row r="10" spans="1:134" ht="24" customHeight="1" x14ac:dyDescent="0.2">
      <c r="A10" s="176" t="s">
        <v>20</v>
      </c>
      <c r="B10" s="177"/>
      <c r="C10" s="9" t="s">
        <v>132</v>
      </c>
      <c r="D10" s="90">
        <v>43069.255560338643</v>
      </c>
      <c r="E10" s="91">
        <v>43093.345817727837</v>
      </c>
      <c r="F10" s="91">
        <v>43066.323543344384</v>
      </c>
      <c r="G10" s="91">
        <v>43080.297414729524</v>
      </c>
      <c r="H10" s="91">
        <v>43625.933243311672</v>
      </c>
      <c r="I10" s="91">
        <v>42941.365465360395</v>
      </c>
      <c r="J10" s="91">
        <v>43150.195745441546</v>
      </c>
      <c r="K10" s="91">
        <v>42946.352526439485</v>
      </c>
      <c r="L10" s="91">
        <v>42973.594179628701</v>
      </c>
      <c r="M10" s="91"/>
      <c r="N10" s="91"/>
      <c r="O10" s="91"/>
      <c r="DT10" s="4" t="s">
        <v>280</v>
      </c>
      <c r="EB10" s="4" t="s">
        <v>300</v>
      </c>
      <c r="ED10" s="4" t="s">
        <v>301</v>
      </c>
    </row>
    <row r="11" spans="1:134" s="13" customFormat="1" ht="15" customHeight="1" x14ac:dyDescent="0.2">
      <c r="A11" s="175" t="s">
        <v>18</v>
      </c>
      <c r="B11" s="107" t="s">
        <v>21</v>
      </c>
      <c r="C11" s="108" t="s">
        <v>132</v>
      </c>
      <c r="D11" s="112">
        <v>46031</v>
      </c>
      <c r="E11" s="112">
        <v>46031</v>
      </c>
      <c r="F11" s="113">
        <v>46031</v>
      </c>
      <c r="G11" s="113">
        <v>46031</v>
      </c>
      <c r="H11" s="113">
        <v>45979</v>
      </c>
      <c r="I11" s="113">
        <v>45366</v>
      </c>
      <c r="J11" s="113">
        <v>43074</v>
      </c>
      <c r="K11" s="113">
        <v>43074</v>
      </c>
      <c r="L11" s="113">
        <v>43074</v>
      </c>
      <c r="M11" s="113"/>
      <c r="N11" s="113"/>
      <c r="O11" s="113"/>
      <c r="DT11" s="13" t="s">
        <v>281</v>
      </c>
      <c r="EB11" s="13" t="s">
        <v>300</v>
      </c>
      <c r="ED11" s="13" t="s">
        <v>301</v>
      </c>
    </row>
    <row r="12" spans="1:134" s="13" customFormat="1" ht="15" customHeight="1" x14ac:dyDescent="0.2">
      <c r="A12" s="175"/>
      <c r="B12" s="107" t="s">
        <v>22</v>
      </c>
      <c r="C12" s="108" t="s">
        <v>132</v>
      </c>
      <c r="D12" s="112">
        <v>42800</v>
      </c>
      <c r="E12" s="113">
        <v>42800</v>
      </c>
      <c r="F12" s="113">
        <v>42800</v>
      </c>
      <c r="G12" s="113">
        <v>42800</v>
      </c>
      <c r="H12" s="113">
        <v>42800</v>
      </c>
      <c r="I12" s="113">
        <v>42800</v>
      </c>
      <c r="J12" s="113">
        <v>42800</v>
      </c>
      <c r="K12" s="113">
        <v>42800</v>
      </c>
      <c r="L12" s="112">
        <v>42800</v>
      </c>
      <c r="M12" s="112"/>
      <c r="N12" s="112"/>
      <c r="O12" s="112"/>
      <c r="DT12" s="13" t="s">
        <v>282</v>
      </c>
      <c r="EB12" s="13" t="s">
        <v>300</v>
      </c>
      <c r="ED12" s="13" t="s">
        <v>301</v>
      </c>
    </row>
    <row r="13" spans="1:134" s="13" customFormat="1" ht="15" customHeight="1" x14ac:dyDescent="0.2">
      <c r="A13" s="175"/>
      <c r="B13" s="107" t="s">
        <v>23</v>
      </c>
      <c r="C13" s="108" t="s">
        <v>132</v>
      </c>
      <c r="D13" s="112">
        <v>42895</v>
      </c>
      <c r="E13" s="113">
        <v>42901</v>
      </c>
      <c r="F13" s="113">
        <v>42898</v>
      </c>
      <c r="G13" s="113">
        <v>42898</v>
      </c>
      <c r="H13" s="113">
        <v>43489</v>
      </c>
      <c r="I13" s="113">
        <v>42814</v>
      </c>
      <c r="J13" s="113">
        <v>43152</v>
      </c>
      <c r="K13" s="113">
        <v>42946</v>
      </c>
      <c r="L13" s="112">
        <v>42972</v>
      </c>
      <c r="M13" s="112"/>
      <c r="N13" s="112"/>
      <c r="O13" s="112"/>
      <c r="DT13" s="13" t="s">
        <v>283</v>
      </c>
      <c r="EB13" s="13" t="s">
        <v>300</v>
      </c>
      <c r="ED13" s="13" t="s">
        <v>301</v>
      </c>
    </row>
    <row r="14" spans="1:134" ht="24" customHeight="1" x14ac:dyDescent="0.2">
      <c r="A14" s="176" t="s">
        <v>24</v>
      </c>
      <c r="B14" s="177"/>
      <c r="C14" s="45"/>
      <c r="D14" s="15"/>
      <c r="E14" s="46"/>
      <c r="F14" s="46"/>
      <c r="G14" s="46"/>
      <c r="H14" s="46"/>
      <c r="I14" s="46"/>
      <c r="J14" s="46"/>
      <c r="K14" s="46"/>
      <c r="L14" s="46"/>
      <c r="M14" s="46"/>
      <c r="N14" s="46"/>
      <c r="O14" s="46"/>
    </row>
    <row r="15" spans="1:134" s="13" customFormat="1" ht="15" customHeight="1" x14ac:dyDescent="0.2">
      <c r="A15" s="175" t="s">
        <v>18</v>
      </c>
      <c r="B15" s="107" t="s">
        <v>26</v>
      </c>
      <c r="C15" s="14"/>
      <c r="D15" s="15"/>
      <c r="E15" s="12"/>
      <c r="F15" s="12"/>
      <c r="G15" s="12"/>
      <c r="H15" s="12"/>
      <c r="I15" s="12"/>
      <c r="J15" s="12"/>
      <c r="K15" s="12"/>
      <c r="L15" s="12"/>
      <c r="M15" s="12"/>
      <c r="N15" s="12"/>
      <c r="O15" s="12"/>
    </row>
    <row r="16" spans="1:134" s="13" customFormat="1" ht="15" customHeight="1" x14ac:dyDescent="0.2">
      <c r="A16" s="175"/>
      <c r="B16" s="107" t="s">
        <v>27</v>
      </c>
      <c r="C16" s="14"/>
      <c r="D16" s="15"/>
      <c r="E16" s="12"/>
      <c r="F16" s="12"/>
      <c r="G16" s="12"/>
      <c r="H16" s="12"/>
      <c r="I16" s="12"/>
      <c r="J16" s="12"/>
      <c r="K16" s="12"/>
      <c r="L16" s="12"/>
      <c r="M16" s="12"/>
      <c r="N16" s="12"/>
      <c r="O16" s="12"/>
    </row>
    <row r="17" spans="1:15" s="13" customFormat="1" ht="15" customHeight="1" x14ac:dyDescent="0.2">
      <c r="A17" s="175"/>
      <c r="B17" s="107" t="s">
        <v>28</v>
      </c>
      <c r="C17" s="14"/>
      <c r="D17" s="15"/>
      <c r="E17" s="12"/>
      <c r="F17" s="12"/>
      <c r="G17" s="12"/>
      <c r="H17" s="12"/>
      <c r="I17" s="12"/>
      <c r="J17" s="12"/>
      <c r="K17" s="12"/>
      <c r="L17" s="12"/>
      <c r="M17" s="12"/>
      <c r="N17" s="12"/>
      <c r="O17" s="12"/>
    </row>
    <row r="18" spans="1:15" s="13" customFormat="1" ht="15" customHeight="1" x14ac:dyDescent="0.2">
      <c r="A18" s="175"/>
      <c r="B18" s="107" t="s">
        <v>184</v>
      </c>
      <c r="C18" s="14"/>
      <c r="D18" s="15"/>
      <c r="E18" s="12"/>
      <c r="F18" s="12"/>
      <c r="G18" s="12"/>
      <c r="H18" s="12"/>
      <c r="I18" s="12"/>
      <c r="J18" s="12"/>
      <c r="K18" s="12"/>
      <c r="L18" s="12"/>
      <c r="M18" s="12"/>
      <c r="N18" s="12"/>
      <c r="O18" s="12"/>
    </row>
    <row r="19" spans="1:15" ht="21" customHeight="1" x14ac:dyDescent="0.2">
      <c r="A19" s="16"/>
      <c r="B19" s="16"/>
      <c r="C19" s="16"/>
      <c r="D19" s="17"/>
      <c r="E19" s="16"/>
      <c r="F19" s="16"/>
      <c r="G19" s="16"/>
      <c r="H19" s="16"/>
      <c r="I19" s="16"/>
      <c r="J19" s="16"/>
      <c r="K19" s="16"/>
      <c r="L19" s="16"/>
      <c r="M19" s="16"/>
      <c r="N19" s="16"/>
      <c r="O19" s="16"/>
    </row>
  </sheetData>
  <sheetProtection algorithmName="SHA-512" hashValue="9btHH5Tdox3zv/ArNUVANsnJJpLND6p7Eg5LQW+bhPqnjrSa4/dyPRjPXtPbONAK0+D2ct+4rbr5k7jHeuoIoQ==" saltValue="tZT/NaGGM/y4+DK957uPVw==" spinCount="100000" sheet="1" objects="1" scenarios="1"/>
  <protectedRanges>
    <protectedRange sqref="D8:O13" name="Calorific_values"/>
  </protectedRanges>
  <customSheetViews>
    <customSheetView guid="{B79E7212-8DD5-488D-8E68-A79B69F231E2}" scale="90" showGridLines="0" fitToPage="1" hiddenColumns="1">
      <pane xSplit="3" topLeftCell="D1" activePane="topRight" state="frozen"/>
      <selection pane="topRight" activeCell="I13" sqref="I13"/>
      <pageMargins left="0.70866141732283472" right="0.70866141732283472" top="0.74803149606299213" bottom="0.74803149606299213" header="0.31496062992125984" footer="0.31496062992125984"/>
      <printOptions horizontalCentered="1" verticalCentered="1"/>
      <pageSetup paperSize="9" scale="96" orientation="landscape" r:id="rId1"/>
    </customSheetView>
  </customSheetViews>
  <mergeCells count="13">
    <mergeCell ref="A1:B1"/>
    <mergeCell ref="A2:B2"/>
    <mergeCell ref="A3:B3"/>
    <mergeCell ref="A4:B4"/>
    <mergeCell ref="A5:B5"/>
    <mergeCell ref="A6:B6"/>
    <mergeCell ref="A11:A13"/>
    <mergeCell ref="A14:B14"/>
    <mergeCell ref="A15:A18"/>
    <mergeCell ref="A7:B7"/>
    <mergeCell ref="A8:B8"/>
    <mergeCell ref="A9:B9"/>
    <mergeCell ref="A10:B10"/>
  </mergeCells>
  <dataValidations count="1">
    <dataValidation type="decimal" operator="greaterThanOrEqual" allowBlank="1" showInputMessage="1" showErrorMessage="1" sqref="D9:O13">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69"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3313" r:id="rId5" name="Button 1">
              <controlPr defaultSize="0" print="0" autoFill="0" autoPict="0" macro="[0]!GoToCover">
                <anchor moveWithCells="1" sizeWithCells="1">
                  <from>
                    <xdr:col>0</xdr:col>
                    <xdr:colOff>19050</xdr:colOff>
                    <xdr:row>18</xdr:row>
                    <xdr:rowOff>28575</xdr:rowOff>
                  </from>
                  <to>
                    <xdr:col>1</xdr:col>
                    <xdr:colOff>1028700</xdr:colOff>
                    <xdr:row>21</xdr:row>
                    <xdr:rowOff>28575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K19"/>
  <sheetViews>
    <sheetView showGridLines="0" zoomScale="90" zoomScaleNormal="90" workbookViewId="0">
      <pane xSplit="3" topLeftCell="D1" activePane="topRight" state="frozen"/>
      <selection activeCell="C5" sqref="C5:C43"/>
      <selection pane="topRight" activeCell="D14" sqref="D14"/>
    </sheetView>
  </sheetViews>
  <sheetFormatPr defaultColWidth="15.7109375" defaultRowHeight="12" x14ac:dyDescent="0.25"/>
  <cols>
    <col min="1" max="1" width="9.140625" style="33" customWidth="1"/>
    <col min="2" max="2" width="54.7109375" style="33" customWidth="1"/>
    <col min="3" max="3" width="15" style="33" customWidth="1"/>
    <col min="4" max="4" width="18.7109375" style="38" customWidth="1"/>
    <col min="5" max="10" width="15.7109375" style="33" customWidth="1"/>
    <col min="11" max="11" width="12.7109375" style="34" customWidth="1"/>
    <col min="12" max="12" width="9.140625" style="33" customWidth="1"/>
    <col min="13" max="16384" width="15.7109375" style="33"/>
  </cols>
  <sheetData>
    <row r="1" spans="1:11" ht="24" customHeight="1" x14ac:dyDescent="0.25">
      <c r="A1" s="178" t="s">
        <v>0</v>
      </c>
      <c r="B1" s="189"/>
      <c r="C1" s="31"/>
      <c r="D1" s="1"/>
      <c r="E1" s="2"/>
      <c r="F1" s="2"/>
      <c r="G1" s="2"/>
      <c r="H1" s="2"/>
      <c r="I1" s="2"/>
      <c r="J1" s="2"/>
      <c r="K1" s="3"/>
    </row>
    <row r="2" spans="1:11" ht="18" customHeight="1" x14ac:dyDescent="0.25">
      <c r="A2" s="190" t="s">
        <v>1</v>
      </c>
      <c r="B2" s="191"/>
      <c r="C2" s="1" t="str">
        <f>Cover!D15</f>
        <v>Germany</v>
      </c>
      <c r="D2" s="1"/>
      <c r="E2" s="5"/>
      <c r="F2" s="3"/>
      <c r="G2" s="3"/>
      <c r="H2" s="3"/>
      <c r="I2" s="3"/>
      <c r="J2" s="3"/>
      <c r="K2" s="3"/>
    </row>
    <row r="3" spans="1:11" ht="18" customHeight="1" x14ac:dyDescent="0.25">
      <c r="A3" s="190" t="s">
        <v>2</v>
      </c>
      <c r="B3" s="192"/>
      <c r="C3" s="111">
        <v>2018</v>
      </c>
      <c r="D3" s="1"/>
      <c r="E3" s="5"/>
      <c r="F3" s="3"/>
      <c r="G3" s="3"/>
      <c r="H3" s="3"/>
      <c r="I3" s="3"/>
      <c r="J3" s="3"/>
      <c r="K3" s="3"/>
    </row>
    <row r="4" spans="1:11" ht="18" customHeight="1" x14ac:dyDescent="0.25">
      <c r="A4" s="193"/>
      <c r="B4" s="194"/>
      <c r="C4" s="31"/>
      <c r="D4" s="1"/>
      <c r="E4" s="5"/>
      <c r="F4" s="3"/>
      <c r="G4" s="3"/>
      <c r="H4" s="3"/>
      <c r="I4" s="3"/>
      <c r="J4" s="3"/>
      <c r="K4" s="3"/>
    </row>
    <row r="5" spans="1:11" ht="37.5" customHeight="1" x14ac:dyDescent="0.25">
      <c r="A5" s="185" t="s">
        <v>3</v>
      </c>
      <c r="B5" s="195"/>
      <c r="C5" s="6" t="s">
        <v>4</v>
      </c>
      <c r="D5" s="7" t="s">
        <v>5</v>
      </c>
      <c r="E5" s="6" t="s">
        <v>6</v>
      </c>
      <c r="F5" s="6" t="s">
        <v>7</v>
      </c>
      <c r="G5" s="6" t="s">
        <v>8</v>
      </c>
      <c r="H5" s="6" t="s">
        <v>9</v>
      </c>
      <c r="I5" s="6" t="s">
        <v>10</v>
      </c>
      <c r="J5" s="6" t="s">
        <v>11</v>
      </c>
      <c r="K5" s="7" t="s">
        <v>12</v>
      </c>
    </row>
    <row r="6" spans="1:11" ht="24" customHeight="1" x14ac:dyDescent="0.25">
      <c r="A6" s="187" t="s">
        <v>13</v>
      </c>
      <c r="B6" s="188"/>
      <c r="C6" s="105" t="s">
        <v>14</v>
      </c>
      <c r="D6" s="117">
        <f ca="1">SUM(E6:J6)</f>
        <v>128200.00000000003</v>
      </c>
      <c r="E6" s="118">
        <f ca="1">INDIRECT(ADDRESS(ROW(K6),$C$3 -2010 + 4,,,"1a_SpaceHeating"))</f>
        <v>7452.2093522093528</v>
      </c>
      <c r="F6" s="118">
        <f ca="1">INDIRECT(ADDRESS(ROW(K6),$C$3-2010+4,,,"1b_SpaceCooling"))</f>
        <v>1237.4517374517377</v>
      </c>
      <c r="G6" s="118">
        <f ca="1">INDIRECT(ADDRESS(ROW(K6),$C$3-2010+4,,,"1c_WaterHeating"))</f>
        <v>15564.392964392966</v>
      </c>
      <c r="H6" s="118">
        <f ca="1">INDIRECT(ADDRESS(ROW(K6),$C$3-2010+4,,,"1d_Cooking"))</f>
        <v>38718.489918489911</v>
      </c>
      <c r="I6" s="118">
        <f ca="1">INDIRECT(ADDRESS(ROW(K6),$C$3-2010+4,,,"1e_LightingAndAppliances"))</f>
        <v>60717.631917631952</v>
      </c>
      <c r="J6" s="118">
        <f ca="1">INDIRECT(ADDRESS(ROW(K6),$C$3-2010+4,,,"1f_OtherEndUses"))</f>
        <v>4509.8241098241097</v>
      </c>
      <c r="K6" s="119"/>
    </row>
    <row r="7" spans="1:11" ht="24" customHeight="1" x14ac:dyDescent="0.25">
      <c r="A7" s="197" t="s">
        <v>15</v>
      </c>
      <c r="B7" s="198"/>
      <c r="C7" s="106" t="s">
        <v>16</v>
      </c>
      <c r="D7" s="120">
        <f t="shared" ref="D7:D16" ca="1" si="0">SUM(E7:J7)</f>
        <v>153089</v>
      </c>
      <c r="E7" s="121">
        <f t="shared" ref="E7:E16" ca="1" si="1">INDIRECT(ADDRESS(ROW(K7),$C$3 -2010 + 4,,,"1a_SpaceHeating"))</f>
        <v>139234.01787709497</v>
      </c>
      <c r="F7" s="122"/>
      <c r="G7" s="121">
        <f t="shared" ref="G7:G16" ca="1" si="2">INDIRECT(ADDRESS(ROW(K7),$C$3-2010+4,,,"1c_WaterHeating"))</f>
        <v>13854.982122905029</v>
      </c>
      <c r="H7" s="121">
        <f t="shared" ref="H7:H16" ca="1" si="3">INDIRECT(ADDRESS(ROW(K7),$C$3-2010+4,,,"1d_Cooking"))</f>
        <v>0</v>
      </c>
      <c r="I7" s="122"/>
      <c r="J7" s="121">
        <f t="shared" ref="J7:J17" ca="1" si="4">INDIRECT(ADDRESS(ROW(K7),$C$3-2010+4,,,"1f_OtherEndUses"))</f>
        <v>0</v>
      </c>
      <c r="K7" s="122"/>
    </row>
    <row r="8" spans="1:11" ht="24" customHeight="1" x14ac:dyDescent="0.25">
      <c r="A8" s="197" t="s">
        <v>29</v>
      </c>
      <c r="B8" s="198"/>
      <c r="C8" s="106" t="s">
        <v>17</v>
      </c>
      <c r="D8" s="120">
        <f t="shared" ca="1" si="0"/>
        <v>1035766.3067955326</v>
      </c>
      <c r="E8" s="121">
        <f t="shared" ca="1" si="1"/>
        <v>817021.43695234659</v>
      </c>
      <c r="F8" s="122"/>
      <c r="G8" s="121">
        <f t="shared" ca="1" si="2"/>
        <v>214421.38684318596</v>
      </c>
      <c r="H8" s="121">
        <f t="shared" ca="1" si="3"/>
        <v>4323.4830000000002</v>
      </c>
      <c r="I8" s="122"/>
      <c r="J8" s="121">
        <f t="shared" ca="1" si="4"/>
        <v>0</v>
      </c>
      <c r="K8" s="122"/>
    </row>
    <row r="9" spans="1:11" ht="24" customHeight="1" x14ac:dyDescent="0.25">
      <c r="A9" s="197" t="s">
        <v>156</v>
      </c>
      <c r="B9" s="198"/>
      <c r="C9" s="106" t="s">
        <v>19</v>
      </c>
      <c r="D9" s="120">
        <f t="shared" ca="1" si="0"/>
        <v>936</v>
      </c>
      <c r="E9" s="121">
        <f t="shared" ca="1" si="1"/>
        <v>936</v>
      </c>
      <c r="F9" s="122"/>
      <c r="G9" s="121">
        <f t="shared" ca="1" si="2"/>
        <v>0</v>
      </c>
      <c r="H9" s="121">
        <f t="shared" ca="1" si="3"/>
        <v>0</v>
      </c>
      <c r="I9" s="122"/>
      <c r="J9" s="121">
        <f t="shared" ca="1" si="4"/>
        <v>0</v>
      </c>
      <c r="K9" s="123">
        <f ca="1">INDIRECT(ADDRESS(ROW(K9),$C$3-2010+4,,,"Calorific_Values"))</f>
        <v>22029</v>
      </c>
    </row>
    <row r="10" spans="1:11" ht="24" customHeight="1" x14ac:dyDescent="0.25">
      <c r="A10" s="197" t="s">
        <v>42</v>
      </c>
      <c r="B10" s="198"/>
      <c r="C10" s="106" t="s">
        <v>19</v>
      </c>
      <c r="D10" s="120">
        <f t="shared" ca="1" si="0"/>
        <v>9965</v>
      </c>
      <c r="E10" s="121">
        <f t="shared" ca="1" si="1"/>
        <v>8379.5373134328365</v>
      </c>
      <c r="F10" s="122"/>
      <c r="G10" s="121">
        <f t="shared" ca="1" si="2"/>
        <v>1478.4626865671642</v>
      </c>
      <c r="H10" s="121">
        <f t="shared" ca="1" si="3"/>
        <v>0</v>
      </c>
      <c r="I10" s="122"/>
      <c r="J10" s="121">
        <f t="shared" ca="1" si="4"/>
        <v>107</v>
      </c>
      <c r="K10" s="123">
        <f ca="1">INDIRECT(ADDRESS(ROW(K10),$C$3-2010+4,,,"Calorific_Values"))</f>
        <v>42973.594179628701</v>
      </c>
    </row>
    <row r="11" spans="1:11" s="34" customFormat="1" ht="15" customHeight="1" x14ac:dyDescent="0.25">
      <c r="A11" s="196" t="s">
        <v>18</v>
      </c>
      <c r="B11" s="10" t="s">
        <v>21</v>
      </c>
      <c r="C11" s="11" t="s">
        <v>19</v>
      </c>
      <c r="D11" s="124">
        <f t="shared" ca="1" si="0"/>
        <v>845.00000000000011</v>
      </c>
      <c r="E11" s="125">
        <f t="shared" ca="1" si="1"/>
        <v>718.27034183919125</v>
      </c>
      <c r="F11" s="126"/>
      <c r="G11" s="125">
        <f t="shared" ca="1" si="2"/>
        <v>126.72965816080885</v>
      </c>
      <c r="H11" s="125">
        <f t="shared" ca="1" si="3"/>
        <v>0</v>
      </c>
      <c r="I11" s="126"/>
      <c r="J11" s="125">
        <f t="shared" ca="1" si="4"/>
        <v>0</v>
      </c>
      <c r="K11" s="127">
        <f t="shared" ref="K11:K13" ca="1" si="5">INDIRECT(ADDRESS(ROW(K11),$C$3-2010+4,,,"Calorific_Values"))</f>
        <v>43074</v>
      </c>
    </row>
    <row r="12" spans="1:11" s="34" customFormat="1" ht="15" customHeight="1" x14ac:dyDescent="0.25">
      <c r="A12" s="196"/>
      <c r="B12" s="10" t="s">
        <v>22</v>
      </c>
      <c r="C12" s="11" t="s">
        <v>19</v>
      </c>
      <c r="D12" s="124">
        <f t="shared" ca="1" si="0"/>
        <v>7</v>
      </c>
      <c r="E12" s="125">
        <f t="shared" ca="1" si="1"/>
        <v>0</v>
      </c>
      <c r="F12" s="126"/>
      <c r="G12" s="125">
        <f t="shared" ca="1" si="2"/>
        <v>0</v>
      </c>
      <c r="H12" s="125">
        <f t="shared" ca="1" si="3"/>
        <v>0</v>
      </c>
      <c r="I12" s="126"/>
      <c r="J12" s="125">
        <f t="shared" ca="1" si="4"/>
        <v>7</v>
      </c>
      <c r="K12" s="127">
        <f t="shared" ca="1" si="5"/>
        <v>42800</v>
      </c>
    </row>
    <row r="13" spans="1:11" s="34" customFormat="1" ht="15" customHeight="1" x14ac:dyDescent="0.25">
      <c r="A13" s="196"/>
      <c r="B13" s="10" t="s">
        <v>23</v>
      </c>
      <c r="C13" s="11" t="s">
        <v>19</v>
      </c>
      <c r="D13" s="124">
        <f t="shared" ca="1" si="0"/>
        <v>9013</v>
      </c>
      <c r="E13" s="125">
        <f t="shared" ca="1" si="1"/>
        <v>7661.2669715936445</v>
      </c>
      <c r="F13" s="126"/>
      <c r="G13" s="125">
        <f t="shared" ca="1" si="2"/>
        <v>1351.7330284063553</v>
      </c>
      <c r="H13" s="125">
        <f t="shared" ca="1" si="3"/>
        <v>0</v>
      </c>
      <c r="I13" s="126"/>
      <c r="J13" s="125">
        <f t="shared" ca="1" si="4"/>
        <v>0</v>
      </c>
      <c r="K13" s="127">
        <f t="shared" ca="1" si="5"/>
        <v>42972</v>
      </c>
    </row>
    <row r="14" spans="1:11" ht="24" customHeight="1" x14ac:dyDescent="0.25">
      <c r="A14" s="197" t="s">
        <v>43</v>
      </c>
      <c r="B14" s="198"/>
      <c r="C14" s="106" t="s">
        <v>16</v>
      </c>
      <c r="D14" s="120">
        <f t="shared" ca="1" si="0"/>
        <v>318079.93100000004</v>
      </c>
      <c r="E14" s="121">
        <f t="shared" ca="1" si="1"/>
        <v>246062.3716666667</v>
      </c>
      <c r="F14" s="122"/>
      <c r="G14" s="121">
        <f t="shared" ca="1" si="2"/>
        <v>64689.559333333345</v>
      </c>
      <c r="H14" s="121">
        <f t="shared" ca="1" si="3"/>
        <v>7328</v>
      </c>
      <c r="I14" s="122"/>
      <c r="J14" s="121">
        <f t="shared" ca="1" si="4"/>
        <v>0</v>
      </c>
      <c r="K14" s="122"/>
    </row>
    <row r="15" spans="1:11" s="34" customFormat="1" ht="15" customHeight="1" x14ac:dyDescent="0.25">
      <c r="A15" s="196" t="s">
        <v>18</v>
      </c>
      <c r="B15" s="10" t="s">
        <v>26</v>
      </c>
      <c r="C15" s="11" t="s">
        <v>16</v>
      </c>
      <c r="D15" s="124">
        <f t="shared" ca="1" si="0"/>
        <v>30554</v>
      </c>
      <c r="E15" s="125">
        <f t="shared" ca="1" si="1"/>
        <v>4002.5739999999996</v>
      </c>
      <c r="F15" s="126"/>
      <c r="G15" s="125">
        <f t="shared" ca="1" si="2"/>
        <v>26551.425999999999</v>
      </c>
      <c r="H15" s="125">
        <f t="shared" ca="1" si="3"/>
        <v>0</v>
      </c>
      <c r="I15" s="126"/>
      <c r="J15" s="125">
        <f t="shared" ca="1" si="4"/>
        <v>0</v>
      </c>
      <c r="K15" s="126"/>
    </row>
    <row r="16" spans="1:11" s="34" customFormat="1" ht="15" customHeight="1" x14ac:dyDescent="0.25">
      <c r="A16" s="196"/>
      <c r="B16" s="10" t="s">
        <v>27</v>
      </c>
      <c r="C16" s="11" t="s">
        <v>16</v>
      </c>
      <c r="D16" s="124">
        <f t="shared" ca="1" si="0"/>
        <v>222661.00000000003</v>
      </c>
      <c r="E16" s="125">
        <f t="shared" ca="1" si="1"/>
        <v>190353.32549019609</v>
      </c>
      <c r="F16" s="126"/>
      <c r="G16" s="125">
        <f t="shared" ca="1" si="2"/>
        <v>32307.674509803928</v>
      </c>
      <c r="H16" s="125">
        <f t="shared" ca="1" si="3"/>
        <v>0</v>
      </c>
      <c r="I16" s="126"/>
      <c r="J16" s="125">
        <f t="shared" ca="1" si="4"/>
        <v>0</v>
      </c>
      <c r="K16" s="126"/>
    </row>
    <row r="17" spans="1:11" s="34" customFormat="1" ht="15" customHeight="1" x14ac:dyDescent="0.25">
      <c r="A17" s="196"/>
      <c r="B17" s="10" t="s">
        <v>28</v>
      </c>
      <c r="C17" s="11" t="s">
        <v>16</v>
      </c>
      <c r="D17" s="124">
        <f t="shared" ref="D17" ca="1" si="6">SUM(E17:J17)</f>
        <v>11973</v>
      </c>
      <c r="E17" s="125">
        <f t="shared" ref="E17" ca="1" si="7">INDIRECT(ADDRESS(ROW(K17),$C$3 -2010 + 4,,,"1a_SpaceHeating"))</f>
        <v>10235.741176470588</v>
      </c>
      <c r="F17" s="126"/>
      <c r="G17" s="125">
        <f t="shared" ref="G17" ca="1" si="8">INDIRECT(ADDRESS(ROW(K17),$C$3-2010+4,,,"1c_WaterHeating"))</f>
        <v>1737.258823529412</v>
      </c>
      <c r="H17" s="125">
        <f t="shared" ref="H17" ca="1" si="9">INDIRECT(ADDRESS(ROW(K17),$C$3-2010+4,,,"1d_Cooking"))</f>
        <v>0</v>
      </c>
      <c r="I17" s="126"/>
      <c r="J17" s="125">
        <f t="shared" ca="1" si="4"/>
        <v>0</v>
      </c>
      <c r="K17" s="126"/>
    </row>
    <row r="18" spans="1:11" s="34" customFormat="1" ht="15" customHeight="1" x14ac:dyDescent="0.25">
      <c r="A18" s="196"/>
      <c r="B18" s="34" t="s">
        <v>184</v>
      </c>
      <c r="C18" s="11" t="s">
        <v>16</v>
      </c>
      <c r="D18" s="124">
        <f ca="1">SUM(E18:J18)</f>
        <v>44518</v>
      </c>
      <c r="E18" s="125">
        <f ca="1">INDIRECT(ADDRESS(ROW(K18),$C$3 -2010 + 4,,,"1a_SpaceHeating"))</f>
        <v>40511.379999999997</v>
      </c>
      <c r="F18" s="126"/>
      <c r="G18" s="125">
        <f ca="1">INDIRECT(ADDRESS(ROW(K18),$C$3-2010+4,,,"1c_WaterHeating"))</f>
        <v>4006.62</v>
      </c>
      <c r="H18" s="125">
        <f ca="1">INDIRECT(ADDRESS(ROW(K18),$C$3-2010+4,,,"1d_Cooking"))</f>
        <v>0</v>
      </c>
      <c r="I18" s="126"/>
      <c r="J18" s="125">
        <f ca="1">INDIRECT(ADDRESS(ROW(K18),$C$3-2010+4,,,"1f_OtherEndUses"))</f>
        <v>0</v>
      </c>
      <c r="K18" s="126"/>
    </row>
    <row r="19" spans="1:11" ht="21" customHeight="1" x14ac:dyDescent="0.25">
      <c r="A19" s="35"/>
      <c r="B19" s="35"/>
      <c r="C19" s="35"/>
      <c r="D19" s="36"/>
      <c r="E19" s="35"/>
      <c r="F19" s="35"/>
      <c r="G19" s="35"/>
      <c r="H19" s="35"/>
      <c r="I19" s="35"/>
      <c r="J19" s="35"/>
      <c r="K19" s="37"/>
    </row>
  </sheetData>
  <sheetProtection algorithmName="SHA-512" hashValue="g7t7PY1R05geQOkmwrS+E4zggtvlAtw1OnzNLqQgwjgLy2j2wr/3ZUmk5To8kgpUUHE0wYgq/eYBiY+6ReUsbg==" saltValue="PMSwh1wmaFH2OHC1U66KZA==" spinCount="100000" sheet="1" objects="1" scenarios="1"/>
  <protectedRanges>
    <protectedRange sqref="C3" name="Range1"/>
  </protectedRanges>
  <customSheetViews>
    <customSheetView guid="{B79E7212-8DD5-488D-8E68-A79B69F231E2}" scale="90" showGridLines="0" fitToPage="1">
      <pane xSplit="3" topLeftCell="D1" activePane="topRight" state="frozen"/>
      <selection pane="topRight" activeCell="C8" sqref="C8"/>
      <pageMargins left="0.70866141732283472" right="0.70866141732283472" top="0.74803149606299213" bottom="0.74803149606299213" header="0.31496062992125984" footer="0.31496062992125984"/>
      <printOptions horizontalCentered="1" verticalCentered="1"/>
      <pageSetup paperSize="9" scale="67" orientation="landscape" r:id="rId1"/>
    </customSheetView>
  </customSheetViews>
  <mergeCells count="13">
    <mergeCell ref="A11:A13"/>
    <mergeCell ref="A14:B14"/>
    <mergeCell ref="A15:A18"/>
    <mergeCell ref="A7:B7"/>
    <mergeCell ref="A8:B8"/>
    <mergeCell ref="A9:B9"/>
    <mergeCell ref="A10:B10"/>
    <mergeCell ref="A6:B6"/>
    <mergeCell ref="A1:B1"/>
    <mergeCell ref="A2:B2"/>
    <mergeCell ref="A3:B3"/>
    <mergeCell ref="A4:B4"/>
    <mergeCell ref="A5:B5"/>
  </mergeCells>
  <printOptions horizontalCentered="1" verticalCentered="1"/>
  <pageMargins left="0.70866141732283472" right="0.70866141732283472" top="0.74803149606299213" bottom="0.74803149606299213" header="0.31496062992125984" footer="0.31496062992125984"/>
  <pageSetup paperSize="9" scale="64"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GoToCover">
                <anchor moveWithCells="1" sizeWithCells="1">
                  <from>
                    <xdr:col>0</xdr:col>
                    <xdr:colOff>28575</xdr:colOff>
                    <xdr:row>18</xdr:row>
                    <xdr:rowOff>38100</xdr:rowOff>
                  </from>
                  <to>
                    <xdr:col>1</xdr:col>
                    <xdr:colOff>1028700</xdr:colOff>
                    <xdr:row>21</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'1a_SpaceHeating'!$D$5:$R$5</xm:f>
          </x14:formula1>
          <xm:sqref>C3</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A1:K21"/>
  <sheetViews>
    <sheetView showGridLines="0" zoomScale="90" zoomScaleNormal="90" workbookViewId="0">
      <pane xSplit="3" topLeftCell="D1" activePane="topRight" state="frozen"/>
      <selection activeCell="C38" sqref="C38"/>
      <selection pane="topRight" activeCell="E26" sqref="E26"/>
    </sheetView>
  </sheetViews>
  <sheetFormatPr defaultColWidth="15.7109375" defaultRowHeight="12" x14ac:dyDescent="0.25"/>
  <cols>
    <col min="1" max="1" width="9.140625" style="95" customWidth="1"/>
    <col min="2" max="2" width="54.7109375" style="95" customWidth="1"/>
    <col min="3" max="3" width="15" style="95" customWidth="1"/>
    <col min="4" max="4" width="18.7109375" style="38" customWidth="1"/>
    <col min="5" max="10" width="15.7109375" style="95" customWidth="1"/>
    <col min="11" max="11" width="12.7109375" style="34" customWidth="1"/>
    <col min="12" max="12" width="9.140625" style="95" customWidth="1"/>
    <col min="13" max="16384" width="15.7109375" style="95"/>
  </cols>
  <sheetData>
    <row r="1" spans="1:11" ht="24" customHeight="1" x14ac:dyDescent="0.25">
      <c r="A1" s="178" t="s">
        <v>0</v>
      </c>
      <c r="B1" s="189"/>
      <c r="C1" s="31"/>
      <c r="D1" s="1"/>
      <c r="E1" s="2"/>
      <c r="F1" s="2"/>
      <c r="G1" s="2"/>
      <c r="H1" s="2"/>
      <c r="I1" s="2"/>
      <c r="J1" s="2"/>
      <c r="K1" s="3"/>
    </row>
    <row r="2" spans="1:11" ht="18" customHeight="1" x14ac:dyDescent="0.25">
      <c r="A2" s="190" t="s">
        <v>1</v>
      </c>
      <c r="B2" s="191"/>
      <c r="C2" s="1" t="str">
        <f>Cover!D15</f>
        <v>Germany</v>
      </c>
      <c r="D2" s="1"/>
      <c r="E2" s="5"/>
      <c r="F2" s="3"/>
      <c r="G2" s="3"/>
      <c r="H2" s="3"/>
      <c r="I2" s="3"/>
      <c r="J2" s="3"/>
      <c r="K2" s="3"/>
    </row>
    <row r="3" spans="1:11" ht="18" customHeight="1" x14ac:dyDescent="0.25">
      <c r="A3" s="190" t="s">
        <v>2</v>
      </c>
      <c r="B3" s="191"/>
      <c r="C3" s="1">
        <f>Table1_Totals!C3</f>
        <v>2018</v>
      </c>
      <c r="D3" s="1"/>
      <c r="E3" s="5"/>
      <c r="F3" s="3"/>
      <c r="G3" s="3"/>
      <c r="H3" s="3"/>
      <c r="I3" s="3"/>
      <c r="J3" s="3"/>
      <c r="K3" s="3"/>
    </row>
    <row r="4" spans="1:11" ht="18" customHeight="1" x14ac:dyDescent="0.25">
      <c r="A4" s="193"/>
      <c r="B4" s="194"/>
      <c r="C4" s="31"/>
      <c r="D4" s="1"/>
      <c r="E4" s="5"/>
      <c r="F4" s="3"/>
      <c r="G4" s="3"/>
      <c r="H4" s="3"/>
      <c r="I4" s="3"/>
      <c r="J4" s="3"/>
      <c r="K4" s="3"/>
    </row>
    <row r="5" spans="1:11" ht="37.5" customHeight="1" x14ac:dyDescent="0.25">
      <c r="A5" s="185" t="s">
        <v>3</v>
      </c>
      <c r="B5" s="195"/>
      <c r="C5" s="6" t="s">
        <v>4</v>
      </c>
      <c r="D5" s="7" t="s">
        <v>5</v>
      </c>
      <c r="E5" s="6" t="s">
        <v>6</v>
      </c>
      <c r="F5" s="6" t="s">
        <v>7</v>
      </c>
      <c r="G5" s="6" t="s">
        <v>8</v>
      </c>
      <c r="H5" s="6" t="s">
        <v>9</v>
      </c>
      <c r="I5" s="6" t="s">
        <v>10</v>
      </c>
      <c r="J5" s="6" t="s">
        <v>11</v>
      </c>
      <c r="K5" s="7" t="s">
        <v>12</v>
      </c>
    </row>
    <row r="6" spans="1:11" ht="24" customHeight="1" x14ac:dyDescent="0.25">
      <c r="A6" s="187" t="s">
        <v>13</v>
      </c>
      <c r="B6" s="188"/>
      <c r="C6" s="105" t="s">
        <v>16</v>
      </c>
      <c r="D6" s="117">
        <f ca="1">SUM(E6:J6)</f>
        <v>461520.00000000017</v>
      </c>
      <c r="E6" s="118">
        <f ca="1">Table1_Totals!E6*3.6</f>
        <v>26827.953667953672</v>
      </c>
      <c r="F6" s="118">
        <f ca="1">Table1_Totals!F6*3.6</f>
        <v>4454.8262548262555</v>
      </c>
      <c r="G6" s="118">
        <f ca="1">Table1_Totals!G6*3.6</f>
        <v>56031.814671814682</v>
      </c>
      <c r="H6" s="118">
        <f ca="1">Table1_Totals!H6*3.6</f>
        <v>139386.5637065637</v>
      </c>
      <c r="I6" s="118">
        <f ca="1">Table1_Totals!I6*3.6</f>
        <v>218583.47490347503</v>
      </c>
      <c r="J6" s="118">
        <f ca="1">Table1_Totals!J6*3.6</f>
        <v>16235.366795366795</v>
      </c>
      <c r="K6" s="119"/>
    </row>
    <row r="7" spans="1:11" ht="24" customHeight="1" x14ac:dyDescent="0.25">
      <c r="A7" s="197" t="s">
        <v>15</v>
      </c>
      <c r="B7" s="198"/>
      <c r="C7" s="106" t="s">
        <v>16</v>
      </c>
      <c r="D7" s="120">
        <f t="shared" ref="D7:D18" ca="1" si="0">SUM(E7:J7)</f>
        <v>153089</v>
      </c>
      <c r="E7" s="121">
        <f ca="1">Table1_Totals!E7</f>
        <v>139234.01787709497</v>
      </c>
      <c r="F7" s="122"/>
      <c r="G7" s="121">
        <f ca="1">Table1_Totals!G7</f>
        <v>13854.982122905029</v>
      </c>
      <c r="H7" s="121">
        <f ca="1">Table1_Totals!H7</f>
        <v>0</v>
      </c>
      <c r="I7" s="122"/>
      <c r="J7" s="121">
        <f ca="1">Table1_Totals!J7</f>
        <v>0</v>
      </c>
      <c r="K7" s="122"/>
    </row>
    <row r="8" spans="1:11" ht="24" customHeight="1" x14ac:dyDescent="0.25">
      <c r="A8" s="197" t="s">
        <v>29</v>
      </c>
      <c r="B8" s="198"/>
      <c r="C8" s="106" t="s">
        <v>16</v>
      </c>
      <c r="D8" s="120">
        <f t="shared" ca="1" si="0"/>
        <v>932189.67611597932</v>
      </c>
      <c r="E8" s="121">
        <f ca="1">Table1_Totals!E8*0.9</f>
        <v>735319.29325711192</v>
      </c>
      <c r="F8" s="122"/>
      <c r="G8" s="121">
        <f ca="1">Table1_Totals!G8*0.9</f>
        <v>192979.24815886735</v>
      </c>
      <c r="H8" s="121">
        <f ca="1">Table1_Totals!H8*0.9</f>
        <v>3891.1347000000001</v>
      </c>
      <c r="I8" s="122"/>
      <c r="J8" s="121">
        <f ca="1">Table1_Totals!J8*0.9</f>
        <v>0</v>
      </c>
      <c r="K8" s="122"/>
    </row>
    <row r="9" spans="1:11" ht="24" customHeight="1" x14ac:dyDescent="0.25">
      <c r="A9" s="197" t="s">
        <v>156</v>
      </c>
      <c r="B9" s="198"/>
      <c r="C9" s="106" t="s">
        <v>16</v>
      </c>
      <c r="D9" s="120">
        <f t="shared" ca="1" si="0"/>
        <v>20619.144</v>
      </c>
      <c r="E9" s="121">
        <f ca="1">IF(Table1_Totals!E9&lt;&gt;0,IF(Table1_Totals!$K9&lt;&gt;0,Table1_Totals!E9*Table1_Totals!$K9/1000,"Please check CV"),"0,000")</f>
        <v>20619.144</v>
      </c>
      <c r="F9" s="122"/>
      <c r="G9" s="121" t="str">
        <f ca="1">IF(Table1_Totals!G9&lt;&gt;0,IF(Table1_Totals!$K9&lt;&gt;0,Table1_Totals!G9*Table1_Totals!$K$9/1000,"Please check CV"),"0,000")</f>
        <v>0,000</v>
      </c>
      <c r="H9" s="121" t="str">
        <f ca="1">IF(Table1_Totals!H9&lt;&gt;0,IF(Table1_Totals!$K9&lt;&gt;0,Table1_Totals!H9*Table1_Totals!$K$9/1000,"Please check CV"),"0,000")</f>
        <v>0,000</v>
      </c>
      <c r="I9" s="122"/>
      <c r="J9" s="121" t="str">
        <f ca="1">IF(Table1_Totals!J9&lt;&gt;0,IF(Table1_Totals!$K9&lt;&gt;0,Table1_Totals!J9*Table1_Totals!$K$9/1000,"Please check CV"),"0,000")</f>
        <v>0,000</v>
      </c>
      <c r="K9" s="123">
        <f ca="1">Table1_Totals!K9</f>
        <v>22029</v>
      </c>
    </row>
    <row r="10" spans="1:11" ht="24" customHeight="1" x14ac:dyDescent="0.25">
      <c r="A10" s="197" t="s">
        <v>42</v>
      </c>
      <c r="B10" s="198"/>
      <c r="C10" s="106" t="s">
        <v>16</v>
      </c>
      <c r="D10" s="120">
        <f t="shared" ca="1" si="0"/>
        <v>428231.86600000004</v>
      </c>
      <c r="E10" s="121">
        <f ca="1">IF(Table1_Totals!E10&lt;&gt;0,IF(Table1_Totals!$K10&lt;&gt;0,Table1_Totals!E10*Table1_Totals!$K10/1000,"Please check CV"),"0,000")</f>
        <v>360098.83592051885</v>
      </c>
      <c r="F10" s="122"/>
      <c r="G10" s="121">
        <f ca="1">IF(Table1_Totals!G10&lt;&gt;0,IF(Table1_Totals!$K10&lt;&gt;0,Table1_Totals!G10*Table1_Totals!$K10/1000,"Please check CV"),"0,000")</f>
        <v>63534.8555022609</v>
      </c>
      <c r="H10" s="121" t="str">
        <f ca="1">IF(Table1_Totals!H10&lt;&gt;0,IF(Table1_Totals!$K10&lt;&gt;0,Table1_Totals!H10*Table1_Totals!$K10/1000,"Please check CV"),"0,000")</f>
        <v>0,000</v>
      </c>
      <c r="I10" s="122"/>
      <c r="J10" s="121">
        <f ca="1">IF(Table1_Totals!J10&lt;&gt;0,IF(Table1_Totals!$K10&lt;&gt;0,Table1_Totals!J10*Table1_Totals!$K10/1000,"Please check CV"),"0,000")</f>
        <v>4598.1745772202712</v>
      </c>
      <c r="K10" s="123">
        <f ca="1">Table1_Totals!K10</f>
        <v>42973.594179628701</v>
      </c>
    </row>
    <row r="11" spans="1:11" s="34" customFormat="1" ht="15" customHeight="1" x14ac:dyDescent="0.25">
      <c r="A11" s="196" t="s">
        <v>18</v>
      </c>
      <c r="B11" s="10" t="s">
        <v>21</v>
      </c>
      <c r="C11" s="11" t="s">
        <v>16</v>
      </c>
      <c r="D11" s="124">
        <f t="shared" ca="1" si="0"/>
        <v>36397.530000000006</v>
      </c>
      <c r="E11" s="125">
        <f ca="1">IF(Table1_Totals!E11&lt;&gt;0,IF(Table1_Totals!$K11&lt;&gt;0,Table1_Totals!E11*Table1_Totals!$K11/1000,"Please check CV"),"0,000")</f>
        <v>30938.776704381326</v>
      </c>
      <c r="F11" s="126"/>
      <c r="G11" s="125">
        <f ca="1">IF(Table1_Totals!G11&lt;&gt;0,IF(Table1_Totals!$K11&lt;&gt;0,Table1_Totals!G11*Table1_Totals!$K11/1000,"Please check CV"),"0,000")</f>
        <v>5458.7532956186806</v>
      </c>
      <c r="H11" s="125" t="str">
        <f ca="1">IF(Table1_Totals!H11&lt;&gt;0,IF(Table1_Totals!$K11&lt;&gt;0,Table1_Totals!H11*Table1_Totals!$K11/1000,"Please check CV"),"0,000")</f>
        <v>0,000</v>
      </c>
      <c r="I11" s="126"/>
      <c r="J11" s="125" t="str">
        <f ca="1">IF(Table1_Totals!J11&lt;&gt;0,IF(Table1_Totals!$K11&lt;&gt;0,Table1_Totals!J11*Table1_Totals!$K11/1000,"Please check CV"),"0,000")</f>
        <v>0,000</v>
      </c>
      <c r="K11" s="127">
        <f ca="1">Table1_Totals!K11</f>
        <v>43074</v>
      </c>
    </row>
    <row r="12" spans="1:11" s="34" customFormat="1" ht="15" customHeight="1" x14ac:dyDescent="0.25">
      <c r="A12" s="196"/>
      <c r="B12" s="10" t="s">
        <v>22</v>
      </c>
      <c r="C12" s="11" t="s">
        <v>16</v>
      </c>
      <c r="D12" s="124">
        <f t="shared" ca="1" si="0"/>
        <v>299.60000000000002</v>
      </c>
      <c r="E12" s="125" t="str">
        <f ca="1">IF(Table1_Totals!E12&lt;&gt;0,IF(Table1_Totals!$K12&lt;&gt;0,Table1_Totals!E12*Table1_Totals!$K12/1000,"Please check CV"),"0,000")</f>
        <v>0,000</v>
      </c>
      <c r="F12" s="126"/>
      <c r="G12" s="125" t="str">
        <f ca="1">IF(Table1_Totals!G12&lt;&gt;0,IF(Table1_Totals!$K12&lt;&gt;0,Table1_Totals!G12*Table1_Totals!$K12/1000,"Please check CV"),"0,000")</f>
        <v>0,000</v>
      </c>
      <c r="H12" s="125" t="str">
        <f ca="1">IF(Table1_Totals!H12&lt;&gt;0,IF(Table1_Totals!$K12&lt;&gt;0,Table1_Totals!H12*Table1_Totals!$K12/1000,"Please check CV"),"0,000")</f>
        <v>0,000</v>
      </c>
      <c r="I12" s="126"/>
      <c r="J12" s="125">
        <f ca="1">IF(Table1_Totals!J12&lt;&gt;0,IF(Table1_Totals!$K12&lt;&gt;0,Table1_Totals!J12*Table1_Totals!$K12/1000,"Please check CV"),"0,000")</f>
        <v>299.60000000000002</v>
      </c>
      <c r="K12" s="127">
        <f ca="1">Table1_Totals!K12</f>
        <v>42800</v>
      </c>
    </row>
    <row r="13" spans="1:11" s="34" customFormat="1" ht="15" customHeight="1" x14ac:dyDescent="0.25">
      <c r="A13" s="196"/>
      <c r="B13" s="10" t="s">
        <v>23</v>
      </c>
      <c r="C13" s="11" t="s">
        <v>16</v>
      </c>
      <c r="D13" s="124">
        <f t="shared" ca="1" si="0"/>
        <v>387306.636</v>
      </c>
      <c r="E13" s="125">
        <f ca="1">IF(Table1_Totals!E13&lt;&gt;0,IF(Table1_Totals!$K13&lt;&gt;0,Table1_Totals!E13*Table1_Totals!$K13/1000,"Please check CV"),"0,000")</f>
        <v>329219.96430332208</v>
      </c>
      <c r="F13" s="126"/>
      <c r="G13" s="125">
        <f ca="1">IF(Table1_Totals!G13&lt;&gt;0,IF(Table1_Totals!$K13&lt;&gt;0,Table1_Totals!G13*Table1_Totals!$K13/1000,"Please check CV"),"0,000")</f>
        <v>58086.671696677899</v>
      </c>
      <c r="H13" s="125" t="str">
        <f ca="1">IF(Table1_Totals!H13&lt;&gt;0,IF(Table1_Totals!$K13&lt;&gt;0,Table1_Totals!H13*Table1_Totals!$K13/1000,"Please check CV"),"0,000")</f>
        <v>0,000</v>
      </c>
      <c r="I13" s="126"/>
      <c r="J13" s="125" t="str">
        <f ca="1">IF(Table1_Totals!J13&lt;&gt;0,IF(Table1_Totals!$K13&lt;&gt;0,Table1_Totals!J13*Table1_Totals!$K13/1000,"Please check CV"),"0,000")</f>
        <v>0,000</v>
      </c>
      <c r="K13" s="127">
        <f ca="1">Table1_Totals!K13</f>
        <v>42972</v>
      </c>
    </row>
    <row r="14" spans="1:11" ht="24" customHeight="1" x14ac:dyDescent="0.25">
      <c r="A14" s="197" t="s">
        <v>43</v>
      </c>
      <c r="B14" s="198"/>
      <c r="C14" s="106" t="s">
        <v>16</v>
      </c>
      <c r="D14" s="120">
        <f t="shared" ca="1" si="0"/>
        <v>318079.93100000004</v>
      </c>
      <c r="E14" s="121">
        <f ca="1">Table1_Totals!E14</f>
        <v>246062.3716666667</v>
      </c>
      <c r="F14" s="122"/>
      <c r="G14" s="121">
        <f ca="1">Table1_Totals!G14</f>
        <v>64689.559333333345</v>
      </c>
      <c r="H14" s="121">
        <f ca="1">Table1_Totals!H14</f>
        <v>7328</v>
      </c>
      <c r="I14" s="122"/>
      <c r="J14" s="121">
        <f ca="1">Table1_Totals!J14</f>
        <v>0</v>
      </c>
      <c r="K14" s="122"/>
    </row>
    <row r="15" spans="1:11" s="34" customFormat="1" ht="15" customHeight="1" x14ac:dyDescent="0.25">
      <c r="A15" s="196" t="s">
        <v>18</v>
      </c>
      <c r="B15" s="10" t="s">
        <v>26</v>
      </c>
      <c r="C15" s="11" t="s">
        <v>16</v>
      </c>
      <c r="D15" s="124">
        <f t="shared" ca="1" si="0"/>
        <v>30554</v>
      </c>
      <c r="E15" s="125">
        <f ca="1">Table1_Totals!E15</f>
        <v>4002.5739999999996</v>
      </c>
      <c r="F15" s="126"/>
      <c r="G15" s="125">
        <f ca="1">Table1_Totals!G15</f>
        <v>26551.425999999999</v>
      </c>
      <c r="H15" s="125">
        <f ca="1">Table1_Totals!H15</f>
        <v>0</v>
      </c>
      <c r="I15" s="126"/>
      <c r="J15" s="125">
        <f ca="1">Table1_Totals!J15</f>
        <v>0</v>
      </c>
      <c r="K15" s="126"/>
    </row>
    <row r="16" spans="1:11" s="34" customFormat="1" ht="15" customHeight="1" x14ac:dyDescent="0.25">
      <c r="A16" s="196"/>
      <c r="B16" s="10" t="s">
        <v>27</v>
      </c>
      <c r="C16" s="11" t="s">
        <v>16</v>
      </c>
      <c r="D16" s="124">
        <f t="shared" ca="1" si="0"/>
        <v>222661.00000000003</v>
      </c>
      <c r="E16" s="125">
        <f ca="1">Table1_Totals!E16</f>
        <v>190353.32549019609</v>
      </c>
      <c r="F16" s="126"/>
      <c r="G16" s="125">
        <f ca="1">Table1_Totals!G16</f>
        <v>32307.674509803928</v>
      </c>
      <c r="H16" s="125">
        <f ca="1">Table1_Totals!H16</f>
        <v>0</v>
      </c>
      <c r="I16" s="126"/>
      <c r="J16" s="125">
        <f ca="1">Table1_Totals!J16</f>
        <v>0</v>
      </c>
      <c r="K16" s="126"/>
    </row>
    <row r="17" spans="1:11" s="34" customFormat="1" ht="15" customHeight="1" x14ac:dyDescent="0.25">
      <c r="A17" s="196"/>
      <c r="B17" s="10" t="s">
        <v>28</v>
      </c>
      <c r="C17" s="11"/>
      <c r="D17" s="124">
        <f t="shared" ref="D17" ca="1" si="1">SUM(E17:J17)</f>
        <v>11973</v>
      </c>
      <c r="E17" s="125">
        <f ca="1">Table1_Totals!E17</f>
        <v>10235.741176470588</v>
      </c>
      <c r="F17" s="126"/>
      <c r="G17" s="125">
        <f ca="1">Table1_Totals!G17</f>
        <v>1737.258823529412</v>
      </c>
      <c r="H17" s="125">
        <f ca="1">Table1_Totals!H17</f>
        <v>0</v>
      </c>
      <c r="I17" s="126"/>
      <c r="J17" s="125">
        <f ca="1">Table1_Totals!J17</f>
        <v>0</v>
      </c>
      <c r="K17" s="126"/>
    </row>
    <row r="18" spans="1:11" s="34" customFormat="1" ht="15" customHeight="1" x14ac:dyDescent="0.25">
      <c r="A18" s="196"/>
      <c r="B18" s="34" t="s">
        <v>184</v>
      </c>
      <c r="C18" s="11" t="s">
        <v>16</v>
      </c>
      <c r="D18" s="124">
        <f t="shared" ca="1" si="0"/>
        <v>44518</v>
      </c>
      <c r="E18" s="125">
        <f ca="1">Table1_Totals!E18</f>
        <v>40511.379999999997</v>
      </c>
      <c r="F18" s="126"/>
      <c r="G18" s="125">
        <f ca="1">Table1_Totals!G18</f>
        <v>4006.62</v>
      </c>
      <c r="H18" s="125">
        <f ca="1">Table1_Totals!H18</f>
        <v>0</v>
      </c>
      <c r="I18" s="126"/>
      <c r="J18" s="125">
        <f ca="1">Table1_Totals!J18</f>
        <v>0</v>
      </c>
      <c r="K18" s="126"/>
    </row>
    <row r="19" spans="1:11" ht="24" customHeight="1" x14ac:dyDescent="0.25">
      <c r="A19" s="197" t="s">
        <v>171</v>
      </c>
      <c r="B19" s="198"/>
      <c r="C19" s="106" t="s">
        <v>16</v>
      </c>
      <c r="D19" s="120">
        <f t="shared" ref="D19" ca="1" si="2">SUM(E19:J19)</f>
        <v>2313729.6171159791</v>
      </c>
      <c r="E19" s="121">
        <f ca="1">SUM(E6:E10,E14)</f>
        <v>1528161.6163893458</v>
      </c>
      <c r="F19" s="121">
        <f t="shared" ref="F19:J19" ca="1" si="3">SUM(F6:F10,F14)</f>
        <v>4454.8262548262555</v>
      </c>
      <c r="G19" s="121">
        <f t="shared" ca="1" si="3"/>
        <v>391090.4597891813</v>
      </c>
      <c r="H19" s="121">
        <f t="shared" ca="1" si="3"/>
        <v>150605.69840656369</v>
      </c>
      <c r="I19" s="121">
        <f t="shared" ca="1" si="3"/>
        <v>218583.47490347503</v>
      </c>
      <c r="J19" s="121">
        <f t="shared" ca="1" si="3"/>
        <v>20833.541372587068</v>
      </c>
      <c r="K19" s="122"/>
    </row>
    <row r="20" spans="1:11" ht="21" customHeight="1" x14ac:dyDescent="0.25">
      <c r="A20" s="35"/>
      <c r="B20" s="35"/>
      <c r="C20" s="97" t="s">
        <v>157</v>
      </c>
      <c r="D20" s="98" t="str">
        <f ca="1">IF(ABS(SUM(D6:D10,D14)-D19)&gt;0.01,"check values","")</f>
        <v/>
      </c>
      <c r="E20" s="98" t="str">
        <f t="shared" ref="E20:J20" ca="1" si="4">IF(SUM(E6:E10,E14)&lt;&gt;E19,"check values","")</f>
        <v/>
      </c>
      <c r="F20" s="98" t="str">
        <f t="shared" ca="1" si="4"/>
        <v/>
      </c>
      <c r="G20" s="98" t="str">
        <f t="shared" ca="1" si="4"/>
        <v/>
      </c>
      <c r="H20" s="98" t="str">
        <f t="shared" ca="1" si="4"/>
        <v/>
      </c>
      <c r="I20" s="98"/>
      <c r="J20" s="98" t="str">
        <f t="shared" ca="1" si="4"/>
        <v/>
      </c>
      <c r="K20" s="98"/>
    </row>
    <row r="21" spans="1:11" x14ac:dyDescent="0.25">
      <c r="D21" s="99"/>
    </row>
  </sheetData>
  <sheetProtection algorithmName="SHA-512" hashValue="oczTZzOLOZcquMEeAJHzJY/AabrlVqEFwAzmA6bnVVo8QscvGdXy3cdqJouTOF7gLKBKrqUGxTuD19G6eXAUhA==" saltValue="8cppeNeQ6IvyswcAGHz6pw==" spinCount="100000" sheet="1" objects="1" scenarios="1"/>
  <mergeCells count="14">
    <mergeCell ref="A15:A18"/>
    <mergeCell ref="A19:B19"/>
    <mergeCell ref="A7:B7"/>
    <mergeCell ref="A8:B8"/>
    <mergeCell ref="A9:B9"/>
    <mergeCell ref="A10:B10"/>
    <mergeCell ref="A11:A13"/>
    <mergeCell ref="A14:B14"/>
    <mergeCell ref="A6:B6"/>
    <mergeCell ref="A1:B1"/>
    <mergeCell ref="A2:B2"/>
    <mergeCell ref="A3:B3"/>
    <mergeCell ref="A4:B4"/>
    <mergeCell ref="A5:B5"/>
  </mergeCells>
  <conditionalFormatting sqref="E9:E10 G9:H10">
    <cfRule type="containsText" dxfId="21" priority="15" operator="containsText" text="Please check CV">
      <formula>NOT(ISERROR(SEARCH("Please check CV",E9)))</formula>
    </cfRule>
  </conditionalFormatting>
  <conditionalFormatting sqref="E9:E10 G9:H10">
    <cfRule type="containsText" dxfId="20" priority="12" operator="containsText" text="Please chack CV">
      <formula>NOT(ISERROR(SEARCH("Please chack CV",E9)))</formula>
    </cfRule>
  </conditionalFormatting>
  <conditionalFormatting sqref="J9">
    <cfRule type="containsText" dxfId="19" priority="4" operator="containsText" text="Please check CV">
      <formula>NOT(ISERROR(SEARCH("Please check CV",J9)))</formula>
    </cfRule>
  </conditionalFormatting>
  <conditionalFormatting sqref="J9">
    <cfRule type="containsText" dxfId="18" priority="3" operator="containsText" text="Please chack CV">
      <formula>NOT(ISERROR(SEARCH("Please chack CV",J9)))</formula>
    </cfRule>
  </conditionalFormatting>
  <conditionalFormatting sqref="J10">
    <cfRule type="containsText" dxfId="17" priority="2" operator="containsText" text="Please check CV">
      <formula>NOT(ISERROR(SEARCH("Please check CV",J10)))</formula>
    </cfRule>
  </conditionalFormatting>
  <conditionalFormatting sqref="J10">
    <cfRule type="containsText" dxfId="16" priority="1" operator="containsText" text="Please chack CV">
      <formula>NOT(ISERROR(SEARCH("Please chack CV",J10)))</formula>
    </cfRule>
  </conditionalFormatting>
  <printOptions horizontalCentered="1" verticalCentered="1"/>
  <pageMargins left="0.70866141732283472" right="0.70866141732283472" top="0.74803149606299213" bottom="0.74803149606299213" header="0.31496062992125984" footer="0.31496062992125984"/>
  <pageSetup paperSize="9" scale="64"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GoToCover">
                <anchor moveWithCells="1" sizeWithCells="1">
                  <from>
                    <xdr:col>0</xdr:col>
                    <xdr:colOff>28575</xdr:colOff>
                    <xdr:row>19</xdr:row>
                    <xdr:rowOff>38100</xdr:rowOff>
                  </from>
                  <to>
                    <xdr:col>1</xdr:col>
                    <xdr:colOff>1028700</xdr:colOff>
                    <xdr:row>22</xdr:row>
                    <xdr:rowOff>19050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ED19"/>
  <sheetViews>
    <sheetView showGridLines="0" topLeftCell="A4" zoomScale="90" zoomScaleNormal="90" workbookViewId="0">
      <pane xSplit="3" topLeftCell="H1" activePane="topRight" state="frozen"/>
      <selection activeCell="DS1" sqref="DS1:ED1048576"/>
      <selection pane="topRight" activeCell="L28" sqref="L28"/>
    </sheetView>
  </sheetViews>
  <sheetFormatPr defaultColWidth="9.140625" defaultRowHeight="12" x14ac:dyDescent="0.25"/>
  <cols>
    <col min="1" max="1" width="9.140625" style="33"/>
    <col min="2" max="2" width="54.7109375" style="33" customWidth="1"/>
    <col min="3" max="3" width="10.85546875" style="33" customWidth="1"/>
    <col min="4" max="4" width="15.7109375" style="34" customWidth="1"/>
    <col min="5" max="7" width="15.7109375" style="33" customWidth="1"/>
    <col min="8" max="8" width="15.7109375" style="57" customWidth="1"/>
    <col min="9" max="9" width="15.7109375" style="93" customWidth="1"/>
    <col min="10" max="10" width="15.7109375" style="94" customWidth="1"/>
    <col min="11" max="11" width="15.7109375" style="89" customWidth="1"/>
    <col min="12" max="12" width="15.7109375" style="114" customWidth="1"/>
    <col min="13" max="15" width="15.7109375" style="115" customWidth="1"/>
    <col min="16" max="122" width="9.140625" style="33"/>
    <col min="123" max="134" width="0" style="33" hidden="1" customWidth="1"/>
    <col min="135" max="16384" width="9.140625" style="33"/>
  </cols>
  <sheetData>
    <row r="1" spans="1:134" ht="24" customHeight="1" x14ac:dyDescent="0.25">
      <c r="A1" s="178" t="s">
        <v>0</v>
      </c>
      <c r="B1" s="201"/>
      <c r="C1" s="31"/>
      <c r="D1" s="1"/>
      <c r="E1" s="2"/>
      <c r="F1" s="2"/>
      <c r="G1" s="2"/>
      <c r="H1" s="2"/>
      <c r="I1" s="2"/>
      <c r="J1" s="2"/>
      <c r="K1" s="2"/>
      <c r="L1" s="2"/>
      <c r="M1" s="2"/>
      <c r="N1" s="2"/>
      <c r="O1" s="2"/>
    </row>
    <row r="2" spans="1:134" ht="18" customHeight="1" x14ac:dyDescent="0.25">
      <c r="A2" s="180"/>
      <c r="B2" s="194"/>
      <c r="C2" s="1"/>
      <c r="D2" s="1"/>
      <c r="E2" s="5"/>
      <c r="F2" s="3"/>
      <c r="G2" s="3"/>
      <c r="H2" s="3"/>
      <c r="I2" s="3"/>
      <c r="J2" s="3"/>
      <c r="K2" s="3"/>
      <c r="L2" s="3"/>
      <c r="M2" s="3"/>
      <c r="N2" s="3"/>
      <c r="O2" s="3"/>
    </row>
    <row r="3" spans="1:134" ht="18" customHeight="1" x14ac:dyDescent="0.25">
      <c r="A3" s="182" t="s">
        <v>30</v>
      </c>
      <c r="B3" s="202"/>
      <c r="C3" s="1"/>
      <c r="D3" s="1"/>
      <c r="E3" s="5"/>
      <c r="F3" s="3"/>
      <c r="G3" s="3"/>
      <c r="H3" s="3"/>
      <c r="I3" s="3"/>
      <c r="J3" s="3"/>
      <c r="K3" s="3"/>
      <c r="L3" s="3"/>
      <c r="M3" s="3"/>
      <c r="N3" s="3"/>
      <c r="O3" s="3"/>
      <c r="DS3" s="33" t="s">
        <v>229</v>
      </c>
    </row>
    <row r="4" spans="1:134" ht="18" customHeight="1" x14ac:dyDescent="0.25">
      <c r="A4" s="193"/>
      <c r="B4" s="194"/>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85" t="s">
        <v>3</v>
      </c>
      <c r="B5" s="195"/>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73" t="s">
        <v>13</v>
      </c>
      <c r="B6" s="199"/>
      <c r="C6" s="8" t="s">
        <v>14</v>
      </c>
      <c r="D6" s="154">
        <v>11336</v>
      </c>
      <c r="E6" s="155">
        <v>9152.2000000000007</v>
      </c>
      <c r="F6" s="155">
        <v>8768</v>
      </c>
      <c r="G6" s="155">
        <v>9372.9577372957719</v>
      </c>
      <c r="H6" s="155">
        <v>9117.7108317710845</v>
      </c>
      <c r="I6" s="155">
        <v>8953.724245372423</v>
      </c>
      <c r="J6" s="155">
        <v>8449.8414799999991</v>
      </c>
      <c r="K6" s="155">
        <v>8204.8014155972087</v>
      </c>
      <c r="L6" s="59">
        <v>7452.2093522093528</v>
      </c>
      <c r="M6" s="59"/>
      <c r="N6" s="59"/>
      <c r="O6" s="59"/>
      <c r="DS6" s="4" t="str">
        <f>VLOOKUP(Cover!$D$15, Country_list!$B$3:$C$44, 2, 0)</f>
        <v>DE</v>
      </c>
      <c r="DT6" s="33" t="s">
        <v>289</v>
      </c>
      <c r="DV6" s="33" t="s">
        <v>302</v>
      </c>
      <c r="EB6" s="33" t="s">
        <v>291</v>
      </c>
      <c r="ED6" s="33" t="s">
        <v>294</v>
      </c>
    </row>
    <row r="7" spans="1:134" ht="24" customHeight="1" x14ac:dyDescent="0.25">
      <c r="A7" s="176" t="s">
        <v>15</v>
      </c>
      <c r="B7" s="200"/>
      <c r="C7" s="9" t="s">
        <v>25</v>
      </c>
      <c r="D7" s="156">
        <v>177015.7368069324</v>
      </c>
      <c r="E7" s="157">
        <v>145447.095</v>
      </c>
      <c r="F7" s="157">
        <v>126227.336</v>
      </c>
      <c r="G7" s="157">
        <v>170625.12405360001</v>
      </c>
      <c r="H7" s="157">
        <v>139442.94311220001</v>
      </c>
      <c r="I7" s="157">
        <v>156121.0945684</v>
      </c>
      <c r="J7" s="157">
        <v>169982.56567279997</v>
      </c>
      <c r="K7" s="157">
        <v>169382.49899999998</v>
      </c>
      <c r="L7" s="58">
        <v>139234.01787709497</v>
      </c>
      <c r="M7" s="58"/>
      <c r="N7" s="58"/>
      <c r="O7" s="58"/>
      <c r="DT7" s="33" t="s">
        <v>290</v>
      </c>
      <c r="EB7" s="33" t="s">
        <v>291</v>
      </c>
      <c r="ED7" s="33" t="s">
        <v>295</v>
      </c>
    </row>
    <row r="8" spans="1:134" ht="24" customHeight="1" x14ac:dyDescent="0.25">
      <c r="A8" s="176" t="s">
        <v>29</v>
      </c>
      <c r="B8" s="200"/>
      <c r="C8" s="9" t="s">
        <v>17</v>
      </c>
      <c r="D8" s="156">
        <v>933909.67006310564</v>
      </c>
      <c r="E8" s="157">
        <v>721525.68500000006</v>
      </c>
      <c r="F8" s="157">
        <v>805569.70499999996</v>
      </c>
      <c r="G8" s="157">
        <v>854338.54138720001</v>
      </c>
      <c r="H8" s="157">
        <v>677057.04720080015</v>
      </c>
      <c r="I8" s="157">
        <v>744659.98158880183</v>
      </c>
      <c r="J8" s="157">
        <v>835288.47191879991</v>
      </c>
      <c r="K8" s="157">
        <v>800785.16420500015</v>
      </c>
      <c r="L8" s="58">
        <v>817021.43695234659</v>
      </c>
      <c r="M8" s="58"/>
      <c r="N8" s="58"/>
      <c r="O8" s="58"/>
      <c r="DT8" s="33" t="s">
        <v>231</v>
      </c>
      <c r="EB8" s="33" t="s">
        <v>291</v>
      </c>
      <c r="ED8" s="33" t="s">
        <v>296</v>
      </c>
    </row>
    <row r="9" spans="1:134" ht="24" customHeight="1" x14ac:dyDescent="0.25">
      <c r="A9" s="176" t="s">
        <v>156</v>
      </c>
      <c r="B9" s="200"/>
      <c r="C9" s="9" t="s">
        <v>19</v>
      </c>
      <c r="D9" s="156">
        <v>1758</v>
      </c>
      <c r="E9" s="157">
        <v>1536</v>
      </c>
      <c r="F9" s="157">
        <v>1379</v>
      </c>
      <c r="G9" s="157">
        <v>1294</v>
      </c>
      <c r="H9" s="157">
        <v>1056</v>
      </c>
      <c r="I9" s="157">
        <v>1048</v>
      </c>
      <c r="J9" s="157">
        <v>975.09069336391588</v>
      </c>
      <c r="K9" s="157">
        <v>945</v>
      </c>
      <c r="L9" s="58">
        <v>936</v>
      </c>
      <c r="M9" s="58"/>
      <c r="N9" s="58"/>
      <c r="O9" s="58"/>
      <c r="DT9" s="33" t="s">
        <v>279</v>
      </c>
      <c r="EB9" s="33" t="s">
        <v>292</v>
      </c>
      <c r="ED9" s="33" t="s">
        <v>293</v>
      </c>
    </row>
    <row r="10" spans="1:134" ht="24" customHeight="1" x14ac:dyDescent="0.25">
      <c r="A10" s="176" t="s">
        <v>20</v>
      </c>
      <c r="B10" s="200"/>
      <c r="C10" s="9" t="s">
        <v>19</v>
      </c>
      <c r="D10" s="156">
        <v>12301.160072573541</v>
      </c>
      <c r="E10" s="157">
        <v>9873.39</v>
      </c>
      <c r="F10" s="157">
        <v>10552.92</v>
      </c>
      <c r="G10" s="157">
        <v>12201.2237424</v>
      </c>
      <c r="H10" s="157">
        <v>10133.643526</v>
      </c>
      <c r="I10" s="157">
        <v>9849.2000612130742</v>
      </c>
      <c r="J10" s="157">
        <v>9663.1027890907808</v>
      </c>
      <c r="K10" s="157">
        <v>9417.2136670624386</v>
      </c>
      <c r="L10" s="58">
        <v>8379.5373134328365</v>
      </c>
      <c r="M10" s="58"/>
      <c r="N10" s="58"/>
      <c r="O10" s="58"/>
      <c r="DT10" s="136" t="s">
        <v>280</v>
      </c>
      <c r="EB10" s="33" t="s">
        <v>292</v>
      </c>
      <c r="ED10" s="33" t="s">
        <v>293</v>
      </c>
    </row>
    <row r="11" spans="1:134" s="34" customFormat="1" ht="15" customHeight="1" x14ac:dyDescent="0.25">
      <c r="A11" s="175" t="s">
        <v>18</v>
      </c>
      <c r="B11" s="107" t="s">
        <v>21</v>
      </c>
      <c r="C11" s="108" t="s">
        <v>19</v>
      </c>
      <c r="D11" s="109">
        <v>670.55195884329453</v>
      </c>
      <c r="E11" s="110">
        <v>595.22199999999998</v>
      </c>
      <c r="F11" s="110">
        <v>554.4</v>
      </c>
      <c r="G11" s="110">
        <v>697.03474319999998</v>
      </c>
      <c r="H11" s="110">
        <v>560.72769999999991</v>
      </c>
      <c r="I11" s="110">
        <v>471.20367492077736</v>
      </c>
      <c r="J11" s="110">
        <v>639.14946258830014</v>
      </c>
      <c r="K11" s="110">
        <v>472.44983279069049</v>
      </c>
      <c r="L11" s="110">
        <v>718.27034183919125</v>
      </c>
      <c r="M11" s="110"/>
      <c r="N11" s="110"/>
      <c r="O11" s="110"/>
      <c r="DT11" s="34" t="s">
        <v>281</v>
      </c>
      <c r="EB11" s="34" t="s">
        <v>292</v>
      </c>
      <c r="ED11" s="34" t="s">
        <v>293</v>
      </c>
    </row>
    <row r="12" spans="1:134" s="34" customFormat="1" ht="15" customHeight="1" x14ac:dyDescent="0.25">
      <c r="A12" s="175"/>
      <c r="B12" s="107" t="s">
        <v>22</v>
      </c>
      <c r="C12" s="108" t="s">
        <v>19</v>
      </c>
      <c r="D12" s="109"/>
      <c r="E12" s="110"/>
      <c r="F12" s="110"/>
      <c r="G12" s="110"/>
      <c r="H12" s="110"/>
      <c r="I12" s="110"/>
      <c r="J12" s="110"/>
      <c r="K12" s="110"/>
      <c r="L12" s="110"/>
      <c r="M12" s="110"/>
      <c r="N12" s="110"/>
      <c r="O12" s="110"/>
      <c r="DT12" s="34" t="s">
        <v>282</v>
      </c>
      <c r="EB12" s="34" t="s">
        <v>292</v>
      </c>
      <c r="ED12" s="34" t="s">
        <v>293</v>
      </c>
    </row>
    <row r="13" spans="1:134" s="34" customFormat="1" ht="15" customHeight="1" x14ac:dyDescent="0.25">
      <c r="A13" s="175"/>
      <c r="B13" s="107" t="s">
        <v>23</v>
      </c>
      <c r="C13" s="108" t="s">
        <v>19</v>
      </c>
      <c r="D13" s="109">
        <v>11630.608113730246</v>
      </c>
      <c r="E13" s="110">
        <v>9278.1679999999997</v>
      </c>
      <c r="F13" s="110">
        <v>9998.52</v>
      </c>
      <c r="G13" s="110">
        <v>11504.1889992</v>
      </c>
      <c r="H13" s="110">
        <v>9572.9158260000004</v>
      </c>
      <c r="I13" s="110">
        <v>9377.9963862922959</v>
      </c>
      <c r="J13" s="110">
        <v>9023.9533265024802</v>
      </c>
      <c r="K13" s="110">
        <v>8944.7638342717473</v>
      </c>
      <c r="L13" s="110">
        <v>7661.2669715936445</v>
      </c>
      <c r="M13" s="110"/>
      <c r="N13" s="110"/>
      <c r="O13" s="110"/>
      <c r="DT13" s="34" t="s">
        <v>283</v>
      </c>
      <c r="EB13" s="34" t="s">
        <v>292</v>
      </c>
      <c r="ED13" s="34" t="s">
        <v>293</v>
      </c>
    </row>
    <row r="14" spans="1:134" ht="24" customHeight="1" x14ac:dyDescent="0.25">
      <c r="A14" s="176" t="s">
        <v>24</v>
      </c>
      <c r="B14" s="200"/>
      <c r="C14" s="9" t="s">
        <v>25</v>
      </c>
      <c r="D14" s="156">
        <v>294201.17983711511</v>
      </c>
      <c r="E14" s="157">
        <v>254869.66009917358</v>
      </c>
      <c r="F14" s="157">
        <v>308811.35187083203</v>
      </c>
      <c r="G14" s="157">
        <v>320017.38682166935</v>
      </c>
      <c r="H14" s="157">
        <v>249551.44696923075</v>
      </c>
      <c r="I14" s="157">
        <v>254706.91956091917</v>
      </c>
      <c r="J14" s="157">
        <v>245830.11761038352</v>
      </c>
      <c r="K14" s="157">
        <v>253579.98059784656</v>
      </c>
      <c r="L14" s="58">
        <v>246062.3716666667</v>
      </c>
      <c r="M14" s="58"/>
      <c r="N14" s="58"/>
      <c r="O14" s="58"/>
      <c r="DT14" s="136" t="s">
        <v>284</v>
      </c>
      <c r="EB14" s="33" t="s">
        <v>291</v>
      </c>
      <c r="ED14" s="33" t="s">
        <v>295</v>
      </c>
    </row>
    <row r="15" spans="1:134" s="34" customFormat="1" ht="15" customHeight="1" x14ac:dyDescent="0.25">
      <c r="A15" s="175" t="s">
        <v>18</v>
      </c>
      <c r="B15" s="107" t="s">
        <v>26</v>
      </c>
      <c r="C15" s="108" t="s">
        <v>25</v>
      </c>
      <c r="D15" s="109">
        <v>2533.384</v>
      </c>
      <c r="E15" s="110">
        <v>3709.91</v>
      </c>
      <c r="F15" s="110">
        <v>3634.4</v>
      </c>
      <c r="G15" s="110">
        <v>3673.76</v>
      </c>
      <c r="H15" s="110">
        <v>3239.8920000000003</v>
      </c>
      <c r="I15" s="110">
        <v>3469.1420000000003</v>
      </c>
      <c r="J15" s="110">
        <v>3466.1289999999995</v>
      </c>
      <c r="K15" s="110">
        <v>3540.7989999999995</v>
      </c>
      <c r="L15" s="110">
        <v>4002.5739999999996</v>
      </c>
      <c r="M15" s="110"/>
      <c r="N15" s="110"/>
      <c r="O15" s="110"/>
      <c r="DT15" s="34" t="s">
        <v>285</v>
      </c>
      <c r="EB15" s="34" t="s">
        <v>291</v>
      </c>
      <c r="ED15" s="34" t="s">
        <v>295</v>
      </c>
    </row>
    <row r="16" spans="1:134" s="34" customFormat="1" ht="15" customHeight="1" x14ac:dyDescent="0.25">
      <c r="A16" s="175"/>
      <c r="B16" s="107" t="s">
        <v>27</v>
      </c>
      <c r="C16" s="108" t="s">
        <v>25</v>
      </c>
      <c r="D16" s="109">
        <v>266161.30255293159</v>
      </c>
      <c r="E16" s="110">
        <v>222600.91482093665</v>
      </c>
      <c r="F16" s="110">
        <v>271868.84281126579</v>
      </c>
      <c r="G16" s="110">
        <v>278865.77564372064</v>
      </c>
      <c r="H16" s="110">
        <v>206771.35141114949</v>
      </c>
      <c r="I16" s="110">
        <v>208035.93366074137</v>
      </c>
      <c r="J16" s="110">
        <v>195344.91714914478</v>
      </c>
      <c r="K16" s="110">
        <v>199800.33239777142</v>
      </c>
      <c r="L16" s="110">
        <v>190353.32549019609</v>
      </c>
      <c r="M16" s="110"/>
      <c r="N16" s="110"/>
      <c r="O16" s="110"/>
      <c r="DT16" s="34" t="s">
        <v>286</v>
      </c>
      <c r="EB16" s="34" t="s">
        <v>291</v>
      </c>
      <c r="ED16" s="34" t="s">
        <v>295</v>
      </c>
    </row>
    <row r="17" spans="1:134" s="34" customFormat="1" ht="15" customHeight="1" x14ac:dyDescent="0.25">
      <c r="A17" s="175"/>
      <c r="B17" s="107" t="s">
        <v>28</v>
      </c>
      <c r="C17" s="108" t="s">
        <v>25</v>
      </c>
      <c r="D17" s="109">
        <v>5540.6832841834284</v>
      </c>
      <c r="E17" s="110">
        <v>6232.0332782369151</v>
      </c>
      <c r="F17" s="110">
        <v>7658.5360595662032</v>
      </c>
      <c r="G17" s="110">
        <v>8662.4211779486577</v>
      </c>
      <c r="H17" s="110">
        <v>9357.5455580812813</v>
      </c>
      <c r="I17" s="110">
        <v>10094.689900177789</v>
      </c>
      <c r="J17" s="110">
        <v>11038.137461238775</v>
      </c>
      <c r="K17" s="110">
        <v>11427.138200075124</v>
      </c>
      <c r="L17" s="109">
        <v>10235.741176470588</v>
      </c>
      <c r="M17" s="109"/>
      <c r="N17" s="109"/>
      <c r="O17" s="109"/>
      <c r="DT17" s="34" t="s">
        <v>287</v>
      </c>
      <c r="EB17" s="34" t="s">
        <v>291</v>
      </c>
      <c r="ED17" s="34" t="s">
        <v>295</v>
      </c>
    </row>
    <row r="18" spans="1:134" s="34" customFormat="1" ht="15" customHeight="1" x14ac:dyDescent="0.25">
      <c r="A18" s="175"/>
      <c r="B18" s="107" t="s">
        <v>184</v>
      </c>
      <c r="C18" s="108" t="s">
        <v>25</v>
      </c>
      <c r="D18" s="109">
        <v>19254.645</v>
      </c>
      <c r="E18" s="109">
        <v>21644.032000000003</v>
      </c>
      <c r="F18" s="109">
        <v>24786.407999999999</v>
      </c>
      <c r="G18" s="109">
        <v>27896.796000000002</v>
      </c>
      <c r="H18" s="109">
        <v>29357.4</v>
      </c>
      <c r="I18" s="109">
        <v>32175.78</v>
      </c>
      <c r="J18" s="109">
        <v>34791.120000000003</v>
      </c>
      <c r="K18" s="109">
        <v>37668.54</v>
      </c>
      <c r="L18" s="109">
        <v>40511.379999999997</v>
      </c>
      <c r="M18" s="109"/>
      <c r="N18" s="109"/>
      <c r="O18" s="109"/>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tcQMUP/X9MOHSkokbGUACVRSr3f990mYZLrtp2P+3+tXd590Xb4dkSH67GdkmjmrXoQuGzy9BL2KwDcv8b7OTA==" saltValue="+Uv6/PymP11P1BXYOVKvCw==" spinCount="100000" sheet="1" objects="1" scenarios="1"/>
  <protectedRanges>
    <protectedRange sqref="D6:O18" name="Space_heating"/>
  </protectedRanges>
  <customSheetViews>
    <customSheetView guid="{B79E7212-8DD5-488D-8E68-A79B69F231E2}" scale="90" showGridLines="0" fitToPage="1" hiddenColumns="1">
      <pane xSplit="3" topLeftCell="D1" activePane="topRight" state="frozen"/>
      <selection pane="topRight" activeCell="I1" sqref="D1:I65536"/>
      <pageMargins left="0.70866141732283472" right="0.70866141732283472" top="0.74803149606299213" bottom="0.74803149606299213" header="0.31496062992125984" footer="0.31496062992125984"/>
      <printOptions horizontalCentered="1" verticalCentered="1"/>
      <pageSetup paperSize="9" scale="95" orientation="landscape" r:id="rId1"/>
    </customSheetView>
  </customSheetViews>
  <mergeCells count="13">
    <mergeCell ref="A1:B1"/>
    <mergeCell ref="A2:B2"/>
    <mergeCell ref="A3:B3"/>
    <mergeCell ref="A4:B4"/>
    <mergeCell ref="A5:B5"/>
    <mergeCell ref="A6:B6"/>
    <mergeCell ref="A11:A13"/>
    <mergeCell ref="A14:B14"/>
    <mergeCell ref="A15:A18"/>
    <mergeCell ref="A7:B7"/>
    <mergeCell ref="A8:B8"/>
    <mergeCell ref="A9:B9"/>
    <mergeCell ref="A10:B10"/>
  </mergeCells>
  <dataValidations count="1">
    <dataValidation type="decimal" operator="greaterThanOrEqual" allowBlank="1" showInputMessage="1" showErrorMessage="1" sqref="D6: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6145" r:id="rId5" name="Button 1">
              <controlPr defaultSize="0" print="0" autoFill="0" autoPict="0" macro="[0]!GoToCover">
                <anchor moveWithCells="1" sizeWithCells="1">
                  <from>
                    <xdr:col>0</xdr:col>
                    <xdr:colOff>19050</xdr:colOff>
                    <xdr:row>18</xdr:row>
                    <xdr:rowOff>28575</xdr:rowOff>
                  </from>
                  <to>
                    <xdr:col>1</xdr:col>
                    <xdr:colOff>1028700</xdr:colOff>
                    <xdr:row>21</xdr:row>
                    <xdr:rowOff>19050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ED19"/>
  <sheetViews>
    <sheetView showGridLines="0" zoomScale="90" zoomScaleNormal="90" workbookViewId="0">
      <pane xSplit="3" topLeftCell="K1" activePane="topRight" state="frozen"/>
      <selection activeCell="DS1" sqref="DS1:ED1048576"/>
      <selection pane="topRight" activeCell="M29" sqref="M29"/>
    </sheetView>
  </sheetViews>
  <sheetFormatPr defaultColWidth="9.140625" defaultRowHeight="12" x14ac:dyDescent="0.25"/>
  <cols>
    <col min="1" max="1" width="9.140625" style="33"/>
    <col min="2" max="2" width="54.7109375" style="33" customWidth="1"/>
    <col min="3" max="3" width="10.85546875" style="33" customWidth="1"/>
    <col min="4" max="4" width="15.7109375" style="34" customWidth="1"/>
    <col min="5" max="7" width="15.7109375" style="33" customWidth="1"/>
    <col min="8" max="8" width="15.7109375" style="57" customWidth="1"/>
    <col min="9" max="9" width="15.7109375" style="93" customWidth="1"/>
    <col min="10" max="10" width="15.7109375" style="94" customWidth="1"/>
    <col min="11" max="11" width="15.7109375" style="89" customWidth="1"/>
    <col min="12" max="12" width="15.7109375" style="114" customWidth="1"/>
    <col min="13" max="15" width="15.7109375" style="115" customWidth="1"/>
    <col min="16" max="122" width="9.140625" style="33"/>
    <col min="123" max="134" width="0" style="33" hidden="1" customWidth="1"/>
    <col min="135" max="16384" width="9.140625" style="33"/>
  </cols>
  <sheetData>
    <row r="1" spans="1:134" ht="24" customHeight="1" x14ac:dyDescent="0.25">
      <c r="A1" s="178" t="s">
        <v>0</v>
      </c>
      <c r="B1" s="201"/>
      <c r="C1" s="31"/>
      <c r="D1" s="1"/>
      <c r="E1" s="2"/>
      <c r="F1" s="2"/>
      <c r="G1" s="2"/>
      <c r="H1" s="2"/>
      <c r="I1" s="2"/>
      <c r="J1" s="2"/>
      <c r="K1" s="2"/>
      <c r="L1" s="2"/>
      <c r="M1" s="2"/>
      <c r="N1" s="2"/>
      <c r="O1" s="2"/>
    </row>
    <row r="2" spans="1:134" ht="18" customHeight="1" x14ac:dyDescent="0.25">
      <c r="A2" s="180"/>
      <c r="B2" s="194"/>
      <c r="C2" s="1"/>
      <c r="D2" s="1"/>
      <c r="E2" s="5"/>
      <c r="F2" s="3"/>
      <c r="G2" s="3"/>
      <c r="H2" s="3"/>
      <c r="I2" s="3"/>
      <c r="J2" s="3"/>
      <c r="K2" s="3"/>
      <c r="L2" s="3"/>
      <c r="M2" s="3"/>
      <c r="N2" s="3"/>
      <c r="O2" s="3"/>
    </row>
    <row r="3" spans="1:134" ht="18" customHeight="1" x14ac:dyDescent="0.25">
      <c r="A3" s="182" t="s">
        <v>31</v>
      </c>
      <c r="B3" s="202"/>
      <c r="C3" s="1"/>
      <c r="D3" s="1"/>
      <c r="E3" s="5"/>
      <c r="F3" s="3"/>
      <c r="G3" s="3"/>
      <c r="H3" s="3"/>
      <c r="I3" s="3"/>
      <c r="J3" s="3"/>
      <c r="K3" s="3"/>
      <c r="L3" s="3"/>
      <c r="M3" s="3"/>
      <c r="N3" s="3"/>
      <c r="O3" s="3"/>
      <c r="DS3" s="33" t="s">
        <v>229</v>
      </c>
    </row>
    <row r="4" spans="1:134" ht="18" customHeight="1" x14ac:dyDescent="0.25">
      <c r="A4" s="193"/>
      <c r="B4" s="194"/>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85" t="s">
        <v>3</v>
      </c>
      <c r="B5" s="195"/>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73" t="s">
        <v>13</v>
      </c>
      <c r="B6" s="173"/>
      <c r="C6" s="8" t="s">
        <v>14</v>
      </c>
      <c r="D6" s="154">
        <v>1241.8305841830581</v>
      </c>
      <c r="E6" s="155">
        <v>1197.1351997135198</v>
      </c>
      <c r="F6" s="155">
        <v>1200.640720064072</v>
      </c>
      <c r="G6" s="155">
        <v>1191.8769191876918</v>
      </c>
      <c r="H6" s="155">
        <v>1160.2570760257076</v>
      </c>
      <c r="I6" s="155">
        <v>1152.5343552534353</v>
      </c>
      <c r="J6" s="155">
        <v>1235.9249199999999</v>
      </c>
      <c r="K6" s="155">
        <v>1282.000221187064</v>
      </c>
      <c r="L6" s="59">
        <v>1237.4517374517377</v>
      </c>
      <c r="M6" s="59"/>
      <c r="N6" s="59"/>
      <c r="O6" s="59"/>
      <c r="DS6" s="4" t="str">
        <f>VLOOKUP(Cover!$D$15, Country_list!$B$3:$C$44, 2, 0)</f>
        <v>DE</v>
      </c>
      <c r="DT6" s="33" t="s">
        <v>289</v>
      </c>
      <c r="DV6" s="33" t="s">
        <v>303</v>
      </c>
      <c r="EB6" s="33" t="s">
        <v>291</v>
      </c>
      <c r="ED6" s="33" t="s">
        <v>294</v>
      </c>
    </row>
    <row r="7" spans="1:134" s="116" customFormat="1" ht="24" customHeight="1" x14ac:dyDescent="0.25">
      <c r="A7" s="203" t="s">
        <v>15</v>
      </c>
      <c r="B7" s="204"/>
      <c r="C7" s="129" t="s">
        <v>25</v>
      </c>
      <c r="D7" s="130"/>
      <c r="E7" s="131"/>
      <c r="F7" s="131"/>
      <c r="G7" s="131"/>
      <c r="H7" s="131"/>
      <c r="I7" s="131"/>
      <c r="J7" s="131"/>
      <c r="K7" s="131"/>
      <c r="L7" s="131"/>
      <c r="M7" s="131"/>
      <c r="N7" s="131"/>
      <c r="O7" s="131"/>
      <c r="DT7" s="116" t="s">
        <v>290</v>
      </c>
      <c r="EB7" s="116" t="s">
        <v>291</v>
      </c>
      <c r="ED7" s="116" t="s">
        <v>295</v>
      </c>
    </row>
    <row r="8" spans="1:134" s="116" customFormat="1" ht="24" customHeight="1" x14ac:dyDescent="0.25">
      <c r="A8" s="203" t="s">
        <v>29</v>
      </c>
      <c r="B8" s="204"/>
      <c r="C8" s="129" t="s">
        <v>17</v>
      </c>
      <c r="D8" s="130"/>
      <c r="E8" s="131"/>
      <c r="F8" s="131"/>
      <c r="G8" s="131"/>
      <c r="H8" s="131"/>
      <c r="I8" s="131"/>
      <c r="J8" s="131"/>
      <c r="K8" s="131"/>
      <c r="L8" s="131"/>
      <c r="M8" s="131"/>
      <c r="N8" s="131"/>
      <c r="O8" s="131"/>
      <c r="DT8" s="116" t="s">
        <v>231</v>
      </c>
      <c r="EB8" s="116" t="s">
        <v>291</v>
      </c>
      <c r="ED8" s="116" t="s">
        <v>296</v>
      </c>
    </row>
    <row r="9" spans="1:134" s="116" customFormat="1" ht="24" customHeight="1" x14ac:dyDescent="0.25">
      <c r="A9" s="203" t="s">
        <v>156</v>
      </c>
      <c r="B9" s="204"/>
      <c r="C9" s="129" t="s">
        <v>19</v>
      </c>
      <c r="D9" s="130"/>
      <c r="E9" s="131"/>
      <c r="F9" s="131"/>
      <c r="G9" s="131"/>
      <c r="H9" s="131"/>
      <c r="I9" s="131"/>
      <c r="J9" s="131"/>
      <c r="K9" s="131"/>
      <c r="L9" s="131"/>
      <c r="M9" s="131"/>
      <c r="N9" s="131"/>
      <c r="O9" s="131"/>
      <c r="DT9" s="116" t="s">
        <v>279</v>
      </c>
      <c r="EB9" s="116" t="s">
        <v>292</v>
      </c>
      <c r="ED9" s="116" t="s">
        <v>293</v>
      </c>
    </row>
    <row r="10" spans="1:134" s="116" customFormat="1" ht="24" customHeight="1" x14ac:dyDescent="0.25">
      <c r="A10" s="203" t="s">
        <v>20</v>
      </c>
      <c r="B10" s="204"/>
      <c r="C10" s="129" t="s">
        <v>19</v>
      </c>
      <c r="D10" s="130"/>
      <c r="E10" s="131"/>
      <c r="F10" s="131"/>
      <c r="G10" s="131"/>
      <c r="H10" s="131"/>
      <c r="I10" s="131"/>
      <c r="J10" s="131"/>
      <c r="K10" s="131"/>
      <c r="L10" s="131"/>
      <c r="M10" s="131"/>
      <c r="N10" s="131"/>
      <c r="O10" s="131"/>
      <c r="DT10" s="136" t="s">
        <v>280</v>
      </c>
      <c r="EB10" s="116" t="s">
        <v>292</v>
      </c>
      <c r="ED10" s="116" t="s">
        <v>293</v>
      </c>
    </row>
    <row r="11" spans="1:134" s="34" customFormat="1" ht="15" customHeight="1" x14ac:dyDescent="0.25">
      <c r="A11" s="205" t="s">
        <v>18</v>
      </c>
      <c r="B11" s="132" t="s">
        <v>21</v>
      </c>
      <c r="C11" s="133" t="s">
        <v>19</v>
      </c>
      <c r="D11" s="134"/>
      <c r="E11" s="135"/>
      <c r="F11" s="135"/>
      <c r="G11" s="135"/>
      <c r="H11" s="135"/>
      <c r="I11" s="135"/>
      <c r="J11" s="135"/>
      <c r="K11" s="135"/>
      <c r="L11" s="135"/>
      <c r="M11" s="135"/>
      <c r="N11" s="135"/>
      <c r="O11" s="135"/>
      <c r="DT11" s="34" t="s">
        <v>281</v>
      </c>
      <c r="EB11" s="34" t="s">
        <v>292</v>
      </c>
      <c r="ED11" s="34" t="s">
        <v>293</v>
      </c>
    </row>
    <row r="12" spans="1:134" s="34" customFormat="1" ht="15" customHeight="1" x14ac:dyDescent="0.25">
      <c r="A12" s="205"/>
      <c r="B12" s="132" t="s">
        <v>22</v>
      </c>
      <c r="C12" s="133" t="s">
        <v>19</v>
      </c>
      <c r="D12" s="134"/>
      <c r="E12" s="135"/>
      <c r="F12" s="135"/>
      <c r="G12" s="135"/>
      <c r="H12" s="135"/>
      <c r="I12" s="135"/>
      <c r="J12" s="135"/>
      <c r="K12" s="135"/>
      <c r="L12" s="135"/>
      <c r="M12" s="135"/>
      <c r="N12" s="135"/>
      <c r="O12" s="135"/>
      <c r="DT12" s="34" t="s">
        <v>282</v>
      </c>
      <c r="EB12" s="34" t="s">
        <v>292</v>
      </c>
      <c r="ED12" s="34" t="s">
        <v>293</v>
      </c>
    </row>
    <row r="13" spans="1:134" s="34" customFormat="1" ht="15" customHeight="1" x14ac:dyDescent="0.25">
      <c r="A13" s="205"/>
      <c r="B13" s="132" t="s">
        <v>23</v>
      </c>
      <c r="C13" s="133" t="s">
        <v>19</v>
      </c>
      <c r="D13" s="134"/>
      <c r="E13" s="135"/>
      <c r="F13" s="135"/>
      <c r="G13" s="135"/>
      <c r="H13" s="135"/>
      <c r="I13" s="135"/>
      <c r="J13" s="135"/>
      <c r="K13" s="135"/>
      <c r="L13" s="135"/>
      <c r="M13" s="135"/>
      <c r="N13" s="135"/>
      <c r="O13" s="135"/>
      <c r="DT13" s="34" t="s">
        <v>283</v>
      </c>
      <c r="EB13" s="34" t="s">
        <v>292</v>
      </c>
      <c r="ED13" s="34" t="s">
        <v>293</v>
      </c>
    </row>
    <row r="14" spans="1:134" s="116" customFormat="1" ht="24" customHeight="1" x14ac:dyDescent="0.25">
      <c r="A14" s="203" t="s">
        <v>24</v>
      </c>
      <c r="B14" s="204"/>
      <c r="C14" s="129" t="s">
        <v>25</v>
      </c>
      <c r="D14" s="130"/>
      <c r="E14" s="131"/>
      <c r="F14" s="131"/>
      <c r="G14" s="131"/>
      <c r="H14" s="131"/>
      <c r="I14" s="131"/>
      <c r="J14" s="131"/>
      <c r="K14" s="131"/>
      <c r="L14" s="131"/>
      <c r="M14" s="131"/>
      <c r="N14" s="131"/>
      <c r="O14" s="131"/>
      <c r="DT14" s="136" t="s">
        <v>284</v>
      </c>
      <c r="EB14" s="116" t="s">
        <v>291</v>
      </c>
      <c r="ED14" s="116" t="s">
        <v>295</v>
      </c>
    </row>
    <row r="15" spans="1:134" s="34" customFormat="1" ht="15" customHeight="1" x14ac:dyDescent="0.25">
      <c r="A15" s="205" t="s">
        <v>18</v>
      </c>
      <c r="B15" s="132" t="s">
        <v>26</v>
      </c>
      <c r="C15" s="133" t="s">
        <v>25</v>
      </c>
      <c r="D15" s="134"/>
      <c r="E15" s="135"/>
      <c r="F15" s="135"/>
      <c r="G15" s="135"/>
      <c r="H15" s="135"/>
      <c r="I15" s="135"/>
      <c r="J15" s="135"/>
      <c r="K15" s="135"/>
      <c r="L15" s="135"/>
      <c r="M15" s="135"/>
      <c r="N15" s="135"/>
      <c r="O15" s="135"/>
      <c r="DT15" s="34" t="s">
        <v>285</v>
      </c>
      <c r="EB15" s="34" t="s">
        <v>291</v>
      </c>
      <c r="ED15" s="34" t="s">
        <v>295</v>
      </c>
    </row>
    <row r="16" spans="1:134" s="34" customFormat="1" ht="15" customHeight="1" x14ac:dyDescent="0.25">
      <c r="A16" s="205"/>
      <c r="B16" s="132" t="s">
        <v>27</v>
      </c>
      <c r="C16" s="133" t="s">
        <v>25</v>
      </c>
      <c r="D16" s="134"/>
      <c r="E16" s="135"/>
      <c r="F16" s="135"/>
      <c r="G16" s="135"/>
      <c r="H16" s="135"/>
      <c r="I16" s="135"/>
      <c r="J16" s="135"/>
      <c r="K16" s="135"/>
      <c r="L16" s="135"/>
      <c r="M16" s="135"/>
      <c r="N16" s="135"/>
      <c r="O16" s="135"/>
      <c r="DT16" s="34" t="s">
        <v>286</v>
      </c>
      <c r="EB16" s="34" t="s">
        <v>291</v>
      </c>
      <c r="ED16" s="34" t="s">
        <v>295</v>
      </c>
    </row>
    <row r="17" spans="1:134" s="34" customFormat="1" ht="15" customHeight="1" x14ac:dyDescent="0.25">
      <c r="A17" s="205"/>
      <c r="B17" s="132" t="s">
        <v>28</v>
      </c>
      <c r="C17" s="133" t="s">
        <v>25</v>
      </c>
      <c r="D17" s="134"/>
      <c r="E17" s="134"/>
      <c r="F17" s="134"/>
      <c r="G17" s="134"/>
      <c r="H17" s="134"/>
      <c r="I17" s="134"/>
      <c r="J17" s="134"/>
      <c r="K17" s="134"/>
      <c r="L17" s="134"/>
      <c r="M17" s="134"/>
      <c r="N17" s="134"/>
      <c r="O17" s="134"/>
      <c r="DT17" s="34" t="s">
        <v>287</v>
      </c>
      <c r="EB17" s="34" t="s">
        <v>291</v>
      </c>
      <c r="ED17" s="34" t="s">
        <v>295</v>
      </c>
    </row>
    <row r="18" spans="1:134" s="34" customFormat="1" ht="15" customHeight="1" x14ac:dyDescent="0.25">
      <c r="A18" s="205"/>
      <c r="B18" s="132" t="s">
        <v>184</v>
      </c>
      <c r="C18" s="133" t="s">
        <v>25</v>
      </c>
      <c r="D18" s="134"/>
      <c r="E18" s="134"/>
      <c r="F18" s="134"/>
      <c r="G18" s="134"/>
      <c r="H18" s="134"/>
      <c r="I18" s="134"/>
      <c r="J18" s="134"/>
      <c r="K18" s="134"/>
      <c r="L18" s="134"/>
      <c r="M18" s="134"/>
      <c r="N18" s="134"/>
      <c r="O18" s="134"/>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ud8/jDY7rCMTH+00UmloidieNluI6M11/mhUBYI9HvPMf4lgJi4M6lc5C7IRvjKnkLpKu1LlMtYMd5P2Cg5Q4A==" saltValue="5q2XqkQzuNTcgw3Fotu3yg==" spinCount="100000" sheet="1" objects="1" scenarios="1"/>
  <protectedRanges>
    <protectedRange sqref="D6:O6" name="Space_cooling"/>
    <protectedRange sqref="D7:O18" name="Space_heating"/>
  </protectedRanges>
  <customSheetViews>
    <customSheetView guid="{B79E7212-8DD5-488D-8E68-A79B69F231E2}" scale="90" showGridLines="0" fitToPage="1" hiddenColumns="1">
      <pane xSplit="3" topLeftCell="D1" activePane="topRight" state="frozen"/>
      <selection pane="topRight" activeCell="D5" sqref="D5"/>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14:B14"/>
    <mergeCell ref="A15:A18"/>
    <mergeCell ref="A7:B7"/>
    <mergeCell ref="A8:B8"/>
    <mergeCell ref="A9:B9"/>
    <mergeCell ref="A10:B10"/>
    <mergeCell ref="A11:A13"/>
    <mergeCell ref="A6:B6"/>
    <mergeCell ref="A1:B1"/>
    <mergeCell ref="A2:B2"/>
    <mergeCell ref="A3:B3"/>
    <mergeCell ref="A4:B4"/>
    <mergeCell ref="A5:B5"/>
  </mergeCells>
  <dataValidations count="1">
    <dataValidation type="decimal" operator="greaterThanOrEqual" allowBlank="1" showInputMessage="1" showErrorMessage="1" sqref="D6: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7169" r:id="rId5" name="Button 1">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ED19"/>
  <sheetViews>
    <sheetView showGridLines="0" zoomScale="90" zoomScaleNormal="90" workbookViewId="0">
      <pane xSplit="3" topLeftCell="D1" activePane="topRight" state="frozen"/>
      <selection activeCell="DS1" sqref="DS1:ED1048576"/>
      <selection pane="topRight" activeCell="F17" sqref="F17"/>
    </sheetView>
  </sheetViews>
  <sheetFormatPr defaultColWidth="9.140625" defaultRowHeight="12" x14ac:dyDescent="0.25"/>
  <cols>
    <col min="1" max="1" width="9.140625" style="33"/>
    <col min="2" max="2" width="54.7109375" style="33" customWidth="1"/>
    <col min="3" max="3" width="10.7109375" style="33" customWidth="1"/>
    <col min="4" max="4" width="15.7109375" style="34" customWidth="1"/>
    <col min="5" max="7" width="15.7109375" style="33" customWidth="1"/>
    <col min="8" max="8" width="15.7109375" style="57" customWidth="1"/>
    <col min="9" max="9" width="15.7109375" style="93" customWidth="1"/>
    <col min="10" max="10" width="15.7109375" style="94" customWidth="1"/>
    <col min="11" max="11" width="15.7109375" style="89" customWidth="1"/>
    <col min="12" max="12" width="15.7109375" style="114" customWidth="1"/>
    <col min="13" max="15" width="15.7109375" style="115" customWidth="1"/>
    <col min="16" max="122" width="9.140625" style="33"/>
    <col min="123" max="134" width="0" style="33" hidden="1" customWidth="1"/>
    <col min="135" max="16384" width="9.140625" style="33"/>
  </cols>
  <sheetData>
    <row r="1" spans="1:134" ht="24" customHeight="1" x14ac:dyDescent="0.25">
      <c r="A1" s="178" t="s">
        <v>0</v>
      </c>
      <c r="B1" s="201"/>
      <c r="C1" s="31"/>
      <c r="D1" s="1"/>
      <c r="E1" s="2"/>
      <c r="F1" s="2"/>
      <c r="G1" s="2"/>
      <c r="H1" s="2"/>
      <c r="I1" s="2"/>
      <c r="J1" s="2"/>
      <c r="K1" s="2"/>
      <c r="L1" s="2"/>
      <c r="M1" s="2"/>
      <c r="N1" s="2"/>
      <c r="O1" s="2"/>
    </row>
    <row r="2" spans="1:134" ht="18" customHeight="1" x14ac:dyDescent="0.25">
      <c r="A2" s="180"/>
      <c r="B2" s="194"/>
      <c r="C2" s="1"/>
      <c r="D2" s="1"/>
      <c r="E2" s="5"/>
      <c r="F2" s="3"/>
      <c r="G2" s="3"/>
      <c r="H2" s="3"/>
      <c r="I2" s="3"/>
      <c r="J2" s="3"/>
      <c r="K2" s="3"/>
      <c r="L2" s="3"/>
      <c r="M2" s="3"/>
      <c r="N2" s="3"/>
      <c r="O2" s="3"/>
    </row>
    <row r="3" spans="1:134" ht="18" customHeight="1" x14ac:dyDescent="0.25">
      <c r="A3" s="182" t="s">
        <v>8</v>
      </c>
      <c r="B3" s="202"/>
      <c r="C3" s="1"/>
      <c r="D3" s="1"/>
      <c r="E3" s="5"/>
      <c r="F3" s="3"/>
      <c r="G3" s="3"/>
      <c r="H3" s="3"/>
      <c r="I3" s="3"/>
      <c r="J3" s="3"/>
      <c r="K3" s="3"/>
      <c r="L3" s="3"/>
      <c r="M3" s="3"/>
      <c r="N3" s="3"/>
      <c r="O3" s="3"/>
      <c r="DS3" s="33" t="s">
        <v>229</v>
      </c>
    </row>
    <row r="4" spans="1:134" ht="18" customHeight="1" x14ac:dyDescent="0.25">
      <c r="A4" s="193"/>
      <c r="B4" s="194"/>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85" t="s">
        <v>3</v>
      </c>
      <c r="B5" s="195"/>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73" t="s">
        <v>13</v>
      </c>
      <c r="B6" s="199"/>
      <c r="C6" s="8" t="s">
        <v>14</v>
      </c>
      <c r="D6" s="154">
        <v>19696.3</v>
      </c>
      <c r="E6" s="155">
        <v>19397.2</v>
      </c>
      <c r="F6" s="155">
        <v>19043</v>
      </c>
      <c r="G6" s="155">
        <v>18392.614639261457</v>
      </c>
      <c r="H6" s="155">
        <v>15171.1589571159</v>
      </c>
      <c r="I6" s="155">
        <v>15166.987636698765</v>
      </c>
      <c r="J6" s="155">
        <v>15434.7672</v>
      </c>
      <c r="K6" s="155">
        <v>15512.202676363473</v>
      </c>
      <c r="L6" s="59">
        <v>15564.392964392966</v>
      </c>
      <c r="M6" s="59"/>
      <c r="N6" s="59"/>
      <c r="O6" s="59"/>
      <c r="DS6" s="4" t="str">
        <f>VLOOKUP(Cover!$D$15, Country_list!$B$3:$C$44, 2, 0)</f>
        <v>DE</v>
      </c>
      <c r="DT6" s="33" t="s">
        <v>289</v>
      </c>
      <c r="DV6" s="33" t="s">
        <v>304</v>
      </c>
      <c r="EB6" s="33" t="s">
        <v>291</v>
      </c>
      <c r="ED6" s="33" t="s">
        <v>294</v>
      </c>
    </row>
    <row r="7" spans="1:134" ht="24" customHeight="1" x14ac:dyDescent="0.25">
      <c r="A7" s="176" t="s">
        <v>15</v>
      </c>
      <c r="B7" s="200"/>
      <c r="C7" s="9" t="s">
        <v>25</v>
      </c>
      <c r="D7" s="156">
        <v>11868.263193067593</v>
      </c>
      <c r="E7" s="157">
        <v>18899.904999999999</v>
      </c>
      <c r="F7" s="157">
        <v>15124.663999999997</v>
      </c>
      <c r="G7" s="157">
        <v>13860.8759464</v>
      </c>
      <c r="H7" s="157">
        <v>13899.056887799999</v>
      </c>
      <c r="I7" s="157">
        <v>14282.905431600002</v>
      </c>
      <c r="J7" s="157">
        <v>15061.434327200002</v>
      </c>
      <c r="K7" s="157">
        <v>16140.501</v>
      </c>
      <c r="L7" s="58">
        <v>13854.982122905029</v>
      </c>
      <c r="M7" s="58"/>
      <c r="N7" s="58"/>
      <c r="O7" s="58"/>
      <c r="DT7" s="33" t="s">
        <v>290</v>
      </c>
      <c r="EB7" s="33" t="s">
        <v>291</v>
      </c>
      <c r="ED7" s="33" t="s">
        <v>295</v>
      </c>
    </row>
    <row r="8" spans="1:134" ht="24" customHeight="1" x14ac:dyDescent="0.25">
      <c r="A8" s="176" t="s">
        <v>29</v>
      </c>
      <c r="B8" s="200"/>
      <c r="C8" s="9" t="s">
        <v>17</v>
      </c>
      <c r="D8" s="156">
        <v>175520.64925374929</v>
      </c>
      <c r="E8" s="157">
        <v>193938.75099999999</v>
      </c>
      <c r="F8" s="157">
        <v>196112.47499999998</v>
      </c>
      <c r="G8" s="157">
        <v>188264.92323759996</v>
      </c>
      <c r="H8" s="157">
        <v>170121.91657159996</v>
      </c>
      <c r="I8" s="157">
        <v>169541.62373123766</v>
      </c>
      <c r="J8" s="157">
        <v>188651.91042320002</v>
      </c>
      <c r="K8" s="157">
        <v>199945.10373499998</v>
      </c>
      <c r="L8" s="58">
        <v>214421.38684318596</v>
      </c>
      <c r="M8" s="58"/>
      <c r="N8" s="58"/>
      <c r="O8" s="58"/>
      <c r="DT8" s="33" t="s">
        <v>231</v>
      </c>
      <c r="EB8" s="33" t="s">
        <v>291</v>
      </c>
      <c r="ED8" s="33" t="s">
        <v>296</v>
      </c>
    </row>
    <row r="9" spans="1:134" ht="24" customHeight="1" x14ac:dyDescent="0.25">
      <c r="A9" s="176" t="s">
        <v>156</v>
      </c>
      <c r="B9" s="200"/>
      <c r="C9" s="9" t="s">
        <v>19</v>
      </c>
      <c r="D9" s="156">
        <v>0</v>
      </c>
      <c r="E9" s="156">
        <v>0</v>
      </c>
      <c r="F9" s="157">
        <v>0</v>
      </c>
      <c r="G9" s="157">
        <v>0</v>
      </c>
      <c r="H9" s="157">
        <v>0</v>
      </c>
      <c r="I9" s="157">
        <v>0</v>
      </c>
      <c r="J9" s="157">
        <v>0</v>
      </c>
      <c r="K9" s="157">
        <v>0</v>
      </c>
      <c r="L9" s="58">
        <v>0</v>
      </c>
      <c r="M9" s="58"/>
      <c r="N9" s="58"/>
      <c r="O9" s="58"/>
      <c r="DT9" s="33" t="s">
        <v>279</v>
      </c>
      <c r="EB9" s="33" t="s">
        <v>292</v>
      </c>
      <c r="ED9" s="33" t="s">
        <v>293</v>
      </c>
    </row>
    <row r="10" spans="1:134" ht="24" customHeight="1" x14ac:dyDescent="0.25">
      <c r="A10" s="176" t="s">
        <v>20</v>
      </c>
      <c r="B10" s="200"/>
      <c r="C10" s="9" t="s">
        <v>19</v>
      </c>
      <c r="D10" s="156">
        <v>1530.8399274264582</v>
      </c>
      <c r="E10" s="157">
        <v>2036.6100000000001</v>
      </c>
      <c r="F10" s="157">
        <v>2010.0799999999997</v>
      </c>
      <c r="G10" s="157">
        <v>1504.7762576</v>
      </c>
      <c r="H10" s="157">
        <v>1613.3564740000002</v>
      </c>
      <c r="I10" s="157">
        <v>1479.7999387869261</v>
      </c>
      <c r="J10" s="157">
        <v>1418.8972109092183</v>
      </c>
      <c r="K10" s="157">
        <v>1545.7863329375634</v>
      </c>
      <c r="L10" s="58">
        <v>1478.4626865671642</v>
      </c>
      <c r="M10" s="58"/>
      <c r="N10" s="58"/>
      <c r="O10" s="58"/>
      <c r="DT10" s="136" t="s">
        <v>280</v>
      </c>
      <c r="EB10" s="33" t="s">
        <v>292</v>
      </c>
      <c r="ED10" s="33" t="s">
        <v>293</v>
      </c>
    </row>
    <row r="11" spans="1:134" s="34" customFormat="1" ht="15" customHeight="1" x14ac:dyDescent="0.25">
      <c r="A11" s="175" t="s">
        <v>18</v>
      </c>
      <c r="B11" s="107" t="s">
        <v>21</v>
      </c>
      <c r="C11" s="108" t="s">
        <v>19</v>
      </c>
      <c r="D11" s="109">
        <v>83.448041156705443</v>
      </c>
      <c r="E11" s="110">
        <v>122.77800000000001</v>
      </c>
      <c r="F11" s="110">
        <v>105.59999999999998</v>
      </c>
      <c r="G11" s="110">
        <v>85.965256800000006</v>
      </c>
      <c r="H11" s="110">
        <v>89.272300000000016</v>
      </c>
      <c r="I11" s="110">
        <v>70.796325079222697</v>
      </c>
      <c r="J11" s="110">
        <v>93.850537411699776</v>
      </c>
      <c r="K11" s="110">
        <v>77.550167209309492</v>
      </c>
      <c r="L11" s="110">
        <v>126.72965816080885</v>
      </c>
      <c r="M11" s="110"/>
      <c r="N11" s="110"/>
      <c r="O11" s="110"/>
      <c r="DT11" s="34" t="s">
        <v>281</v>
      </c>
      <c r="EB11" s="34" t="s">
        <v>292</v>
      </c>
      <c r="ED11" s="34" t="s">
        <v>293</v>
      </c>
    </row>
    <row r="12" spans="1:134" s="34" customFormat="1" ht="15" customHeight="1" x14ac:dyDescent="0.25">
      <c r="A12" s="175"/>
      <c r="B12" s="107" t="s">
        <v>22</v>
      </c>
      <c r="C12" s="108" t="s">
        <v>19</v>
      </c>
      <c r="D12" s="109"/>
      <c r="E12" s="110"/>
      <c r="F12" s="110"/>
      <c r="G12" s="110"/>
      <c r="H12" s="110"/>
      <c r="I12" s="110"/>
      <c r="J12" s="110"/>
      <c r="K12" s="110"/>
      <c r="L12" s="110"/>
      <c r="M12" s="110"/>
      <c r="N12" s="110"/>
      <c r="O12" s="110"/>
      <c r="DT12" s="34" t="s">
        <v>282</v>
      </c>
      <c r="EB12" s="34" t="s">
        <v>292</v>
      </c>
      <c r="ED12" s="34" t="s">
        <v>293</v>
      </c>
    </row>
    <row r="13" spans="1:134" s="34" customFormat="1" ht="15" customHeight="1" x14ac:dyDescent="0.25">
      <c r="A13" s="175"/>
      <c r="B13" s="107" t="s">
        <v>23</v>
      </c>
      <c r="C13" s="108" t="s">
        <v>19</v>
      </c>
      <c r="D13" s="109">
        <v>1447.3918862697528</v>
      </c>
      <c r="E13" s="110">
        <v>1913.8320000000001</v>
      </c>
      <c r="F13" s="110">
        <v>1904.4799999999998</v>
      </c>
      <c r="G13" s="110">
        <v>1418.8110008000001</v>
      </c>
      <c r="H13" s="110">
        <v>1524.0841740000001</v>
      </c>
      <c r="I13" s="110">
        <v>1409.0036137077034</v>
      </c>
      <c r="J13" s="110">
        <v>1325.0466734975184</v>
      </c>
      <c r="K13" s="110">
        <v>1468.236165728254</v>
      </c>
      <c r="L13" s="110">
        <v>1351.7330284063553</v>
      </c>
      <c r="M13" s="110"/>
      <c r="N13" s="110"/>
      <c r="O13" s="110"/>
      <c r="DT13" s="34" t="s">
        <v>283</v>
      </c>
      <c r="EB13" s="34" t="s">
        <v>292</v>
      </c>
      <c r="ED13" s="34" t="s">
        <v>293</v>
      </c>
    </row>
    <row r="14" spans="1:134" ht="24" customHeight="1" x14ac:dyDescent="0.25">
      <c r="A14" s="176" t="s">
        <v>24</v>
      </c>
      <c r="B14" s="200"/>
      <c r="C14" s="9" t="s">
        <v>25</v>
      </c>
      <c r="D14" s="156">
        <v>29606.705162884991</v>
      </c>
      <c r="E14" s="157">
        <v>45907.293900826458</v>
      </c>
      <c r="F14" s="157">
        <v>45212.625129168009</v>
      </c>
      <c r="G14" s="157">
        <v>49595.567178330719</v>
      </c>
      <c r="H14" s="157">
        <v>62326.507030769222</v>
      </c>
      <c r="I14" s="157">
        <v>62785.034439080882</v>
      </c>
      <c r="J14" s="157">
        <v>56589.836389616459</v>
      </c>
      <c r="K14" s="157">
        <v>59275.950402153503</v>
      </c>
      <c r="L14" s="58">
        <v>64689.559333333345</v>
      </c>
      <c r="M14" s="58"/>
      <c r="N14" s="58"/>
      <c r="O14" s="58"/>
      <c r="DT14" s="136" t="s">
        <v>284</v>
      </c>
      <c r="EB14" s="33" t="s">
        <v>291</v>
      </c>
      <c r="ED14" s="33" t="s">
        <v>295</v>
      </c>
    </row>
    <row r="15" spans="1:134" s="34" customFormat="1" ht="15" customHeight="1" x14ac:dyDescent="0.25">
      <c r="A15" s="175" t="s">
        <v>18</v>
      </c>
      <c r="B15" s="107" t="s">
        <v>26</v>
      </c>
      <c r="C15" s="108" t="s">
        <v>25</v>
      </c>
      <c r="D15" s="109">
        <v>16514.616000000002</v>
      </c>
      <c r="E15" s="110">
        <v>18113.09</v>
      </c>
      <c r="F15" s="110">
        <v>19080.599999999999</v>
      </c>
      <c r="G15" s="110">
        <v>19287.240000000002</v>
      </c>
      <c r="H15" s="110">
        <v>21492.108000000004</v>
      </c>
      <c r="I15" s="110">
        <v>23012.858000000004</v>
      </c>
      <c r="J15" s="110">
        <v>22992.870999999999</v>
      </c>
      <c r="K15" s="110">
        <v>23488.201000000001</v>
      </c>
      <c r="L15" s="110">
        <v>26551.425999999999</v>
      </c>
      <c r="M15" s="110"/>
      <c r="N15" s="110"/>
      <c r="O15" s="110"/>
      <c r="DT15" s="34" t="s">
        <v>285</v>
      </c>
      <c r="EB15" s="34" t="s">
        <v>291</v>
      </c>
      <c r="ED15" s="34" t="s">
        <v>295</v>
      </c>
    </row>
    <row r="16" spans="1:134" s="34" customFormat="1" ht="15" customHeight="1" x14ac:dyDescent="0.25">
      <c r="A16" s="175"/>
      <c r="B16" s="107" t="s">
        <v>27</v>
      </c>
      <c r="C16" s="108" t="s">
        <v>25</v>
      </c>
      <c r="D16" s="109">
        <v>12120.697447068418</v>
      </c>
      <c r="E16" s="110">
        <v>25752.085179063371</v>
      </c>
      <c r="F16" s="110">
        <v>24049.157188734225</v>
      </c>
      <c r="G16" s="110">
        <v>27865.224356279377</v>
      </c>
      <c r="H16" s="110">
        <v>36005.648588850505</v>
      </c>
      <c r="I16" s="110">
        <v>34814.066339258658</v>
      </c>
      <c r="J16" s="110">
        <v>28437.082850855237</v>
      </c>
      <c r="K16" s="110">
        <v>30228.667602228626</v>
      </c>
      <c r="L16" s="110">
        <v>32307.674509803928</v>
      </c>
      <c r="M16" s="110"/>
      <c r="N16" s="110"/>
      <c r="O16" s="110"/>
      <c r="DT16" s="34" t="s">
        <v>286</v>
      </c>
      <c r="EB16" s="34" t="s">
        <v>291</v>
      </c>
      <c r="ED16" s="34" t="s">
        <v>295</v>
      </c>
    </row>
    <row r="17" spans="1:134" s="34" customFormat="1" ht="15" customHeight="1" x14ac:dyDescent="0.25">
      <c r="A17" s="175"/>
      <c r="B17" s="107" t="s">
        <v>28</v>
      </c>
      <c r="C17" s="108" t="s">
        <v>25</v>
      </c>
      <c r="D17" s="109">
        <v>252.31671581657221</v>
      </c>
      <c r="E17" s="110">
        <v>720.96672176308562</v>
      </c>
      <c r="F17" s="110">
        <v>677.46394043379757</v>
      </c>
      <c r="G17" s="110">
        <v>865.57882205134115</v>
      </c>
      <c r="H17" s="110">
        <v>1629.4544419187177</v>
      </c>
      <c r="I17" s="110">
        <v>1689.3100998222112</v>
      </c>
      <c r="J17" s="110">
        <v>1606.8625387612251</v>
      </c>
      <c r="K17" s="110">
        <v>1728.8617999248779</v>
      </c>
      <c r="L17" s="109">
        <v>1737.258823529412</v>
      </c>
      <c r="M17" s="109"/>
      <c r="N17" s="109"/>
      <c r="O17" s="109"/>
      <c r="DT17" s="34" t="s">
        <v>287</v>
      </c>
      <c r="EB17" s="34" t="s">
        <v>291</v>
      </c>
      <c r="ED17" s="34" t="s">
        <v>295</v>
      </c>
    </row>
    <row r="18" spans="1:134" s="34" customFormat="1" ht="15" customHeight="1" x14ac:dyDescent="0.25">
      <c r="A18" s="175"/>
      <c r="B18" s="107" t="s">
        <v>185</v>
      </c>
      <c r="C18" s="108" t="s">
        <v>25</v>
      </c>
      <c r="D18" s="109">
        <v>698.35500000000002</v>
      </c>
      <c r="E18" s="110">
        <v>1283.9679999999998</v>
      </c>
      <c r="F18" s="110">
        <v>1359.5920000000001</v>
      </c>
      <c r="G18" s="110">
        <v>1530.204</v>
      </c>
      <c r="H18" s="110">
        <v>3117.6</v>
      </c>
      <c r="I18" s="110">
        <v>3182.22</v>
      </c>
      <c r="J18" s="110">
        <v>3440.88</v>
      </c>
      <c r="K18" s="110">
        <v>3725.46</v>
      </c>
      <c r="L18" s="110">
        <v>4006.62</v>
      </c>
      <c r="M18" s="110"/>
      <c r="N18" s="110"/>
      <c r="O18" s="110"/>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Q07QKKPMU7fh6zwW8S++61Fo3OOo51iQ+XYeMfIQVCY7h9qtyFvQJJjVqKslaiKc6+RPp2Hf0RCzm+b5JtDXcg==" saltValue="PvqIWJ4xXTukEIc2JXABIw==" spinCount="100000" sheet="1" objects="1" scenarios="1"/>
  <protectedRanges>
    <protectedRange sqref="D6:O16 D18:O18" name="Water_heating"/>
    <protectedRange sqref="D17:O17" name="Space_heating"/>
  </protectedRanges>
  <customSheetViews>
    <customSheetView guid="{B79E7212-8DD5-488D-8E68-A79B69F231E2}" scale="90" showGridLines="0" fitToPage="1" hiddenColumns="1">
      <pane xSplit="3" topLeftCell="D1" activePane="topRight" state="frozen"/>
      <selection pane="topRight" activeCell="D6" sqref="D6:I17"/>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1:B1"/>
    <mergeCell ref="A2:B2"/>
    <mergeCell ref="A3:B3"/>
    <mergeCell ref="A4:B4"/>
    <mergeCell ref="A5:B5"/>
    <mergeCell ref="A6:B6"/>
    <mergeCell ref="A11:A13"/>
    <mergeCell ref="A14:B14"/>
    <mergeCell ref="A15:A18"/>
    <mergeCell ref="A7:B7"/>
    <mergeCell ref="A8:B8"/>
    <mergeCell ref="A9:B9"/>
    <mergeCell ref="A10:B10"/>
  </mergeCells>
  <dataValidations count="1">
    <dataValidation type="decimal" operator="greaterThanOrEqual" allowBlank="1" showInputMessage="1" showErrorMessage="1" sqref="D6: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8193" r:id="rId5" name="Button 1">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ED19"/>
  <sheetViews>
    <sheetView showGridLines="0" zoomScale="90" zoomScaleNormal="90" workbookViewId="0">
      <pane xSplit="3" topLeftCell="H1" activePane="topRight" state="frozen"/>
      <selection activeCell="DS1" sqref="DS1:ED1048576"/>
      <selection pane="topRight" activeCell="L6" sqref="L6"/>
    </sheetView>
  </sheetViews>
  <sheetFormatPr defaultColWidth="9.140625" defaultRowHeight="12" x14ac:dyDescent="0.25"/>
  <cols>
    <col min="1" max="1" width="9.140625" style="33"/>
    <col min="2" max="2" width="54.7109375" style="33" customWidth="1"/>
    <col min="3" max="3" width="10.7109375" style="33" customWidth="1"/>
    <col min="4" max="4" width="15.7109375" style="34" customWidth="1"/>
    <col min="5" max="7" width="15.7109375" style="33" customWidth="1"/>
    <col min="8" max="8" width="15.7109375" style="57" customWidth="1"/>
    <col min="9" max="9" width="15.7109375" style="93" customWidth="1"/>
    <col min="10" max="10" width="15.7109375" style="94" customWidth="1"/>
    <col min="11" max="11" width="15.7109375" style="89" customWidth="1"/>
    <col min="12" max="12" width="15.7109375" style="114" customWidth="1"/>
    <col min="13" max="15" width="15.7109375" style="115" customWidth="1"/>
    <col min="16" max="122" width="9.140625" style="33"/>
    <col min="123" max="134" width="0" style="33" hidden="1" customWidth="1"/>
    <col min="135" max="16384" width="9.140625" style="33"/>
  </cols>
  <sheetData>
    <row r="1" spans="1:134" ht="24" customHeight="1" x14ac:dyDescent="0.25">
      <c r="A1" s="178" t="s">
        <v>0</v>
      </c>
      <c r="B1" s="201"/>
      <c r="C1" s="31"/>
      <c r="D1" s="1"/>
      <c r="E1" s="2"/>
      <c r="F1" s="2"/>
      <c r="G1" s="2"/>
      <c r="H1" s="2"/>
      <c r="I1" s="2"/>
      <c r="J1" s="2"/>
      <c r="K1" s="2"/>
      <c r="L1" s="2"/>
      <c r="M1" s="2"/>
      <c r="N1" s="2"/>
      <c r="O1" s="2"/>
    </row>
    <row r="2" spans="1:134" ht="18" customHeight="1" x14ac:dyDescent="0.25">
      <c r="A2" s="180"/>
      <c r="B2" s="194"/>
      <c r="C2" s="1"/>
      <c r="D2" s="1"/>
      <c r="E2" s="5"/>
      <c r="F2" s="3"/>
      <c r="G2" s="3"/>
      <c r="H2" s="3"/>
      <c r="I2" s="3"/>
      <c r="J2" s="3"/>
      <c r="K2" s="3"/>
      <c r="L2" s="3"/>
      <c r="M2" s="3"/>
      <c r="N2" s="3"/>
      <c r="O2" s="3"/>
    </row>
    <row r="3" spans="1:134" ht="18" customHeight="1" x14ac:dyDescent="0.25">
      <c r="A3" s="182" t="s">
        <v>9</v>
      </c>
      <c r="B3" s="202"/>
      <c r="C3" s="1"/>
      <c r="D3" s="1"/>
      <c r="E3" s="5"/>
      <c r="F3" s="3"/>
      <c r="G3" s="3"/>
      <c r="H3" s="3"/>
      <c r="I3" s="3"/>
      <c r="J3" s="3"/>
      <c r="K3" s="3"/>
      <c r="L3" s="3"/>
      <c r="M3" s="3"/>
      <c r="N3" s="3"/>
      <c r="O3" s="3"/>
      <c r="DS3" s="33" t="s">
        <v>229</v>
      </c>
    </row>
    <row r="4" spans="1:134" ht="18" customHeight="1" x14ac:dyDescent="0.25">
      <c r="A4" s="193"/>
      <c r="B4" s="194"/>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85" t="s">
        <v>3</v>
      </c>
      <c r="B5" s="195"/>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73" t="s">
        <v>13</v>
      </c>
      <c r="B6" s="199"/>
      <c r="C6" s="8" t="s">
        <v>14</v>
      </c>
      <c r="D6" s="154">
        <v>38967.5</v>
      </c>
      <c r="E6" s="155">
        <v>38657.800000000003</v>
      </c>
      <c r="F6" s="155">
        <v>39045</v>
      </c>
      <c r="G6" s="155">
        <v>38452.657445265737</v>
      </c>
      <c r="H6" s="155">
        <v>37423.247902324802</v>
      </c>
      <c r="I6" s="155">
        <v>37173.814677381466</v>
      </c>
      <c r="J6" s="155">
        <v>38433.962580000007</v>
      </c>
      <c r="K6" s="155">
        <v>38460.006635611906</v>
      </c>
      <c r="L6" s="59">
        <v>38718.489918489911</v>
      </c>
      <c r="M6" s="59"/>
      <c r="N6" s="59"/>
      <c r="O6" s="59"/>
      <c r="DS6" s="4" t="str">
        <f>VLOOKUP(Cover!$D$15, Country_list!$B$3:$C$44, 2, 0)</f>
        <v>DE</v>
      </c>
      <c r="DT6" s="33" t="s">
        <v>289</v>
      </c>
      <c r="DV6" s="33" t="s">
        <v>305</v>
      </c>
      <c r="EB6" s="33" t="s">
        <v>291</v>
      </c>
      <c r="ED6" s="33" t="s">
        <v>294</v>
      </c>
    </row>
    <row r="7" spans="1:134" ht="24" customHeight="1" x14ac:dyDescent="0.25">
      <c r="A7" s="176" t="s">
        <v>15</v>
      </c>
      <c r="B7" s="200"/>
      <c r="C7" s="9" t="s">
        <v>25</v>
      </c>
      <c r="D7" s="156"/>
      <c r="E7" s="157"/>
      <c r="F7" s="157"/>
      <c r="G7" s="157"/>
      <c r="H7" s="157"/>
      <c r="I7" s="157"/>
      <c r="J7" s="157"/>
      <c r="K7" s="157"/>
      <c r="L7" s="58"/>
      <c r="M7" s="58"/>
      <c r="N7" s="58"/>
      <c r="O7" s="58"/>
      <c r="DT7" s="33" t="s">
        <v>290</v>
      </c>
      <c r="EB7" s="33" t="s">
        <v>291</v>
      </c>
      <c r="ED7" s="33" t="s">
        <v>295</v>
      </c>
    </row>
    <row r="8" spans="1:134" ht="24" customHeight="1" x14ac:dyDescent="0.25">
      <c r="A8" s="176" t="s">
        <v>29</v>
      </c>
      <c r="B8" s="200"/>
      <c r="C8" s="9" t="s">
        <v>17</v>
      </c>
      <c r="D8" s="156">
        <v>2709.6806831450772</v>
      </c>
      <c r="E8" s="157">
        <v>3676.5640000000003</v>
      </c>
      <c r="F8" s="157">
        <v>4022.8199999999993</v>
      </c>
      <c r="G8" s="157">
        <v>4524.5353751999992</v>
      </c>
      <c r="H8" s="157">
        <v>4049.0362275999996</v>
      </c>
      <c r="I8" s="157">
        <v>4049.394679960531</v>
      </c>
      <c r="J8" s="157">
        <v>3801.6176580000001</v>
      </c>
      <c r="K8" s="157">
        <v>4018.9970599999997</v>
      </c>
      <c r="L8" s="58">
        <v>4323.4830000000002</v>
      </c>
      <c r="M8" s="58"/>
      <c r="N8" s="58"/>
      <c r="O8" s="58"/>
      <c r="DT8" s="33" t="s">
        <v>231</v>
      </c>
      <c r="EB8" s="33" t="s">
        <v>291</v>
      </c>
      <c r="ED8" s="33" t="s">
        <v>296</v>
      </c>
    </row>
    <row r="9" spans="1:134" ht="24" customHeight="1" x14ac:dyDescent="0.25">
      <c r="A9" s="176" t="s">
        <v>156</v>
      </c>
      <c r="B9" s="200"/>
      <c r="C9" s="9" t="s">
        <v>19</v>
      </c>
      <c r="D9" s="156"/>
      <c r="E9" s="157"/>
      <c r="F9" s="157"/>
      <c r="G9" s="157"/>
      <c r="H9" s="157"/>
      <c r="I9" s="157"/>
      <c r="J9" s="157"/>
      <c r="K9" s="157"/>
      <c r="L9" s="58"/>
      <c r="M9" s="58"/>
      <c r="N9" s="58"/>
      <c r="O9" s="58"/>
      <c r="DT9" s="33" t="s">
        <v>279</v>
      </c>
      <c r="EB9" s="33" t="s">
        <v>292</v>
      </c>
      <c r="ED9" s="33" t="s">
        <v>293</v>
      </c>
    </row>
    <row r="10" spans="1:134" ht="24" customHeight="1" x14ac:dyDescent="0.25">
      <c r="A10" s="176" t="s">
        <v>20</v>
      </c>
      <c r="B10" s="200"/>
      <c r="C10" s="9" t="s">
        <v>19</v>
      </c>
      <c r="D10" s="156"/>
      <c r="E10" s="157"/>
      <c r="F10" s="157"/>
      <c r="G10" s="157"/>
      <c r="H10" s="157"/>
      <c r="I10" s="157"/>
      <c r="J10" s="157"/>
      <c r="K10" s="157"/>
      <c r="L10" s="58"/>
      <c r="M10" s="58"/>
      <c r="N10" s="58"/>
      <c r="O10" s="58"/>
      <c r="DT10" s="136" t="s">
        <v>280</v>
      </c>
      <c r="EB10" s="33" t="s">
        <v>292</v>
      </c>
      <c r="ED10" s="33" t="s">
        <v>293</v>
      </c>
    </row>
    <row r="11" spans="1:134" s="34" customFormat="1" ht="15" customHeight="1" x14ac:dyDescent="0.25">
      <c r="A11" s="175" t="s">
        <v>18</v>
      </c>
      <c r="B11" s="107" t="s">
        <v>21</v>
      </c>
      <c r="C11" s="108" t="s">
        <v>19</v>
      </c>
      <c r="D11" s="109"/>
      <c r="E11" s="110"/>
      <c r="F11" s="110"/>
      <c r="G11" s="110"/>
      <c r="H11" s="110"/>
      <c r="I11" s="110"/>
      <c r="J11" s="110"/>
      <c r="K11" s="110"/>
      <c r="L11" s="110"/>
      <c r="M11" s="110"/>
      <c r="N11" s="110"/>
      <c r="O11" s="110"/>
      <c r="DT11" s="34" t="s">
        <v>281</v>
      </c>
      <c r="EB11" s="34" t="s">
        <v>292</v>
      </c>
      <c r="ED11" s="34" t="s">
        <v>293</v>
      </c>
    </row>
    <row r="12" spans="1:134" s="34" customFormat="1" ht="15" customHeight="1" x14ac:dyDescent="0.25">
      <c r="A12" s="175"/>
      <c r="B12" s="107" t="s">
        <v>22</v>
      </c>
      <c r="C12" s="108" t="s">
        <v>19</v>
      </c>
      <c r="D12" s="109"/>
      <c r="E12" s="110"/>
      <c r="F12" s="110"/>
      <c r="G12" s="110"/>
      <c r="H12" s="110"/>
      <c r="I12" s="110"/>
      <c r="J12" s="110"/>
      <c r="K12" s="110"/>
      <c r="L12" s="110"/>
      <c r="M12" s="110"/>
      <c r="N12" s="110"/>
      <c r="O12" s="110"/>
      <c r="DT12" s="34" t="s">
        <v>282</v>
      </c>
      <c r="EB12" s="34" t="s">
        <v>292</v>
      </c>
      <c r="ED12" s="34" t="s">
        <v>293</v>
      </c>
    </row>
    <row r="13" spans="1:134" s="34" customFormat="1" ht="15" customHeight="1" x14ac:dyDescent="0.25">
      <c r="A13" s="175"/>
      <c r="B13" s="107" t="s">
        <v>23</v>
      </c>
      <c r="C13" s="108" t="s">
        <v>19</v>
      </c>
      <c r="D13" s="109"/>
      <c r="E13" s="110"/>
      <c r="F13" s="110"/>
      <c r="G13" s="110"/>
      <c r="H13" s="110"/>
      <c r="I13" s="110"/>
      <c r="J13" s="110"/>
      <c r="K13" s="110"/>
      <c r="L13" s="110"/>
      <c r="M13" s="110"/>
      <c r="N13" s="110"/>
      <c r="O13" s="110"/>
      <c r="DT13" s="34" t="s">
        <v>283</v>
      </c>
      <c r="EB13" s="34" t="s">
        <v>292</v>
      </c>
      <c r="ED13" s="34" t="s">
        <v>293</v>
      </c>
    </row>
    <row r="14" spans="1:134" ht="24" customHeight="1" x14ac:dyDescent="0.25">
      <c r="A14" s="176" t="s">
        <v>24</v>
      </c>
      <c r="B14" s="200"/>
      <c r="C14" s="9" t="s">
        <v>25</v>
      </c>
      <c r="D14" s="156">
        <v>7200</v>
      </c>
      <c r="E14" s="157">
        <v>7328</v>
      </c>
      <c r="F14" s="157">
        <v>7808</v>
      </c>
      <c r="G14" s="157">
        <v>7520</v>
      </c>
      <c r="H14" s="157">
        <v>7360</v>
      </c>
      <c r="I14" s="157">
        <v>7488</v>
      </c>
      <c r="J14" s="157">
        <v>6624</v>
      </c>
      <c r="K14" s="157">
        <v>7008</v>
      </c>
      <c r="L14" s="58">
        <v>7328</v>
      </c>
      <c r="M14" s="58"/>
      <c r="N14" s="58"/>
      <c r="O14" s="58"/>
      <c r="DT14" s="136" t="s">
        <v>284</v>
      </c>
      <c r="EB14" s="33" t="s">
        <v>291</v>
      </c>
      <c r="ED14" s="33" t="s">
        <v>295</v>
      </c>
    </row>
    <row r="15" spans="1:134" s="34" customFormat="1" ht="15" customHeight="1" x14ac:dyDescent="0.25">
      <c r="A15" s="206" t="s">
        <v>18</v>
      </c>
      <c r="B15" s="107" t="s">
        <v>26</v>
      </c>
      <c r="C15" s="108" t="s">
        <v>25</v>
      </c>
      <c r="D15" s="109"/>
      <c r="E15" s="110"/>
      <c r="F15" s="110"/>
      <c r="G15" s="110"/>
      <c r="H15" s="110"/>
      <c r="I15" s="110"/>
      <c r="J15" s="110"/>
      <c r="K15" s="110"/>
      <c r="L15" s="110"/>
      <c r="M15" s="110"/>
      <c r="N15" s="110"/>
      <c r="O15" s="110"/>
      <c r="DT15" s="34" t="s">
        <v>285</v>
      </c>
      <c r="EB15" s="34" t="s">
        <v>291</v>
      </c>
      <c r="ED15" s="34" t="s">
        <v>295</v>
      </c>
    </row>
    <row r="16" spans="1:134" s="34" customFormat="1" ht="15" customHeight="1" x14ac:dyDescent="0.25">
      <c r="A16" s="207"/>
      <c r="B16" s="107" t="s">
        <v>27</v>
      </c>
      <c r="C16" s="108" t="s">
        <v>25</v>
      </c>
      <c r="D16" s="109"/>
      <c r="E16" s="110"/>
      <c r="F16" s="110"/>
      <c r="G16" s="110"/>
      <c r="H16" s="110"/>
      <c r="I16" s="110"/>
      <c r="J16" s="110"/>
      <c r="K16" s="110"/>
      <c r="L16" s="110"/>
      <c r="M16" s="110"/>
      <c r="N16" s="110"/>
      <c r="O16" s="110"/>
      <c r="DT16" s="34" t="s">
        <v>286</v>
      </c>
      <c r="EB16" s="34" t="s">
        <v>291</v>
      </c>
      <c r="ED16" s="34" t="s">
        <v>295</v>
      </c>
    </row>
    <row r="17" spans="1:134" s="34" customFormat="1" ht="15" customHeight="1" x14ac:dyDescent="0.25">
      <c r="A17" s="207"/>
      <c r="B17" s="107" t="s">
        <v>28</v>
      </c>
      <c r="C17" s="108" t="s">
        <v>25</v>
      </c>
      <c r="D17" s="109"/>
      <c r="E17" s="110"/>
      <c r="F17" s="110"/>
      <c r="G17" s="110"/>
      <c r="H17" s="110"/>
      <c r="I17" s="110"/>
      <c r="J17" s="110"/>
      <c r="K17" s="110"/>
      <c r="L17" s="110"/>
      <c r="M17" s="110"/>
      <c r="N17" s="110"/>
      <c r="O17" s="110"/>
      <c r="DT17" s="34" t="s">
        <v>287</v>
      </c>
      <c r="EB17" s="34" t="s">
        <v>291</v>
      </c>
      <c r="ED17" s="34" t="s">
        <v>295</v>
      </c>
    </row>
    <row r="18" spans="1:134" s="34" customFormat="1" ht="15" customHeight="1" x14ac:dyDescent="0.25">
      <c r="A18" s="208"/>
      <c r="B18" s="107" t="s">
        <v>185</v>
      </c>
      <c r="C18" s="108" t="s">
        <v>25</v>
      </c>
      <c r="D18" s="109"/>
      <c r="E18" s="110"/>
      <c r="F18" s="110"/>
      <c r="G18" s="110"/>
      <c r="H18" s="110"/>
      <c r="I18" s="110"/>
      <c r="J18" s="110"/>
      <c r="K18" s="110"/>
      <c r="L18" s="110"/>
      <c r="M18" s="110"/>
      <c r="N18" s="110"/>
      <c r="O18" s="110"/>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tHwgVM2bZhA1iI+nBe/nQ1Vn1wNwUjMv5auHHpx5mcASFgw+STEWelHF+uT1RY+1n+FxkaTzjY3zuyUesiCRyQ==" saltValue="X9cLGKrZaY0HCAhHYciQSQ==" spinCount="100000" sheet="1" objects="1" scenarios="1"/>
  <protectedRanges>
    <protectedRange sqref="D6:O17" name="Cooking"/>
    <protectedRange sqref="D18:O18" name="Water_heating"/>
  </protectedRanges>
  <customSheetViews>
    <customSheetView guid="{B79E7212-8DD5-488D-8E68-A79B69F231E2}" scale="90" showGridLines="0" fitToPage="1" hiddenColumns="1">
      <pane xSplit="3" topLeftCell="D1" activePane="topRight" state="frozen"/>
      <selection pane="topRight" activeCell="D6" sqref="D6"/>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15:A18"/>
    <mergeCell ref="A1:B1"/>
    <mergeCell ref="A2:B2"/>
    <mergeCell ref="A3:B3"/>
    <mergeCell ref="A4:B4"/>
    <mergeCell ref="A5:B5"/>
    <mergeCell ref="A6:B6"/>
    <mergeCell ref="A11:A13"/>
    <mergeCell ref="A14:B14"/>
    <mergeCell ref="A7:B7"/>
    <mergeCell ref="A8:B8"/>
    <mergeCell ref="A9:B9"/>
    <mergeCell ref="A10:B10"/>
  </mergeCells>
  <dataValidations count="1">
    <dataValidation type="decimal" operator="greaterThanOrEqual" allowBlank="1" showInputMessage="1" showErrorMessage="1" sqref="A3:B3 D6: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9220" r:id="rId5" name="Button 4">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ED18"/>
  <sheetViews>
    <sheetView showGridLines="0" zoomScale="90" zoomScaleNormal="90" workbookViewId="0">
      <pane xSplit="3" topLeftCell="G1" activePane="topRight" state="frozen"/>
      <selection activeCell="DS1" sqref="DS1:ED1048576"/>
      <selection pane="topRight" activeCell="L6" sqref="L6"/>
    </sheetView>
  </sheetViews>
  <sheetFormatPr defaultColWidth="9.140625" defaultRowHeight="12" x14ac:dyDescent="0.25"/>
  <cols>
    <col min="1" max="1" width="9.140625" style="33"/>
    <col min="2" max="2" width="54.7109375" style="33" customWidth="1"/>
    <col min="3" max="3" width="10.85546875" style="33" customWidth="1"/>
    <col min="4" max="4" width="15.7109375" style="34" customWidth="1"/>
    <col min="5" max="7" width="15.7109375" style="33" customWidth="1"/>
    <col min="8" max="8" width="15.7109375" style="57" customWidth="1"/>
    <col min="9" max="9" width="15.7109375" style="93" customWidth="1"/>
    <col min="10" max="10" width="15.7109375" style="94" customWidth="1"/>
    <col min="11" max="11" width="15.7109375" style="89" customWidth="1"/>
    <col min="12" max="12" width="15.7109375" style="114" customWidth="1"/>
    <col min="13" max="15" width="15.7109375" style="115" customWidth="1"/>
    <col min="16" max="122" width="9.140625" style="33"/>
    <col min="123" max="134" width="0" style="33" hidden="1" customWidth="1"/>
    <col min="135" max="16384" width="9.140625" style="33"/>
  </cols>
  <sheetData>
    <row r="1" spans="1:134" ht="24" customHeight="1" x14ac:dyDescent="0.25">
      <c r="A1" s="178" t="s">
        <v>0</v>
      </c>
      <c r="B1" s="201"/>
      <c r="C1" s="31"/>
      <c r="D1" s="1"/>
      <c r="E1" s="2"/>
      <c r="F1" s="2"/>
      <c r="G1" s="2"/>
      <c r="H1" s="2"/>
      <c r="I1" s="2"/>
      <c r="J1" s="2"/>
      <c r="K1" s="2"/>
      <c r="L1" s="2"/>
      <c r="M1" s="2"/>
      <c r="N1" s="2"/>
      <c r="O1" s="2"/>
    </row>
    <row r="2" spans="1:134" ht="18" customHeight="1" x14ac:dyDescent="0.25">
      <c r="A2" s="180"/>
      <c r="B2" s="194"/>
      <c r="C2" s="1"/>
      <c r="D2" s="1"/>
      <c r="E2" s="5"/>
      <c r="F2" s="3"/>
      <c r="G2" s="3"/>
      <c r="H2" s="3"/>
      <c r="I2" s="3"/>
      <c r="J2" s="3"/>
      <c r="K2" s="3"/>
      <c r="L2" s="3"/>
      <c r="M2" s="3"/>
      <c r="N2" s="3"/>
      <c r="O2" s="3"/>
    </row>
    <row r="3" spans="1:134" ht="18" customHeight="1" x14ac:dyDescent="0.25">
      <c r="A3" s="182" t="s">
        <v>10</v>
      </c>
      <c r="B3" s="202"/>
      <c r="C3" s="1"/>
      <c r="D3" s="1"/>
      <c r="E3" s="5"/>
      <c r="F3" s="3"/>
      <c r="G3" s="3"/>
      <c r="H3" s="3"/>
      <c r="I3" s="3"/>
      <c r="J3" s="3"/>
      <c r="K3" s="3"/>
      <c r="L3" s="3"/>
      <c r="M3" s="3"/>
      <c r="N3" s="3"/>
      <c r="O3" s="3"/>
      <c r="DS3" s="33" t="s">
        <v>229</v>
      </c>
    </row>
    <row r="4" spans="1:134" ht="18" customHeight="1" x14ac:dyDescent="0.25">
      <c r="A4" s="193"/>
      <c r="B4" s="194"/>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thickBot="1" x14ac:dyDescent="0.3">
      <c r="A5" s="185" t="s">
        <v>3</v>
      </c>
      <c r="B5" s="195"/>
      <c r="C5" s="6" t="s">
        <v>4</v>
      </c>
      <c r="D5" s="6">
        <v>2010</v>
      </c>
      <c r="E5" s="6">
        <v>2011</v>
      </c>
      <c r="F5" s="6">
        <v>2012</v>
      </c>
      <c r="G5" s="6">
        <v>2013</v>
      </c>
      <c r="H5" s="6">
        <v>2014</v>
      </c>
      <c r="I5" s="6">
        <v>2015</v>
      </c>
      <c r="J5" s="6">
        <v>2016</v>
      </c>
      <c r="K5" s="6">
        <v>2017</v>
      </c>
      <c r="L5" s="6">
        <v>2018</v>
      </c>
      <c r="M5" s="6">
        <v>2019</v>
      </c>
      <c r="N5" s="6">
        <v>2020</v>
      </c>
      <c r="O5" s="6">
        <v>2021</v>
      </c>
    </row>
    <row r="6" spans="1:134" ht="24" customHeight="1" thickBot="1" x14ac:dyDescent="0.25">
      <c r="A6" s="209" t="s">
        <v>13</v>
      </c>
      <c r="B6" s="210"/>
      <c r="C6" s="32" t="s">
        <v>14</v>
      </c>
      <c r="D6" s="158">
        <v>66207.369415816924</v>
      </c>
      <c r="E6" s="159">
        <v>64780.664800286468</v>
      </c>
      <c r="F6" s="159">
        <v>65518.35927993591</v>
      </c>
      <c r="G6" s="159">
        <v>63840.024784002489</v>
      </c>
      <c r="H6" s="159">
        <v>62103.743010374281</v>
      </c>
      <c r="I6" s="159">
        <v>61659.88015598803</v>
      </c>
      <c r="J6" s="159">
        <v>60169.23416</v>
      </c>
      <c r="K6" s="159">
        <v>60253.988277085627</v>
      </c>
      <c r="L6" s="60">
        <v>60717.631917631952</v>
      </c>
      <c r="M6" s="60"/>
      <c r="N6" s="60"/>
      <c r="O6" s="60"/>
      <c r="DS6" s="4" t="str">
        <f>VLOOKUP(Cover!$D$15, Country_list!$B$3:$C$44, 2, 0)</f>
        <v>DE</v>
      </c>
      <c r="DT6" s="33" t="s">
        <v>289</v>
      </c>
      <c r="DV6" s="152" t="s">
        <v>306</v>
      </c>
      <c r="EB6" s="33" t="s">
        <v>291</v>
      </c>
      <c r="ED6" s="33" t="s">
        <v>294</v>
      </c>
    </row>
    <row r="7" spans="1:134" ht="21" customHeight="1" x14ac:dyDescent="0.25"/>
    <row r="10" spans="1:134" x14ac:dyDescent="0.25">
      <c r="DT10" s="136"/>
    </row>
    <row r="14" spans="1:134" x14ac:dyDescent="0.25">
      <c r="DT14" s="136"/>
    </row>
    <row r="18" spans="124:124" x14ac:dyDescent="0.25">
      <c r="DT18" s="136"/>
    </row>
  </sheetData>
  <sheetProtection algorithmName="SHA-512" hashValue="+mAlEyPDoA33mdYuVRoER0qF3rsVXw0/oWlUisYAoR/1f+6ivrUz6IcInI+VlcgfG8k0VPtkC8rj0hD8dIxVuA==" saltValue="/i3ktKKYRJW+gjof+sPV8g==" spinCount="100000" sheet="1" objects="1" scenarios="1"/>
  <protectedRanges>
    <protectedRange sqref="D6:O6" name="Lighting_and_appliances"/>
  </protectedRanges>
  <customSheetViews>
    <customSheetView guid="{B79E7212-8DD5-488D-8E68-A79B69F231E2}" scale="90" showGridLines="0" fitToPage="1" hiddenColumns="1">
      <pane xSplit="3" topLeftCell="D1" activePane="topRight" state="frozen"/>
      <selection pane="topRight" activeCell="D6" sqref="D6:I6"/>
      <pageMargins left="0.70866141732283472" right="0.70866141732283472" top="0.74803149606299213" bottom="0.74803149606299213" header="0.31496062992125984" footer="0.31496062992125984"/>
      <printOptions horizontalCentered="1" verticalCentered="1"/>
      <pageSetup paperSize="9" scale="69" orientation="landscape" r:id="rId1"/>
    </customSheetView>
  </customSheetViews>
  <mergeCells count="6">
    <mergeCell ref="A6:B6"/>
    <mergeCell ref="A1:B1"/>
    <mergeCell ref="A2:B2"/>
    <mergeCell ref="A3:B3"/>
    <mergeCell ref="A4:B4"/>
    <mergeCell ref="A5:B5"/>
  </mergeCells>
  <dataValidations count="1">
    <dataValidation type="decimal" operator="greaterThanOrEqual" allowBlank="1" showInputMessage="1" showErrorMessage="1" sqref="D6:O6">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macro="[0]!GoToCover">
                <anchor moveWithCells="1" sizeWithCells="1">
                  <from>
                    <xdr:col>0</xdr:col>
                    <xdr:colOff>9525</xdr:colOff>
                    <xdr:row>6</xdr:row>
                    <xdr:rowOff>9525</xdr:rowOff>
                  </from>
                  <to>
                    <xdr:col>1</xdr:col>
                    <xdr:colOff>1019175</xdr:colOff>
                    <xdr:row>9</xdr:row>
                    <xdr:rowOff>9525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A1:ED19"/>
  <sheetViews>
    <sheetView showGridLines="0" zoomScale="90" zoomScaleNormal="90" workbookViewId="0">
      <pane xSplit="3" topLeftCell="H1" activePane="topRight" state="frozen"/>
      <selection activeCell="DS1" sqref="DS1:ED1048576"/>
      <selection pane="topRight" activeCell="L6" sqref="L6"/>
    </sheetView>
  </sheetViews>
  <sheetFormatPr defaultColWidth="9.140625" defaultRowHeight="12" x14ac:dyDescent="0.25"/>
  <cols>
    <col min="1" max="1" width="9.140625" style="33"/>
    <col min="2" max="2" width="54.7109375" style="33" customWidth="1"/>
    <col min="3" max="3" width="10.7109375" style="33" customWidth="1"/>
    <col min="4" max="4" width="15.7109375" style="34" customWidth="1"/>
    <col min="5" max="7" width="15.7109375" style="33" customWidth="1"/>
    <col min="8" max="8" width="15.7109375" style="57" customWidth="1"/>
    <col min="9" max="9" width="15.7109375" style="93" customWidth="1"/>
    <col min="10" max="10" width="15.7109375" style="94" customWidth="1"/>
    <col min="11" max="11" width="15.7109375" style="89" customWidth="1"/>
    <col min="12" max="12" width="15.7109375" style="114" customWidth="1"/>
    <col min="13" max="15" width="15.7109375" style="115" customWidth="1"/>
    <col min="16" max="122" width="9.140625" style="33"/>
    <col min="123" max="134" width="0" style="33" hidden="1" customWidth="1"/>
    <col min="135" max="16384" width="9.140625" style="33"/>
  </cols>
  <sheetData>
    <row r="1" spans="1:134" ht="24" customHeight="1" x14ac:dyDescent="0.25">
      <c r="A1" s="178" t="s">
        <v>0</v>
      </c>
      <c r="B1" s="201"/>
      <c r="C1" s="31"/>
      <c r="D1" s="1"/>
      <c r="E1" s="2"/>
      <c r="F1" s="2"/>
      <c r="G1" s="2"/>
      <c r="H1" s="2"/>
      <c r="I1" s="2"/>
      <c r="J1" s="2"/>
      <c r="K1" s="2"/>
      <c r="L1" s="2"/>
      <c r="M1" s="2"/>
      <c r="N1" s="2"/>
      <c r="O1" s="2"/>
    </row>
    <row r="2" spans="1:134" ht="18" customHeight="1" x14ac:dyDescent="0.25">
      <c r="A2" s="180"/>
      <c r="B2" s="194"/>
      <c r="C2" s="1"/>
      <c r="D2" s="1"/>
      <c r="E2" s="5"/>
      <c r="F2" s="3"/>
      <c r="G2" s="3"/>
      <c r="H2" s="3"/>
      <c r="I2" s="3"/>
      <c r="J2" s="3"/>
      <c r="K2" s="3"/>
      <c r="L2" s="3"/>
      <c r="M2" s="3"/>
      <c r="N2" s="3"/>
      <c r="O2" s="3"/>
    </row>
    <row r="3" spans="1:134" ht="18" customHeight="1" x14ac:dyDescent="0.25">
      <c r="A3" s="182" t="s">
        <v>11</v>
      </c>
      <c r="B3" s="202"/>
      <c r="C3" s="1"/>
      <c r="D3" s="1"/>
      <c r="E3" s="5"/>
      <c r="F3" s="3"/>
      <c r="G3" s="3"/>
      <c r="H3" s="3"/>
      <c r="I3" s="3"/>
      <c r="J3" s="3"/>
      <c r="K3" s="3"/>
      <c r="L3" s="3"/>
      <c r="M3" s="3"/>
      <c r="N3" s="3"/>
      <c r="O3" s="3"/>
      <c r="DS3" s="33" t="s">
        <v>229</v>
      </c>
    </row>
    <row r="4" spans="1:134" ht="18" customHeight="1" x14ac:dyDescent="0.25">
      <c r="A4" s="193"/>
      <c r="B4" s="194"/>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85" t="s">
        <v>3</v>
      </c>
      <c r="B5" s="195"/>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73" t="s">
        <v>13</v>
      </c>
      <c r="B6" s="211"/>
      <c r="C6" s="8" t="s">
        <v>14</v>
      </c>
      <c r="D6" s="154">
        <v>4251</v>
      </c>
      <c r="E6" s="155">
        <v>3415</v>
      </c>
      <c r="F6" s="155">
        <v>3425</v>
      </c>
      <c r="G6" s="155">
        <v>4749.8684749868453</v>
      </c>
      <c r="H6" s="155">
        <v>4623.8822223882216</v>
      </c>
      <c r="I6" s="155">
        <v>4593.0589293058911</v>
      </c>
      <c r="J6" s="155">
        <v>4476.2696599999999</v>
      </c>
      <c r="K6" s="155">
        <v>4487.0007741547233</v>
      </c>
      <c r="L6" s="59">
        <v>4509.8241098241097</v>
      </c>
      <c r="M6" s="59"/>
      <c r="N6" s="59"/>
      <c r="O6" s="59"/>
      <c r="DS6" s="4" t="str">
        <f>VLOOKUP(Cover!$D$15, Country_list!$B$3:$C$44, 2, 0)</f>
        <v>DE</v>
      </c>
      <c r="DT6" s="33" t="s">
        <v>289</v>
      </c>
      <c r="DV6" s="33" t="s">
        <v>307</v>
      </c>
      <c r="EB6" s="33" t="s">
        <v>291</v>
      </c>
      <c r="ED6" s="33" t="s">
        <v>294</v>
      </c>
    </row>
    <row r="7" spans="1:134" ht="24" customHeight="1" x14ac:dyDescent="0.25">
      <c r="A7" s="176" t="s">
        <v>15</v>
      </c>
      <c r="B7" s="212"/>
      <c r="C7" s="9" t="s">
        <v>25</v>
      </c>
      <c r="D7" s="156"/>
      <c r="E7" s="157"/>
      <c r="F7" s="157"/>
      <c r="G7" s="157"/>
      <c r="H7" s="157"/>
      <c r="I7" s="157"/>
      <c r="J7" s="157"/>
      <c r="K7" s="157"/>
      <c r="L7" s="58"/>
      <c r="M7" s="58"/>
      <c r="N7" s="58"/>
      <c r="O7" s="58"/>
      <c r="DT7" s="33" t="s">
        <v>290</v>
      </c>
      <c r="EB7" s="33" t="s">
        <v>291</v>
      </c>
      <c r="ED7" s="33" t="s">
        <v>295</v>
      </c>
    </row>
    <row r="8" spans="1:134" ht="24" customHeight="1" x14ac:dyDescent="0.25">
      <c r="A8" s="176" t="s">
        <v>29</v>
      </c>
      <c r="B8" s="212"/>
      <c r="C8" s="9" t="s">
        <v>17</v>
      </c>
      <c r="D8" s="156"/>
      <c r="E8" s="157"/>
      <c r="F8" s="157"/>
      <c r="G8" s="157"/>
      <c r="H8" s="157"/>
      <c r="I8" s="157"/>
      <c r="J8" s="157"/>
      <c r="K8" s="157"/>
      <c r="L8" s="58"/>
      <c r="M8" s="58"/>
      <c r="N8" s="58"/>
      <c r="O8" s="58"/>
      <c r="DT8" s="33" t="s">
        <v>231</v>
      </c>
      <c r="EB8" s="33" t="s">
        <v>291</v>
      </c>
      <c r="ED8" s="33" t="s">
        <v>296</v>
      </c>
    </row>
    <row r="9" spans="1:134" ht="24" customHeight="1" x14ac:dyDescent="0.25">
      <c r="A9" s="176" t="s">
        <v>156</v>
      </c>
      <c r="B9" s="200"/>
      <c r="C9" s="9" t="s">
        <v>19</v>
      </c>
      <c r="D9" s="156"/>
      <c r="E9" s="157"/>
      <c r="F9" s="157"/>
      <c r="G9" s="157"/>
      <c r="H9" s="157"/>
      <c r="I9" s="157"/>
      <c r="J9" s="157"/>
      <c r="K9" s="157"/>
      <c r="L9" s="58"/>
      <c r="M9" s="58"/>
      <c r="N9" s="58"/>
      <c r="O9" s="58"/>
      <c r="DT9" s="33" t="s">
        <v>279</v>
      </c>
      <c r="EB9" s="33" t="s">
        <v>292</v>
      </c>
      <c r="ED9" s="33" t="s">
        <v>293</v>
      </c>
    </row>
    <row r="10" spans="1:134" ht="24" customHeight="1" x14ac:dyDescent="0.25">
      <c r="A10" s="176" t="s">
        <v>20</v>
      </c>
      <c r="B10" s="200"/>
      <c r="C10" s="9" t="s">
        <v>19</v>
      </c>
      <c r="D10" s="156">
        <v>106</v>
      </c>
      <c r="E10" s="157">
        <v>105</v>
      </c>
      <c r="F10" s="157">
        <v>103</v>
      </c>
      <c r="G10" s="157">
        <v>103</v>
      </c>
      <c r="H10" s="157">
        <v>102</v>
      </c>
      <c r="I10" s="157">
        <v>103</v>
      </c>
      <c r="J10" s="157">
        <v>106</v>
      </c>
      <c r="K10" s="157">
        <v>100</v>
      </c>
      <c r="L10" s="58">
        <v>107</v>
      </c>
      <c r="M10" s="58"/>
      <c r="N10" s="58"/>
      <c r="O10" s="58"/>
      <c r="DT10" s="136" t="s">
        <v>280</v>
      </c>
      <c r="EB10" s="33" t="s">
        <v>292</v>
      </c>
      <c r="ED10" s="33" t="s">
        <v>293</v>
      </c>
    </row>
    <row r="11" spans="1:134" s="34" customFormat="1" ht="15" customHeight="1" x14ac:dyDescent="0.25">
      <c r="A11" s="175" t="s">
        <v>18</v>
      </c>
      <c r="B11" s="107" t="s">
        <v>21</v>
      </c>
      <c r="C11" s="108" t="s">
        <v>19</v>
      </c>
      <c r="D11" s="109"/>
      <c r="E11" s="110"/>
      <c r="F11" s="110"/>
      <c r="G11" s="110"/>
      <c r="H11" s="110"/>
      <c r="I11" s="110"/>
      <c r="J11" s="110"/>
      <c r="K11" s="110"/>
      <c r="L11" s="110"/>
      <c r="M11" s="110"/>
      <c r="N11" s="110"/>
      <c r="O11" s="110"/>
      <c r="DT11" s="34" t="s">
        <v>281</v>
      </c>
      <c r="EB11" s="34" t="s">
        <v>292</v>
      </c>
      <c r="ED11" s="34" t="s">
        <v>293</v>
      </c>
    </row>
    <row r="12" spans="1:134" s="34" customFormat="1" ht="15" customHeight="1" x14ac:dyDescent="0.25">
      <c r="A12" s="175"/>
      <c r="B12" s="107" t="s">
        <v>22</v>
      </c>
      <c r="C12" s="108" t="s">
        <v>19</v>
      </c>
      <c r="D12" s="109">
        <v>6</v>
      </c>
      <c r="E12" s="110">
        <v>5</v>
      </c>
      <c r="F12" s="110">
        <v>3</v>
      </c>
      <c r="G12" s="110">
        <v>3</v>
      </c>
      <c r="H12" s="110">
        <v>2</v>
      </c>
      <c r="I12" s="110">
        <v>3</v>
      </c>
      <c r="J12" s="110">
        <v>6</v>
      </c>
      <c r="K12" s="110">
        <v>0</v>
      </c>
      <c r="L12" s="110">
        <v>7</v>
      </c>
      <c r="M12" s="110"/>
      <c r="N12" s="110"/>
      <c r="O12" s="110"/>
      <c r="DT12" s="34" t="s">
        <v>282</v>
      </c>
      <c r="EB12" s="34" t="s">
        <v>292</v>
      </c>
      <c r="ED12" s="34" t="s">
        <v>293</v>
      </c>
    </row>
    <row r="13" spans="1:134" s="34" customFormat="1" ht="15" customHeight="1" x14ac:dyDescent="0.25">
      <c r="A13" s="175"/>
      <c r="B13" s="107" t="s">
        <v>23</v>
      </c>
      <c r="C13" s="108" t="s">
        <v>19</v>
      </c>
      <c r="D13" s="109"/>
      <c r="E13" s="110"/>
      <c r="F13" s="110"/>
      <c r="G13" s="110"/>
      <c r="H13" s="110"/>
      <c r="I13" s="110"/>
      <c r="J13" s="110"/>
      <c r="K13" s="110"/>
      <c r="L13" s="110"/>
      <c r="M13" s="110"/>
      <c r="N13" s="110"/>
      <c r="O13" s="110"/>
      <c r="DT13" s="34" t="s">
        <v>283</v>
      </c>
      <c r="EB13" s="34" t="s">
        <v>292</v>
      </c>
      <c r="ED13" s="34" t="s">
        <v>293</v>
      </c>
    </row>
    <row r="14" spans="1:134" ht="24" customHeight="1" x14ac:dyDescent="0.25">
      <c r="A14" s="176" t="s">
        <v>24</v>
      </c>
      <c r="B14" s="200"/>
      <c r="C14" s="9" t="s">
        <v>25</v>
      </c>
      <c r="D14" s="156"/>
      <c r="E14" s="157"/>
      <c r="F14" s="157"/>
      <c r="G14" s="157"/>
      <c r="H14" s="157"/>
      <c r="I14" s="157"/>
      <c r="J14" s="157"/>
      <c r="K14" s="157"/>
      <c r="L14" s="58"/>
      <c r="M14" s="58"/>
      <c r="N14" s="58"/>
      <c r="O14" s="58"/>
      <c r="DT14" s="136" t="s">
        <v>284</v>
      </c>
      <c r="EB14" s="33" t="s">
        <v>291</v>
      </c>
      <c r="ED14" s="33" t="s">
        <v>295</v>
      </c>
    </row>
    <row r="15" spans="1:134" s="34" customFormat="1" ht="15" customHeight="1" x14ac:dyDescent="0.25">
      <c r="A15" s="206" t="s">
        <v>18</v>
      </c>
      <c r="B15" s="107" t="s">
        <v>26</v>
      </c>
      <c r="C15" s="108" t="s">
        <v>25</v>
      </c>
      <c r="D15" s="109"/>
      <c r="E15" s="110"/>
      <c r="F15" s="110"/>
      <c r="G15" s="110"/>
      <c r="H15" s="110"/>
      <c r="I15" s="110"/>
      <c r="J15" s="110"/>
      <c r="K15" s="110"/>
      <c r="L15" s="110"/>
      <c r="M15" s="110"/>
      <c r="N15" s="110"/>
      <c r="O15" s="110"/>
      <c r="DT15" s="34" t="s">
        <v>285</v>
      </c>
      <c r="EB15" s="34" t="s">
        <v>291</v>
      </c>
      <c r="ED15" s="34" t="s">
        <v>295</v>
      </c>
    </row>
    <row r="16" spans="1:134" s="34" customFormat="1" ht="15" customHeight="1" x14ac:dyDescent="0.25">
      <c r="A16" s="207"/>
      <c r="B16" s="107" t="s">
        <v>27</v>
      </c>
      <c r="C16" s="108" t="s">
        <v>25</v>
      </c>
      <c r="D16" s="109"/>
      <c r="E16" s="110"/>
      <c r="F16" s="110"/>
      <c r="G16" s="110"/>
      <c r="H16" s="110"/>
      <c r="I16" s="110"/>
      <c r="J16" s="110"/>
      <c r="K16" s="110"/>
      <c r="L16" s="110"/>
      <c r="M16" s="110"/>
      <c r="N16" s="110"/>
      <c r="O16" s="110"/>
      <c r="DT16" s="34" t="s">
        <v>286</v>
      </c>
      <c r="EB16" s="34" t="s">
        <v>291</v>
      </c>
      <c r="ED16" s="34" t="s">
        <v>295</v>
      </c>
    </row>
    <row r="17" spans="1:134" s="34" customFormat="1" ht="15" customHeight="1" x14ac:dyDescent="0.25">
      <c r="A17" s="207"/>
      <c r="B17" s="107" t="s">
        <v>28</v>
      </c>
      <c r="C17" s="108" t="s">
        <v>25</v>
      </c>
      <c r="D17" s="109"/>
      <c r="E17" s="110"/>
      <c r="F17" s="110"/>
      <c r="G17" s="110"/>
      <c r="H17" s="110"/>
      <c r="I17" s="110"/>
      <c r="J17" s="110"/>
      <c r="K17" s="110"/>
      <c r="L17" s="110"/>
      <c r="M17" s="110"/>
      <c r="N17" s="110"/>
      <c r="O17" s="110"/>
      <c r="DT17" s="34" t="s">
        <v>287</v>
      </c>
      <c r="EB17" s="34" t="s">
        <v>291</v>
      </c>
      <c r="ED17" s="34" t="s">
        <v>295</v>
      </c>
    </row>
    <row r="18" spans="1:134" s="34" customFormat="1" ht="15" customHeight="1" x14ac:dyDescent="0.25">
      <c r="A18" s="208"/>
      <c r="B18" s="107" t="s">
        <v>185</v>
      </c>
      <c r="C18" s="108" t="s">
        <v>25</v>
      </c>
      <c r="D18" s="109"/>
      <c r="E18" s="110"/>
      <c r="F18" s="110"/>
      <c r="G18" s="110"/>
      <c r="H18" s="110"/>
      <c r="I18" s="110"/>
      <c r="J18" s="110"/>
      <c r="K18" s="110"/>
      <c r="L18" s="110"/>
      <c r="M18" s="110"/>
      <c r="N18" s="110"/>
      <c r="O18" s="110"/>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RSOZDrXqlgOtWGywXVhOwjBbzGYYOHXoZD9nlseirKXJpQmJCGhXKukMHzmP0KRmkSN13YW8T59jyGGv+gEw8w==" saltValue="kafk6IMa5igP39CsaBlBtg==" spinCount="100000" sheet="1" objects="1" scenarios="1"/>
  <protectedRanges>
    <protectedRange sqref="D6:O17" name="Other_end_uses"/>
    <protectedRange sqref="D18:O18" name="Water_heating"/>
  </protectedRanges>
  <customSheetViews>
    <customSheetView guid="{B79E7212-8DD5-488D-8E68-A79B69F231E2}" scale="90" showGridLines="0" fitToPage="1" hiddenColumns="1">
      <pane xSplit="3" topLeftCell="D1" activePane="topRight" state="frozen"/>
      <selection pane="topRight" activeCell="D6" sqref="D6:I17"/>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15:A18"/>
    <mergeCell ref="A1:B1"/>
    <mergeCell ref="A2:B2"/>
    <mergeCell ref="A3:B3"/>
    <mergeCell ref="A4:B4"/>
    <mergeCell ref="A5:B5"/>
    <mergeCell ref="A6:B6"/>
    <mergeCell ref="A11:A13"/>
    <mergeCell ref="A14:B14"/>
    <mergeCell ref="A7:B7"/>
    <mergeCell ref="A8:B8"/>
    <mergeCell ref="A9:B9"/>
    <mergeCell ref="A10:B10"/>
  </mergeCells>
  <dataValidations count="1">
    <dataValidation type="decimal" operator="greaterThanOrEqual" allowBlank="1" showInputMessage="1" showErrorMessage="1" sqref="A3:B3 D18: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027" r:id="rId5" name="Button 3">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B2:D43"/>
  <sheetViews>
    <sheetView showGridLines="0" zoomScale="90" zoomScaleNormal="90" workbookViewId="0">
      <selection activeCell="E22" sqref="E22"/>
    </sheetView>
  </sheetViews>
  <sheetFormatPr defaultColWidth="9.140625" defaultRowHeight="15" x14ac:dyDescent="0.25"/>
  <cols>
    <col min="1" max="2" width="2.7109375" style="22" customWidth="1"/>
    <col min="3" max="3" width="96.7109375" style="22" customWidth="1"/>
    <col min="4" max="4" width="2.7109375" style="22" customWidth="1"/>
    <col min="5" max="16384" width="9.140625" style="22"/>
  </cols>
  <sheetData>
    <row r="2" spans="2:4" ht="15.75" thickBot="1" x14ac:dyDescent="0.3"/>
    <row r="3" spans="2:4" ht="30" customHeight="1" thickBot="1" x14ac:dyDescent="0.3">
      <c r="B3" s="213" t="s">
        <v>44</v>
      </c>
      <c r="C3" s="214"/>
      <c r="D3" s="215"/>
    </row>
    <row r="4" spans="2:4" ht="15.75" thickBot="1" x14ac:dyDescent="0.3"/>
    <row r="5" spans="2:4" ht="15" customHeight="1" x14ac:dyDescent="0.25">
      <c r="B5" s="39"/>
      <c r="C5" s="216"/>
      <c r="D5" s="92"/>
    </row>
    <row r="6" spans="2:4" x14ac:dyDescent="0.25">
      <c r="B6" s="40"/>
      <c r="C6" s="217"/>
      <c r="D6" s="41"/>
    </row>
    <row r="7" spans="2:4" x14ac:dyDescent="0.25">
      <c r="B7" s="40"/>
      <c r="C7" s="217"/>
      <c r="D7" s="41"/>
    </row>
    <row r="8" spans="2:4" x14ac:dyDescent="0.25">
      <c r="B8" s="40"/>
      <c r="C8" s="217"/>
      <c r="D8" s="41"/>
    </row>
    <row r="9" spans="2:4" x14ac:dyDescent="0.25">
      <c r="B9" s="40"/>
      <c r="C9" s="217"/>
      <c r="D9" s="41"/>
    </row>
    <row r="10" spans="2:4" x14ac:dyDescent="0.25">
      <c r="B10" s="40"/>
      <c r="C10" s="217"/>
      <c r="D10" s="41"/>
    </row>
    <row r="11" spans="2:4" x14ac:dyDescent="0.25">
      <c r="B11" s="40"/>
      <c r="C11" s="217"/>
      <c r="D11" s="41"/>
    </row>
    <row r="12" spans="2:4" x14ac:dyDescent="0.25">
      <c r="B12" s="40"/>
      <c r="C12" s="217"/>
      <c r="D12" s="41"/>
    </row>
    <row r="13" spans="2:4" x14ac:dyDescent="0.25">
      <c r="B13" s="40"/>
      <c r="C13" s="217"/>
      <c r="D13" s="41"/>
    </row>
    <row r="14" spans="2:4" x14ac:dyDescent="0.25">
      <c r="B14" s="40"/>
      <c r="C14" s="217"/>
      <c r="D14" s="41"/>
    </row>
    <row r="15" spans="2:4" x14ac:dyDescent="0.25">
      <c r="B15" s="40"/>
      <c r="C15" s="217"/>
      <c r="D15" s="41"/>
    </row>
    <row r="16" spans="2:4" x14ac:dyDescent="0.25">
      <c r="B16" s="40"/>
      <c r="C16" s="217"/>
      <c r="D16" s="41"/>
    </row>
    <row r="17" spans="2:4" x14ac:dyDescent="0.25">
      <c r="B17" s="40"/>
      <c r="C17" s="217"/>
      <c r="D17" s="41"/>
    </row>
    <row r="18" spans="2:4" x14ac:dyDescent="0.25">
      <c r="B18" s="40"/>
      <c r="C18" s="217"/>
      <c r="D18" s="41"/>
    </row>
    <row r="19" spans="2:4" x14ac:dyDescent="0.25">
      <c r="B19" s="40"/>
      <c r="C19" s="217"/>
      <c r="D19" s="41"/>
    </row>
    <row r="20" spans="2:4" x14ac:dyDescent="0.25">
      <c r="B20" s="40"/>
      <c r="C20" s="217"/>
      <c r="D20" s="41"/>
    </row>
    <row r="21" spans="2:4" x14ac:dyDescent="0.25">
      <c r="B21" s="40"/>
      <c r="C21" s="217"/>
      <c r="D21" s="41"/>
    </row>
    <row r="22" spans="2:4" x14ac:dyDescent="0.25">
      <c r="B22" s="40"/>
      <c r="C22" s="217"/>
      <c r="D22" s="41"/>
    </row>
    <row r="23" spans="2:4" x14ac:dyDescent="0.25">
      <c r="B23" s="40"/>
      <c r="C23" s="217"/>
      <c r="D23" s="41"/>
    </row>
    <row r="24" spans="2:4" x14ac:dyDescent="0.25">
      <c r="B24" s="40"/>
      <c r="C24" s="217"/>
      <c r="D24" s="41"/>
    </row>
    <row r="25" spans="2:4" x14ac:dyDescent="0.25">
      <c r="B25" s="40"/>
      <c r="C25" s="217"/>
      <c r="D25" s="41"/>
    </row>
    <row r="26" spans="2:4" x14ac:dyDescent="0.25">
      <c r="B26" s="40"/>
      <c r="C26" s="217"/>
      <c r="D26" s="41"/>
    </row>
    <row r="27" spans="2:4" x14ac:dyDescent="0.25">
      <c r="B27" s="40"/>
      <c r="C27" s="217"/>
      <c r="D27" s="41"/>
    </row>
    <row r="28" spans="2:4" x14ac:dyDescent="0.25">
      <c r="B28" s="40"/>
      <c r="C28" s="217"/>
      <c r="D28" s="41"/>
    </row>
    <row r="29" spans="2:4" x14ac:dyDescent="0.25">
      <c r="B29" s="40"/>
      <c r="C29" s="217"/>
      <c r="D29" s="41"/>
    </row>
    <row r="30" spans="2:4" x14ac:dyDescent="0.25">
      <c r="B30" s="40"/>
      <c r="C30" s="217"/>
      <c r="D30" s="41"/>
    </row>
    <row r="31" spans="2:4" x14ac:dyDescent="0.25">
      <c r="B31" s="40"/>
      <c r="C31" s="217"/>
      <c r="D31" s="41"/>
    </row>
    <row r="32" spans="2:4" x14ac:dyDescent="0.25">
      <c r="B32" s="40"/>
      <c r="C32" s="217"/>
      <c r="D32" s="41"/>
    </row>
    <row r="33" spans="2:4" x14ac:dyDescent="0.25">
      <c r="B33" s="40"/>
      <c r="C33" s="217"/>
      <c r="D33" s="41"/>
    </row>
    <row r="34" spans="2:4" x14ac:dyDescent="0.25">
      <c r="B34" s="40"/>
      <c r="C34" s="217"/>
      <c r="D34" s="41"/>
    </row>
    <row r="35" spans="2:4" x14ac:dyDescent="0.25">
      <c r="B35" s="40"/>
      <c r="C35" s="217"/>
      <c r="D35" s="41"/>
    </row>
    <row r="36" spans="2:4" x14ac:dyDescent="0.25">
      <c r="B36" s="40"/>
      <c r="C36" s="217"/>
      <c r="D36" s="41"/>
    </row>
    <row r="37" spans="2:4" x14ac:dyDescent="0.25">
      <c r="B37" s="40"/>
      <c r="C37" s="217"/>
      <c r="D37" s="41"/>
    </row>
    <row r="38" spans="2:4" x14ac:dyDescent="0.25">
      <c r="B38" s="40"/>
      <c r="C38" s="217"/>
      <c r="D38" s="41"/>
    </row>
    <row r="39" spans="2:4" x14ac:dyDescent="0.25">
      <c r="B39" s="40"/>
      <c r="C39" s="217"/>
      <c r="D39" s="41"/>
    </row>
    <row r="40" spans="2:4" x14ac:dyDescent="0.25">
      <c r="B40" s="40"/>
      <c r="C40" s="217"/>
      <c r="D40" s="41"/>
    </row>
    <row r="41" spans="2:4" x14ac:dyDescent="0.25">
      <c r="B41" s="40"/>
      <c r="C41" s="217"/>
      <c r="D41" s="41"/>
    </row>
    <row r="42" spans="2:4" x14ac:dyDescent="0.25">
      <c r="B42" s="40"/>
      <c r="C42" s="217"/>
      <c r="D42" s="41"/>
    </row>
    <row r="43" spans="2:4" ht="15.75" thickBot="1" x14ac:dyDescent="0.3">
      <c r="B43" s="42"/>
      <c r="C43" s="218"/>
      <c r="D43" s="43"/>
    </row>
  </sheetData>
  <sheetProtection algorithmName="SHA-512" hashValue="xxxRsHD5nf4rzk50ii+LinWp8IUI4CoIwlgXUuS3U6kLe8EfX0Zjkx2hu45AfwVoz/q/9yxgUtqEYltjWWcsSg==" saltValue="1k4pWcXc5dWJGnzXGDx0OQ==" spinCount="100000" sheet="1" objects="1" scenarios="1"/>
  <protectedRanges>
    <protectedRange sqref="C5:C43" name="Remarks"/>
  </protectedRanges>
  <customSheetViews>
    <customSheetView guid="{B79E7212-8DD5-488D-8E68-A79B69F231E2}" scale="90" showGridLines="0" fitToPage="1">
      <selection activeCell="C14" sqref="C14"/>
      <pageMargins left="0.23622047244094491" right="0.23622047244094491" top="0.74803149606299213" bottom="0.74803149606299213" header="0.31496062992125984" footer="0.31496062992125984"/>
      <printOptions horizontalCentered="1" verticalCentered="1"/>
      <pageSetup paperSize="9" scale="97" orientation="portrait" r:id="rId1"/>
    </customSheetView>
  </customSheetViews>
  <mergeCells count="2">
    <mergeCell ref="B3:D3"/>
    <mergeCell ref="C5:C43"/>
  </mergeCells>
  <printOptions horizontalCentered="1" verticalCentered="1"/>
  <pageMargins left="0.23622047244094491" right="0.23622047244094491" top="0.74803149606299213" bottom="0.74803149606299213" header="0.31496062992125984" footer="0.31496062992125984"/>
  <pageSetup paperSize="9" scale="97"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1268" r:id="rId5" name="Button 4">
              <controlPr defaultSize="0" print="0" autoFill="0" autoPict="0" macro="[0]!GoToCover">
                <anchor moveWithCells="1" sizeWithCells="1">
                  <from>
                    <xdr:col>2</xdr:col>
                    <xdr:colOff>4991100</xdr:colOff>
                    <xdr:row>1</xdr:row>
                    <xdr:rowOff>180975</xdr:rowOff>
                  </from>
                  <to>
                    <xdr:col>3</xdr:col>
                    <xdr:colOff>161925</xdr:colOff>
                    <xdr:row>3</xdr:row>
                    <xdr:rowOff>9525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B2:C44"/>
  <sheetViews>
    <sheetView workbookViewId="0">
      <selection activeCell="A45" sqref="A45:XFD45"/>
    </sheetView>
  </sheetViews>
  <sheetFormatPr defaultColWidth="9.140625" defaultRowHeight="15" x14ac:dyDescent="0.25"/>
  <cols>
    <col min="2" max="2" width="61.85546875" bestFit="1" customWidth="1"/>
  </cols>
  <sheetData>
    <row r="2" spans="2:3" x14ac:dyDescent="0.25">
      <c r="B2" s="21" t="s">
        <v>45</v>
      </c>
    </row>
    <row r="3" spans="2:3" x14ac:dyDescent="0.25">
      <c r="B3" t="s">
        <v>46</v>
      </c>
      <c r="C3" t="s">
        <v>237</v>
      </c>
    </row>
    <row r="4" spans="2:3" x14ac:dyDescent="0.25">
      <c r="B4" t="s">
        <v>47</v>
      </c>
      <c r="C4" t="s">
        <v>238</v>
      </c>
    </row>
    <row r="5" spans="2:3" x14ac:dyDescent="0.25">
      <c r="B5" t="s">
        <v>48</v>
      </c>
      <c r="C5" t="s">
        <v>239</v>
      </c>
    </row>
    <row r="6" spans="2:3" x14ac:dyDescent="0.25">
      <c r="B6" t="s">
        <v>73</v>
      </c>
      <c r="C6" t="s">
        <v>240</v>
      </c>
    </row>
    <row r="7" spans="2:3" x14ac:dyDescent="0.25">
      <c r="B7" t="s">
        <v>49</v>
      </c>
      <c r="C7" t="s">
        <v>241</v>
      </c>
    </row>
    <row r="8" spans="2:3" x14ac:dyDescent="0.25">
      <c r="B8" t="s">
        <v>56</v>
      </c>
      <c r="C8" t="s">
        <v>242</v>
      </c>
    </row>
    <row r="9" spans="2:3" x14ac:dyDescent="0.25">
      <c r="B9" t="s">
        <v>58</v>
      </c>
      <c r="C9" t="s">
        <v>243</v>
      </c>
    </row>
    <row r="10" spans="2:3" x14ac:dyDescent="0.25">
      <c r="B10" t="s">
        <v>179</v>
      </c>
      <c r="C10" t="s">
        <v>275</v>
      </c>
    </row>
    <row r="11" spans="2:3" x14ac:dyDescent="0.25">
      <c r="B11" t="s">
        <v>50</v>
      </c>
      <c r="C11" t="s">
        <v>244</v>
      </c>
    </row>
    <row r="12" spans="2:3" x14ac:dyDescent="0.25">
      <c r="B12" t="s">
        <v>51</v>
      </c>
      <c r="C12" t="s">
        <v>245</v>
      </c>
    </row>
    <row r="13" spans="2:3" x14ac:dyDescent="0.25">
      <c r="B13" t="s">
        <v>69</v>
      </c>
      <c r="C13" t="s">
        <v>246</v>
      </c>
    </row>
    <row r="14" spans="2:3" x14ac:dyDescent="0.25">
      <c r="B14" t="s">
        <v>55</v>
      </c>
      <c r="C14" t="s">
        <v>230</v>
      </c>
    </row>
    <row r="15" spans="2:3" x14ac:dyDescent="0.25">
      <c r="B15" t="s">
        <v>141</v>
      </c>
      <c r="C15" t="s">
        <v>247</v>
      </c>
    </row>
    <row r="16" spans="2:3" x14ac:dyDescent="0.25">
      <c r="B16" t="s">
        <v>74</v>
      </c>
      <c r="C16" t="s">
        <v>248</v>
      </c>
    </row>
    <row r="17" spans="2:3" x14ac:dyDescent="0.25">
      <c r="B17" t="s">
        <v>53</v>
      </c>
      <c r="C17" t="s">
        <v>249</v>
      </c>
    </row>
    <row r="18" spans="2:3" x14ac:dyDescent="0.25">
      <c r="B18" t="s">
        <v>62</v>
      </c>
      <c r="C18" t="s">
        <v>250</v>
      </c>
    </row>
    <row r="19" spans="2:3" x14ac:dyDescent="0.25">
      <c r="B19" t="s">
        <v>75</v>
      </c>
      <c r="C19" t="s">
        <v>251</v>
      </c>
    </row>
    <row r="20" spans="2:3" x14ac:dyDescent="0.25">
      <c r="B20" t="s">
        <v>52</v>
      </c>
      <c r="C20" t="s">
        <v>252</v>
      </c>
    </row>
    <row r="21" spans="2:3" x14ac:dyDescent="0.25">
      <c r="B21" t="s">
        <v>57</v>
      </c>
      <c r="C21" t="s">
        <v>253</v>
      </c>
    </row>
    <row r="22" spans="2:3" x14ac:dyDescent="0.25">
      <c r="B22" t="s">
        <v>140</v>
      </c>
      <c r="C22" t="s">
        <v>276</v>
      </c>
    </row>
    <row r="23" spans="2:3" x14ac:dyDescent="0.25">
      <c r="B23" t="s">
        <v>59</v>
      </c>
      <c r="C23" t="s">
        <v>254</v>
      </c>
    </row>
    <row r="24" spans="2:3" x14ac:dyDescent="0.25">
      <c r="B24" t="s">
        <v>76</v>
      </c>
      <c r="C24" t="s">
        <v>255</v>
      </c>
    </row>
    <row r="25" spans="2:3" x14ac:dyDescent="0.25">
      <c r="B25" t="s">
        <v>60</v>
      </c>
      <c r="C25" t="s">
        <v>256</v>
      </c>
    </row>
    <row r="26" spans="2:3" x14ac:dyDescent="0.25">
      <c r="B26" t="s">
        <v>61</v>
      </c>
      <c r="C26" t="s">
        <v>257</v>
      </c>
    </row>
    <row r="27" spans="2:3" x14ac:dyDescent="0.25">
      <c r="B27" t="s">
        <v>63</v>
      </c>
      <c r="C27" t="s">
        <v>258</v>
      </c>
    </row>
    <row r="28" spans="2:3" x14ac:dyDescent="0.25">
      <c r="B28" t="s">
        <v>139</v>
      </c>
      <c r="C28" t="s">
        <v>259</v>
      </c>
    </row>
    <row r="29" spans="2:3" x14ac:dyDescent="0.25">
      <c r="B29" t="s">
        <v>77</v>
      </c>
      <c r="C29" t="s">
        <v>260</v>
      </c>
    </row>
    <row r="30" spans="2:3" x14ac:dyDescent="0.25">
      <c r="B30" t="s">
        <v>64</v>
      </c>
      <c r="C30" t="s">
        <v>261</v>
      </c>
    </row>
    <row r="31" spans="2:3" x14ac:dyDescent="0.25">
      <c r="B31" t="s">
        <v>178</v>
      </c>
      <c r="C31" t="s">
        <v>262</v>
      </c>
    </row>
    <row r="32" spans="2:3" x14ac:dyDescent="0.25">
      <c r="B32" t="s">
        <v>78</v>
      </c>
      <c r="C32" t="s">
        <v>263</v>
      </c>
    </row>
    <row r="33" spans="2:3" x14ac:dyDescent="0.25">
      <c r="B33" t="s">
        <v>65</v>
      </c>
      <c r="C33" t="s">
        <v>264</v>
      </c>
    </row>
    <row r="34" spans="2:3" x14ac:dyDescent="0.25">
      <c r="B34" t="s">
        <v>66</v>
      </c>
      <c r="C34" t="s">
        <v>265</v>
      </c>
    </row>
    <row r="35" spans="2:3" x14ac:dyDescent="0.25">
      <c r="B35" t="s">
        <v>67</v>
      </c>
      <c r="C35" t="s">
        <v>266</v>
      </c>
    </row>
    <row r="36" spans="2:3" x14ac:dyDescent="0.25">
      <c r="B36" t="s">
        <v>79</v>
      </c>
      <c r="C36" t="s">
        <v>267</v>
      </c>
    </row>
    <row r="37" spans="2:3" x14ac:dyDescent="0.25">
      <c r="B37" t="s">
        <v>80</v>
      </c>
      <c r="C37" t="s">
        <v>277</v>
      </c>
    </row>
    <row r="38" spans="2:3" x14ac:dyDescent="0.25">
      <c r="B38" t="s">
        <v>68</v>
      </c>
      <c r="C38" t="s">
        <v>268</v>
      </c>
    </row>
    <row r="39" spans="2:3" x14ac:dyDescent="0.25">
      <c r="B39" t="s">
        <v>54</v>
      </c>
      <c r="C39" t="s">
        <v>269</v>
      </c>
    </row>
    <row r="40" spans="2:3" x14ac:dyDescent="0.25">
      <c r="B40" t="s">
        <v>70</v>
      </c>
      <c r="C40" t="s">
        <v>270</v>
      </c>
    </row>
    <row r="41" spans="2:3" x14ac:dyDescent="0.25">
      <c r="B41" t="s">
        <v>81</v>
      </c>
      <c r="C41" t="s">
        <v>271</v>
      </c>
    </row>
    <row r="42" spans="2:3" x14ac:dyDescent="0.25">
      <c r="B42" t="s">
        <v>72</v>
      </c>
      <c r="C42" t="s">
        <v>272</v>
      </c>
    </row>
    <row r="43" spans="2:3" x14ac:dyDescent="0.25">
      <c r="B43" t="s">
        <v>138</v>
      </c>
      <c r="C43" t="s">
        <v>273</v>
      </c>
    </row>
    <row r="44" spans="2:3" x14ac:dyDescent="0.25">
      <c r="B44" t="s">
        <v>71</v>
      </c>
      <c r="C44" t="s">
        <v>274</v>
      </c>
    </row>
  </sheetData>
  <customSheetViews>
    <customSheetView guid="{B79E7212-8DD5-488D-8E68-A79B69F231E2}" state="hidden">
      <selection activeCell="B3" sqref="B3:B41"/>
      <pageMargins left="0.7" right="0.7" top="0.75" bottom="0.75" header="0.3" footer="0.3"/>
    </customSheetView>
  </customSheetViews>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N46"/>
  <sheetViews>
    <sheetView zoomScale="90" zoomScaleNormal="90" workbookViewId="0"/>
  </sheetViews>
  <sheetFormatPr defaultColWidth="9.140625" defaultRowHeight="15" x14ac:dyDescent="0.25"/>
  <cols>
    <col min="1" max="1" width="18.7109375" customWidth="1"/>
    <col min="2" max="2" width="123.7109375" customWidth="1"/>
    <col min="3" max="14" width="9.140625" style="96"/>
  </cols>
  <sheetData>
    <row r="1" spans="1:14" ht="15.75" x14ac:dyDescent="0.25">
      <c r="A1" s="102" t="s">
        <v>170</v>
      </c>
    </row>
    <row r="4" spans="1:14" ht="15.75" x14ac:dyDescent="0.25">
      <c r="B4" s="103" t="s">
        <v>149</v>
      </c>
      <c r="C4" s="104" t="b">
        <f>COUNTIF(C7:J46, FALSE) = 0</f>
        <v>1</v>
      </c>
    </row>
    <row r="6" spans="1:14" x14ac:dyDescent="0.25">
      <c r="A6" s="100" t="s">
        <v>150</v>
      </c>
      <c r="B6" s="100" t="s">
        <v>151</v>
      </c>
      <c r="C6" s="101">
        <v>2010</v>
      </c>
      <c r="D6" s="101">
        <v>2011</v>
      </c>
      <c r="E6" s="101">
        <v>2012</v>
      </c>
      <c r="F6" s="101">
        <v>2013</v>
      </c>
      <c r="G6" s="101">
        <v>2014</v>
      </c>
      <c r="H6" s="101">
        <v>2015</v>
      </c>
      <c r="I6" s="101">
        <v>2016</v>
      </c>
      <c r="J6" s="101">
        <v>2017</v>
      </c>
      <c r="K6" s="101">
        <v>2018</v>
      </c>
      <c r="L6" s="101">
        <v>2019</v>
      </c>
      <c r="M6" s="101">
        <v>2020</v>
      </c>
      <c r="N6" s="101">
        <v>2021</v>
      </c>
    </row>
    <row r="7" spans="1:14" x14ac:dyDescent="0.25">
      <c r="A7" t="s">
        <v>152</v>
      </c>
      <c r="B7" t="s">
        <v>160</v>
      </c>
      <c r="C7" s="96" t="b">
        <f>'1a_SpaceHeating'!D10&gt;=SUM('1a_SpaceHeating'!D11+'1a_SpaceHeating'!D12+'1a_SpaceHeating'!D13)</f>
        <v>1</v>
      </c>
      <c r="D7" s="96" t="b">
        <f>'1a_SpaceHeating'!E10 &gt;= SUM('1a_SpaceHeating'!E11+'1a_SpaceHeating'!E12+'1a_SpaceHeating'!E13)</f>
        <v>1</v>
      </c>
      <c r="E7" s="96" t="b">
        <f>'1a_SpaceHeating'!F10 &gt;= SUM('1a_SpaceHeating'!F11+'1a_SpaceHeating'!F12+'1a_SpaceHeating'!F13)</f>
        <v>1</v>
      </c>
      <c r="F7" s="96" t="b">
        <f>'1a_SpaceHeating'!G10 &gt;= SUM('1a_SpaceHeating'!G11+'1a_SpaceHeating'!G12+'1a_SpaceHeating'!G13)</f>
        <v>1</v>
      </c>
      <c r="G7" s="96" t="b">
        <f>'1a_SpaceHeating'!H10 &gt;= SUM('1a_SpaceHeating'!H11+'1a_SpaceHeating'!H12+'1a_SpaceHeating'!H13)</f>
        <v>1</v>
      </c>
      <c r="H7" s="96" t="b">
        <f>'1a_SpaceHeating'!I10 &gt;= SUM('1a_SpaceHeating'!I11+'1a_SpaceHeating'!I12+'1a_SpaceHeating'!I13)</f>
        <v>1</v>
      </c>
      <c r="I7" s="96" t="b">
        <f>'1a_SpaceHeating'!J10 &gt;= SUM('1a_SpaceHeating'!J11+'1a_SpaceHeating'!J12+'1a_SpaceHeating'!J13)</f>
        <v>1</v>
      </c>
      <c r="J7" s="96" t="b">
        <f>'1a_SpaceHeating'!K10 &gt;= SUM('1a_SpaceHeating'!K11+'1a_SpaceHeating'!K12+'1a_SpaceHeating'!K13)</f>
        <v>1</v>
      </c>
      <c r="K7" s="96" t="b">
        <f>'1a_SpaceHeating'!L10 &gt;= SUM('1a_SpaceHeating'!L11+'1a_SpaceHeating'!L12+'1a_SpaceHeating'!L13)</f>
        <v>1</v>
      </c>
      <c r="L7" s="96" t="b">
        <f>'1a_SpaceHeating'!M10 &gt;= SUM('1a_SpaceHeating'!M11+'1a_SpaceHeating'!M12+'1a_SpaceHeating'!M13)</f>
        <v>1</v>
      </c>
      <c r="M7" s="96" t="b">
        <f>'1a_SpaceHeating'!N10 &gt;= SUM('1a_SpaceHeating'!N11+'1a_SpaceHeating'!N12+'1a_SpaceHeating'!N13)</f>
        <v>1</v>
      </c>
      <c r="N7" s="96" t="b">
        <f>'1a_SpaceHeating'!O10 &gt;= SUM('1a_SpaceHeating'!O11+'1a_SpaceHeating'!O12+'1a_SpaceHeating'!O13)</f>
        <v>1</v>
      </c>
    </row>
    <row r="8" spans="1:14" x14ac:dyDescent="0.25">
      <c r="A8" t="s">
        <v>152</v>
      </c>
      <c r="B8" t="s">
        <v>161</v>
      </c>
      <c r="C8" s="96" t="b">
        <f>'1a_SpaceHeating'!D14&gt;=SUM('1a_SpaceHeating'!D15+'1a_SpaceHeating'!D16+'1a_SpaceHeating'!D17+'1a_SpaceHeating'!D18)</f>
        <v>1</v>
      </c>
      <c r="D8" s="96" t="b">
        <f>'1a_SpaceHeating'!E14&gt;=SUM('1a_SpaceHeating'!E15+'1a_SpaceHeating'!E16+'1a_SpaceHeating'!E17+'1a_SpaceHeating'!E18)</f>
        <v>1</v>
      </c>
      <c r="E8" s="96" t="b">
        <f>'1a_SpaceHeating'!F14&gt;=SUM('1a_SpaceHeating'!F15+'1a_SpaceHeating'!F16+'1a_SpaceHeating'!F17+'1a_SpaceHeating'!F18)</f>
        <v>1</v>
      </c>
      <c r="F8" s="96" t="b">
        <f>'1a_SpaceHeating'!G14&gt;=SUM('1a_SpaceHeating'!G15+'1a_SpaceHeating'!G16+'1a_SpaceHeating'!G17+'1a_SpaceHeating'!G18)</f>
        <v>1</v>
      </c>
      <c r="G8" s="96" t="b">
        <f>'1a_SpaceHeating'!H14&gt;=SUM('1a_SpaceHeating'!H15+'1a_SpaceHeating'!H16+'1a_SpaceHeating'!H17+'1a_SpaceHeating'!H18)</f>
        <v>1</v>
      </c>
      <c r="H8" s="96" t="b">
        <f>'1a_SpaceHeating'!I14&gt;=SUM('1a_SpaceHeating'!I15+'1a_SpaceHeating'!I16+'1a_SpaceHeating'!I17+'1a_SpaceHeating'!I18)</f>
        <v>1</v>
      </c>
      <c r="I8" s="96" t="b">
        <f>'1a_SpaceHeating'!J14&gt;=SUM('1a_SpaceHeating'!J15+'1a_SpaceHeating'!J16+'1a_SpaceHeating'!J17+'1a_SpaceHeating'!J18)</f>
        <v>1</v>
      </c>
      <c r="J8" s="96" t="b">
        <f>'1a_SpaceHeating'!K14&gt;=SUM('1a_SpaceHeating'!K15+'1a_SpaceHeating'!K16+'1a_SpaceHeating'!K17+'1a_SpaceHeating'!K18)</f>
        <v>1</v>
      </c>
      <c r="K8" s="96" t="b">
        <f>'1a_SpaceHeating'!L14&gt;=SUM('1a_SpaceHeating'!L15+'1a_SpaceHeating'!L16+'1a_SpaceHeating'!L17+'1a_SpaceHeating'!L18)</f>
        <v>1</v>
      </c>
      <c r="L8" s="96" t="b">
        <f>'1a_SpaceHeating'!M14&gt;=SUM('1a_SpaceHeating'!M15+'1a_SpaceHeating'!M16+'1a_SpaceHeating'!M17+'1a_SpaceHeating'!M18)</f>
        <v>1</v>
      </c>
      <c r="M8" s="96" t="b">
        <f>'1a_SpaceHeating'!N14&gt;=SUM('1a_SpaceHeating'!N15+'1a_SpaceHeating'!N16+'1a_SpaceHeating'!N17+'1a_SpaceHeating'!N18)</f>
        <v>1</v>
      </c>
      <c r="N8" s="96" t="b">
        <f>'1a_SpaceHeating'!O14&gt;=SUM('1a_SpaceHeating'!O15+'1a_SpaceHeating'!O16+'1a_SpaceHeating'!O17+'1a_SpaceHeating'!O18)</f>
        <v>1</v>
      </c>
    </row>
    <row r="9" spans="1:14" x14ac:dyDescent="0.25">
      <c r="A9" t="s">
        <v>169</v>
      </c>
      <c r="B9" t="s">
        <v>160</v>
      </c>
      <c r="C9" s="96" t="b">
        <f>'1b_SpaceCooling'!D10&gt;=SUM('1b_SpaceCooling'!D11+'1b_SpaceCooling'!D12+'1b_SpaceCooling'!D13)</f>
        <v>1</v>
      </c>
      <c r="D9" s="96" t="b">
        <f>'1b_SpaceCooling'!E10&gt;=SUM('1b_SpaceCooling'!E11+'1b_SpaceCooling'!E12+'1b_SpaceCooling'!E13)</f>
        <v>1</v>
      </c>
      <c r="E9" s="96" t="b">
        <f>'1b_SpaceCooling'!F10&gt;=SUM('1b_SpaceCooling'!F11+'1b_SpaceCooling'!F12+'1b_SpaceCooling'!F13)</f>
        <v>1</v>
      </c>
      <c r="F9" s="96" t="b">
        <f>'1b_SpaceCooling'!G10&gt;=SUM('1b_SpaceCooling'!G11+'1b_SpaceCooling'!G12+'1b_SpaceCooling'!G13)</f>
        <v>1</v>
      </c>
      <c r="G9" s="96" t="b">
        <f>'1b_SpaceCooling'!H10&gt;=SUM('1b_SpaceCooling'!H11+'1b_SpaceCooling'!H12+'1b_SpaceCooling'!H13)</f>
        <v>1</v>
      </c>
      <c r="H9" s="96" t="b">
        <f>'1b_SpaceCooling'!I10&gt;=SUM('1b_SpaceCooling'!I11+'1b_SpaceCooling'!I12+'1b_SpaceCooling'!I13)</f>
        <v>1</v>
      </c>
      <c r="I9" s="96" t="b">
        <f>'1b_SpaceCooling'!J10&gt;=SUM('1b_SpaceCooling'!J11+'1b_SpaceCooling'!J12+'1b_SpaceCooling'!J13)</f>
        <v>1</v>
      </c>
      <c r="J9" s="96" t="b">
        <f>'1b_SpaceCooling'!K10&gt;=SUM('1b_SpaceCooling'!K11+'1b_SpaceCooling'!K12+'1b_SpaceCooling'!K13)</f>
        <v>1</v>
      </c>
      <c r="K9" s="96" t="b">
        <f>'1b_SpaceCooling'!L10&gt;=SUM('1b_SpaceCooling'!L11+'1b_SpaceCooling'!L12+'1b_SpaceCooling'!L13)</f>
        <v>1</v>
      </c>
      <c r="L9" s="96" t="b">
        <f>'1b_SpaceCooling'!M10&gt;=SUM('1b_SpaceCooling'!M11+'1b_SpaceCooling'!M12+'1b_SpaceCooling'!M13)</f>
        <v>1</v>
      </c>
      <c r="M9" s="96" t="b">
        <f>'1b_SpaceCooling'!N10&gt;=SUM('1b_SpaceCooling'!N11+'1b_SpaceCooling'!N12+'1b_SpaceCooling'!N13)</f>
        <v>1</v>
      </c>
      <c r="N9" s="96" t="b">
        <f>'1b_SpaceCooling'!O10&gt;=SUM('1b_SpaceCooling'!O11+'1b_SpaceCooling'!O12+'1b_SpaceCooling'!O13)</f>
        <v>1</v>
      </c>
    </row>
    <row r="10" spans="1:14" x14ac:dyDescent="0.25">
      <c r="A10" t="s">
        <v>169</v>
      </c>
      <c r="B10" t="s">
        <v>161</v>
      </c>
      <c r="C10" s="96" t="b">
        <f>'1b_SpaceCooling'!D14&gt;=SUM('1b_SpaceCooling'!D15+'1b_SpaceCooling'!D16+'1b_SpaceCooling'!D17+'1b_SpaceCooling'!D18)</f>
        <v>1</v>
      </c>
      <c r="D10" s="96" t="b">
        <f>'1b_SpaceCooling'!E14&gt;=SUM('1b_SpaceCooling'!E15+'1b_SpaceCooling'!E16+'1b_SpaceCooling'!E17+'1b_SpaceCooling'!E18)</f>
        <v>1</v>
      </c>
      <c r="E10" s="96" t="b">
        <f>'1b_SpaceCooling'!F14&gt;=SUM('1b_SpaceCooling'!F15+'1b_SpaceCooling'!F16+'1b_SpaceCooling'!F17+'1b_SpaceCooling'!F18)</f>
        <v>1</v>
      </c>
      <c r="F10" s="96" t="b">
        <f>'1b_SpaceCooling'!G14&gt;=SUM('1b_SpaceCooling'!G15+'1b_SpaceCooling'!G16+'1b_SpaceCooling'!G17+'1b_SpaceCooling'!G18)</f>
        <v>1</v>
      </c>
      <c r="G10" s="96" t="b">
        <f>'1b_SpaceCooling'!H14&gt;=SUM('1b_SpaceCooling'!H15+'1b_SpaceCooling'!H16+'1b_SpaceCooling'!H17+'1b_SpaceCooling'!H18)</f>
        <v>1</v>
      </c>
      <c r="H10" s="96" t="b">
        <f>'1b_SpaceCooling'!I14&gt;=SUM('1b_SpaceCooling'!I15+'1b_SpaceCooling'!I16+'1b_SpaceCooling'!I17+'1b_SpaceCooling'!I18)</f>
        <v>1</v>
      </c>
      <c r="I10" s="96" t="b">
        <f>'1b_SpaceCooling'!J14&gt;=SUM('1b_SpaceCooling'!J15+'1b_SpaceCooling'!J16+'1b_SpaceCooling'!J17+'1b_SpaceCooling'!J18)</f>
        <v>1</v>
      </c>
      <c r="J10" s="96" t="b">
        <f>'1b_SpaceCooling'!K14&gt;=SUM('1b_SpaceCooling'!K15+'1b_SpaceCooling'!K16+'1b_SpaceCooling'!K17+'1b_SpaceCooling'!K18)</f>
        <v>1</v>
      </c>
      <c r="K10" s="96" t="b">
        <f>'1b_SpaceCooling'!L14&gt;=SUM('1b_SpaceCooling'!L15+'1b_SpaceCooling'!L16+'1b_SpaceCooling'!L17+'1b_SpaceCooling'!L18)</f>
        <v>1</v>
      </c>
      <c r="L10" s="96" t="b">
        <f>'1b_SpaceCooling'!M14&gt;=SUM('1b_SpaceCooling'!M15+'1b_SpaceCooling'!M16+'1b_SpaceCooling'!M17+'1b_SpaceCooling'!M18)</f>
        <v>1</v>
      </c>
      <c r="M10" s="96" t="b">
        <f>'1b_SpaceCooling'!N14&gt;=SUM('1b_SpaceCooling'!N15+'1b_SpaceCooling'!N16+'1b_SpaceCooling'!N17+'1b_SpaceCooling'!N18)</f>
        <v>1</v>
      </c>
      <c r="N10" s="96" t="b">
        <f>'1b_SpaceCooling'!O14&gt;=SUM('1b_SpaceCooling'!O15+'1b_SpaceCooling'!O16+'1b_SpaceCooling'!O17+'1b_SpaceCooling'!O18)</f>
        <v>1</v>
      </c>
    </row>
    <row r="11" spans="1:14" x14ac:dyDescent="0.25">
      <c r="A11" t="s">
        <v>153</v>
      </c>
      <c r="B11" t="s">
        <v>159</v>
      </c>
      <c r="C11" s="96" t="b">
        <f>'1c_WaterHeating'!D10&gt;=SUM('1c_WaterHeating'!D11+'1c_WaterHeating'!D12+'1c_WaterHeating'!D13)</f>
        <v>1</v>
      </c>
      <c r="D11" s="96" t="b">
        <f>'1c_WaterHeating'!E10&gt;=SUM('1c_WaterHeating'!E11+'1c_WaterHeating'!E12+'1c_WaterHeating'!E13)</f>
        <v>1</v>
      </c>
      <c r="E11" s="96" t="b">
        <f>'1c_WaterHeating'!F10&gt;=SUM('1c_WaterHeating'!F11+'1c_WaterHeating'!F12+'1c_WaterHeating'!F13)</f>
        <v>1</v>
      </c>
      <c r="F11" s="96" t="b">
        <f>'1c_WaterHeating'!G10&gt;=SUM('1c_WaterHeating'!G11+'1c_WaterHeating'!G12+'1c_WaterHeating'!G13)</f>
        <v>1</v>
      </c>
      <c r="G11" s="96" t="b">
        <f>'1c_WaterHeating'!H10&gt;=SUM('1c_WaterHeating'!H11+'1c_WaterHeating'!H12+'1c_WaterHeating'!H13)</f>
        <v>1</v>
      </c>
      <c r="H11" s="96" t="b">
        <f>'1c_WaterHeating'!I10&gt;=SUM('1c_WaterHeating'!I11+'1c_WaterHeating'!I12+'1c_WaterHeating'!I13)</f>
        <v>1</v>
      </c>
      <c r="I11" s="96" t="b">
        <f>'1c_WaterHeating'!J10&gt;=SUM('1c_WaterHeating'!J11+'1c_WaterHeating'!J12+'1c_WaterHeating'!J13)</f>
        <v>1</v>
      </c>
      <c r="J11" s="96" t="b">
        <f>'1c_WaterHeating'!K10&gt;=SUM('1c_WaterHeating'!K11+'1c_WaterHeating'!K12+'1c_WaterHeating'!K13)</f>
        <v>1</v>
      </c>
      <c r="K11" s="96" t="b">
        <f>'1c_WaterHeating'!L10&gt;=SUM('1c_WaterHeating'!L11+'1c_WaterHeating'!L12+'1c_WaterHeating'!L13)</f>
        <v>1</v>
      </c>
      <c r="L11" s="96" t="b">
        <f>'1c_WaterHeating'!M10&gt;=SUM('1c_WaterHeating'!M11+'1c_WaterHeating'!M12+'1c_WaterHeating'!M13)</f>
        <v>1</v>
      </c>
      <c r="M11" s="96" t="b">
        <f>'1c_WaterHeating'!N10&gt;=SUM('1c_WaterHeating'!N11+'1c_WaterHeating'!N12+'1c_WaterHeating'!N13)</f>
        <v>1</v>
      </c>
      <c r="N11" s="96" t="b">
        <f>'1c_WaterHeating'!O10&gt;=SUM('1c_WaterHeating'!O11+'1c_WaterHeating'!O12+'1c_WaterHeating'!O13)</f>
        <v>1</v>
      </c>
    </row>
    <row r="12" spans="1:14" x14ac:dyDescent="0.25">
      <c r="A12" t="s">
        <v>153</v>
      </c>
      <c r="B12" t="s">
        <v>161</v>
      </c>
      <c r="C12" s="96" t="b">
        <f>'1c_WaterHeating'!D14&gt;=SUM('1c_WaterHeating'!D15+'1c_WaterHeating'!D16+'1c_WaterHeating'!D17+'1c_WaterHeating'!D18)</f>
        <v>1</v>
      </c>
      <c r="D12" s="96" t="b">
        <f>'1c_WaterHeating'!E14&gt;=SUM('1c_WaterHeating'!E15+'1c_WaterHeating'!E16+'1c_WaterHeating'!E17+'1c_WaterHeating'!E18)</f>
        <v>1</v>
      </c>
      <c r="E12" s="96" t="b">
        <f>'1c_WaterHeating'!F14&gt;=SUM('1c_WaterHeating'!F15+'1c_WaterHeating'!F16+'1c_WaterHeating'!F17+'1c_WaterHeating'!F18)</f>
        <v>1</v>
      </c>
      <c r="F12" s="96" t="b">
        <f>'1c_WaterHeating'!G14&gt;=SUM('1c_WaterHeating'!G15+'1c_WaterHeating'!G16+'1c_WaterHeating'!G17+'1c_WaterHeating'!G18)</f>
        <v>1</v>
      </c>
      <c r="G12" s="96" t="b">
        <f>'1c_WaterHeating'!H14&gt;=SUM('1c_WaterHeating'!H15+'1c_WaterHeating'!H16+'1c_WaterHeating'!H17+'1c_WaterHeating'!H18)</f>
        <v>1</v>
      </c>
      <c r="H12" s="96" t="b">
        <f>'1c_WaterHeating'!I14&gt;=SUM('1c_WaterHeating'!I15+'1c_WaterHeating'!I16+'1c_WaterHeating'!I17+'1c_WaterHeating'!I18)</f>
        <v>1</v>
      </c>
      <c r="I12" s="96" t="b">
        <f>'1c_WaterHeating'!J14&gt;=SUM('1c_WaterHeating'!J15+'1c_WaterHeating'!J16+'1c_WaterHeating'!J17+'1c_WaterHeating'!J18)</f>
        <v>1</v>
      </c>
      <c r="J12" s="96" t="b">
        <f>'1c_WaterHeating'!K14&gt;=SUM('1c_WaterHeating'!K15+'1c_WaterHeating'!K16+'1c_WaterHeating'!K17+'1c_WaterHeating'!K18)</f>
        <v>1</v>
      </c>
      <c r="K12" s="96" t="b">
        <f>'1c_WaterHeating'!L14&gt;=SUM('1c_WaterHeating'!L15+'1c_WaterHeating'!L16+'1c_WaterHeating'!L17+'1c_WaterHeating'!L18)</f>
        <v>1</v>
      </c>
      <c r="L12" s="96" t="b">
        <f>'1c_WaterHeating'!M14&gt;=SUM('1c_WaterHeating'!M15+'1c_WaterHeating'!M16+'1c_WaterHeating'!M17+'1c_WaterHeating'!M18)</f>
        <v>1</v>
      </c>
      <c r="M12" s="96" t="b">
        <f>'1c_WaterHeating'!N14&gt;=SUM('1c_WaterHeating'!N15+'1c_WaterHeating'!N16+'1c_WaterHeating'!N17+'1c_WaterHeating'!N18)</f>
        <v>1</v>
      </c>
      <c r="N12" s="96" t="b">
        <f>'1c_WaterHeating'!O14&gt;=SUM('1c_WaterHeating'!O15+'1c_WaterHeating'!O16+'1c_WaterHeating'!O17+'1c_WaterHeating'!O18)</f>
        <v>1</v>
      </c>
    </row>
    <row r="13" spans="1:14" x14ac:dyDescent="0.25">
      <c r="A13" t="s">
        <v>154</v>
      </c>
      <c r="B13" t="s">
        <v>160</v>
      </c>
      <c r="C13" s="96" t="b">
        <f>'1d_Cooking'!D10&gt;=SUM('1d_Cooking'!D11+'1d_Cooking'!D12+'1d_Cooking'!D13)</f>
        <v>1</v>
      </c>
      <c r="D13" s="96" t="b">
        <f>'1d_Cooking'!E10&gt;=SUM('1d_Cooking'!E11+'1d_Cooking'!E12+'1d_Cooking'!E13)</f>
        <v>1</v>
      </c>
      <c r="E13" s="96" t="b">
        <f>'1d_Cooking'!F10&gt;=SUM('1d_Cooking'!F11+'1d_Cooking'!F12+'1d_Cooking'!F13)</f>
        <v>1</v>
      </c>
      <c r="F13" s="96" t="b">
        <f>'1d_Cooking'!G10&gt;=SUM('1d_Cooking'!G11+'1d_Cooking'!G12+'1d_Cooking'!G13)</f>
        <v>1</v>
      </c>
      <c r="G13" s="96" t="b">
        <f>'1d_Cooking'!H10&gt;=SUM('1d_Cooking'!H11+'1d_Cooking'!H12+'1d_Cooking'!H13)</f>
        <v>1</v>
      </c>
      <c r="H13" s="96" t="b">
        <f>'1d_Cooking'!I10&gt;=SUM('1d_Cooking'!I11+'1d_Cooking'!I12+'1d_Cooking'!I13)</f>
        <v>1</v>
      </c>
      <c r="I13" s="96" t="b">
        <f>'1d_Cooking'!J10&gt;=SUM('1d_Cooking'!J11+'1d_Cooking'!J12+'1d_Cooking'!J13)</f>
        <v>1</v>
      </c>
      <c r="J13" s="96" t="b">
        <f>'1d_Cooking'!K10&gt;=SUM('1d_Cooking'!K11+'1d_Cooking'!K12+'1d_Cooking'!K13)</f>
        <v>1</v>
      </c>
      <c r="K13" s="96" t="b">
        <f>'1d_Cooking'!L10&gt;=SUM('1d_Cooking'!L11+'1d_Cooking'!L12+'1d_Cooking'!L13)</f>
        <v>1</v>
      </c>
      <c r="L13" s="96" t="b">
        <f>'1d_Cooking'!M10&gt;=SUM('1d_Cooking'!M11+'1d_Cooking'!M12+'1d_Cooking'!M13)</f>
        <v>1</v>
      </c>
      <c r="M13" s="96" t="b">
        <f>'1d_Cooking'!N10&gt;=SUM('1d_Cooking'!N11+'1d_Cooking'!N12+'1d_Cooking'!N13)</f>
        <v>1</v>
      </c>
      <c r="N13" s="96" t="b">
        <f>'1d_Cooking'!O10&gt;=SUM('1d_Cooking'!O11+'1d_Cooking'!O12+'1d_Cooking'!O13)</f>
        <v>1</v>
      </c>
    </row>
    <row r="14" spans="1:14" x14ac:dyDescent="0.25">
      <c r="A14" t="s">
        <v>154</v>
      </c>
      <c r="B14" t="s">
        <v>161</v>
      </c>
      <c r="C14" s="96" t="b">
        <f>'1d_Cooking'!D14&gt;=SUM('1d_Cooking'!D15+'1d_Cooking'!D16+'1d_Cooking'!D17+'1d_Cooking'!D18)</f>
        <v>1</v>
      </c>
      <c r="D14" s="96" t="b">
        <f>'1d_Cooking'!E14&gt;=SUM('1d_Cooking'!E15+'1d_Cooking'!E16+'1d_Cooking'!E17+'1d_Cooking'!E18)</f>
        <v>1</v>
      </c>
      <c r="E14" s="96" t="b">
        <f>'1d_Cooking'!F14&gt;=SUM('1d_Cooking'!F15+'1d_Cooking'!F16+'1d_Cooking'!F17+'1d_Cooking'!F18)</f>
        <v>1</v>
      </c>
      <c r="F14" s="96" t="b">
        <f>'1d_Cooking'!G14&gt;=SUM('1d_Cooking'!G15+'1d_Cooking'!G16+'1d_Cooking'!G17+'1d_Cooking'!G18)</f>
        <v>1</v>
      </c>
      <c r="G14" s="96" t="b">
        <f>'1d_Cooking'!H14&gt;=SUM('1d_Cooking'!H15+'1d_Cooking'!H16+'1d_Cooking'!H17+'1d_Cooking'!H18)</f>
        <v>1</v>
      </c>
      <c r="H14" s="96" t="b">
        <f>'1d_Cooking'!I14&gt;=SUM('1d_Cooking'!I15+'1d_Cooking'!I16+'1d_Cooking'!I17+'1d_Cooking'!I18)</f>
        <v>1</v>
      </c>
      <c r="I14" s="96" t="b">
        <f>'1d_Cooking'!J14&gt;=SUM('1d_Cooking'!J15+'1d_Cooking'!J16+'1d_Cooking'!J17+'1d_Cooking'!J18)</f>
        <v>1</v>
      </c>
      <c r="J14" s="96" t="b">
        <f>'1d_Cooking'!K14&gt;=SUM('1d_Cooking'!K15+'1d_Cooking'!K16+'1d_Cooking'!K17+'1d_Cooking'!K18)</f>
        <v>1</v>
      </c>
      <c r="K14" s="96" t="b">
        <f>'1d_Cooking'!L14&gt;=SUM('1d_Cooking'!L15+'1d_Cooking'!L16+'1d_Cooking'!L17+'1d_Cooking'!L18)</f>
        <v>1</v>
      </c>
      <c r="L14" s="96" t="b">
        <f>'1d_Cooking'!M14&gt;=SUM('1d_Cooking'!M15+'1d_Cooking'!M16+'1d_Cooking'!M17+'1d_Cooking'!M18)</f>
        <v>1</v>
      </c>
      <c r="M14" s="96" t="b">
        <f>'1d_Cooking'!N14&gt;=SUM('1d_Cooking'!N15+'1d_Cooking'!N16+'1d_Cooking'!N17+'1d_Cooking'!N18)</f>
        <v>1</v>
      </c>
      <c r="N14" s="96" t="b">
        <f>'1d_Cooking'!O14&gt;=SUM('1d_Cooking'!O15+'1d_Cooking'!O16+'1d_Cooking'!O17+'1d_Cooking'!O18)</f>
        <v>1</v>
      </c>
    </row>
    <row r="15" spans="1:14" x14ac:dyDescent="0.25">
      <c r="A15" t="s">
        <v>155</v>
      </c>
      <c r="B15" t="s">
        <v>160</v>
      </c>
      <c r="C15" s="96" t="b">
        <f>'1f_OtherEndUses'!D10&gt;=SUM('1f_OtherEndUses'!D11+'1f_OtherEndUses'!D12+'1f_OtherEndUses'!D13)</f>
        <v>1</v>
      </c>
      <c r="D15" s="96" t="b">
        <f>'1f_OtherEndUses'!E10&gt;=SUM('1f_OtherEndUses'!E11+'1f_OtherEndUses'!E12+'1f_OtherEndUses'!E13)</f>
        <v>1</v>
      </c>
      <c r="E15" s="96" t="b">
        <f>'1f_OtherEndUses'!F10&gt;=SUM('1f_OtherEndUses'!F11+'1f_OtherEndUses'!F12+'1f_OtherEndUses'!F13)</f>
        <v>1</v>
      </c>
      <c r="F15" s="96" t="b">
        <f>'1f_OtherEndUses'!G10&gt;=SUM('1f_OtherEndUses'!G11+'1f_OtherEndUses'!G12+'1f_OtherEndUses'!G13)</f>
        <v>1</v>
      </c>
      <c r="G15" s="96" t="b">
        <f>'1f_OtherEndUses'!H10&gt;=SUM('1f_OtherEndUses'!H11+'1f_OtherEndUses'!H12+'1f_OtherEndUses'!H13)</f>
        <v>1</v>
      </c>
      <c r="H15" s="96" t="b">
        <f>'1f_OtherEndUses'!I10&gt;=SUM('1f_OtherEndUses'!I11+'1f_OtherEndUses'!I12+'1f_OtherEndUses'!I13)</f>
        <v>1</v>
      </c>
      <c r="I15" s="96" t="b">
        <f>'1f_OtherEndUses'!J10&gt;=SUM('1f_OtherEndUses'!J11+'1f_OtherEndUses'!J12+'1f_OtherEndUses'!J13)</f>
        <v>1</v>
      </c>
      <c r="J15" s="96" t="b">
        <f>'1f_OtherEndUses'!K10&gt;=SUM('1f_OtherEndUses'!K11+'1f_OtherEndUses'!K12+'1f_OtherEndUses'!K13)</f>
        <v>1</v>
      </c>
      <c r="K15" s="96" t="b">
        <f>'1f_OtherEndUses'!L10&gt;=SUM('1f_OtherEndUses'!L11+'1f_OtherEndUses'!L12+'1f_OtherEndUses'!L13)</f>
        <v>1</v>
      </c>
      <c r="L15" s="96" t="b">
        <f>'1f_OtherEndUses'!M10&gt;=SUM('1f_OtherEndUses'!M11+'1f_OtherEndUses'!M12+'1f_OtherEndUses'!M13)</f>
        <v>1</v>
      </c>
      <c r="M15" s="96" t="b">
        <f>'1f_OtherEndUses'!N10&gt;=SUM('1f_OtherEndUses'!N11+'1f_OtherEndUses'!N12+'1f_OtherEndUses'!N13)</f>
        <v>1</v>
      </c>
      <c r="N15" s="96" t="b">
        <f>'1f_OtherEndUses'!O10&gt;=SUM('1f_OtherEndUses'!O11+'1f_OtherEndUses'!O12+'1f_OtherEndUses'!O13)</f>
        <v>1</v>
      </c>
    </row>
    <row r="16" spans="1:14" x14ac:dyDescent="0.25">
      <c r="A16" t="s">
        <v>155</v>
      </c>
      <c r="B16" t="s">
        <v>161</v>
      </c>
      <c r="C16" s="96" t="b">
        <f>'1f_OtherEndUses'!D14&gt;=SUM('1f_OtherEndUses'!D15+'1f_OtherEndUses'!D16+'1f_OtherEndUses'!D17++'1f_OtherEndUses'!D18)</f>
        <v>1</v>
      </c>
      <c r="D16" s="96" t="b">
        <f>'1f_OtherEndUses'!E14&gt;=SUM('1f_OtherEndUses'!E15+'1f_OtherEndUses'!E16+'1f_OtherEndUses'!E17++'1f_OtherEndUses'!E18)</f>
        <v>1</v>
      </c>
      <c r="E16" s="96" t="b">
        <f>'1f_OtherEndUses'!F14&gt;=SUM('1f_OtherEndUses'!F15+'1f_OtherEndUses'!F16+'1f_OtherEndUses'!F17++'1f_OtherEndUses'!F18)</f>
        <v>1</v>
      </c>
      <c r="F16" s="96" t="b">
        <f>'1f_OtherEndUses'!G14&gt;=SUM('1f_OtherEndUses'!G15+'1f_OtherEndUses'!G16+'1f_OtherEndUses'!G17++'1f_OtherEndUses'!G18)</f>
        <v>1</v>
      </c>
      <c r="G16" s="96" t="b">
        <f>'1f_OtherEndUses'!H14&gt;=SUM('1f_OtherEndUses'!H15+'1f_OtherEndUses'!H16+'1f_OtherEndUses'!H17++'1f_OtherEndUses'!H18)</f>
        <v>1</v>
      </c>
      <c r="H16" s="96" t="b">
        <f>'1f_OtherEndUses'!I14&gt;=SUM('1f_OtherEndUses'!I15+'1f_OtherEndUses'!I16+'1f_OtherEndUses'!I17++'1f_OtherEndUses'!I18)</f>
        <v>1</v>
      </c>
      <c r="I16" s="96" t="b">
        <f>'1f_OtherEndUses'!J14&gt;=SUM('1f_OtherEndUses'!J15+'1f_OtherEndUses'!J16+'1f_OtherEndUses'!J17++'1f_OtherEndUses'!J18)</f>
        <v>1</v>
      </c>
      <c r="J16" s="96" t="b">
        <f>'1f_OtherEndUses'!K14&gt;=SUM('1f_OtherEndUses'!K15+'1f_OtherEndUses'!K16+'1f_OtherEndUses'!K17++'1f_OtherEndUses'!K18)</f>
        <v>1</v>
      </c>
      <c r="K16" s="96" t="b">
        <f>'1f_OtherEndUses'!L14&gt;=SUM('1f_OtherEndUses'!L15+'1f_OtherEndUses'!L16+'1f_OtherEndUses'!L17++'1f_OtherEndUses'!L18)</f>
        <v>1</v>
      </c>
      <c r="L16" s="96" t="b">
        <f>'1f_OtherEndUses'!M14&gt;=SUM('1f_OtherEndUses'!M15+'1f_OtherEndUses'!M16+'1f_OtherEndUses'!M17++'1f_OtherEndUses'!M18)</f>
        <v>1</v>
      </c>
      <c r="M16" s="96" t="b">
        <f>'1f_OtherEndUses'!N14&gt;=SUM('1f_OtherEndUses'!N15+'1f_OtherEndUses'!N16+'1f_OtherEndUses'!N17++'1f_OtherEndUses'!N18)</f>
        <v>1</v>
      </c>
      <c r="N16" s="96" t="b">
        <f>'1f_OtherEndUses'!O14&gt;=SUM('1f_OtherEndUses'!O15+'1f_OtherEndUses'!O16+'1f_OtherEndUses'!O17++'1f_OtherEndUses'!O18)</f>
        <v>1</v>
      </c>
    </row>
    <row r="17" spans="1:14" x14ac:dyDescent="0.25">
      <c r="A17" t="s">
        <v>152</v>
      </c>
      <c r="B17" t="s">
        <v>162</v>
      </c>
      <c r="C17" s="96" t="str">
        <f>IF('1a_SpaceHeating'!D9&gt;0,IF(AND(Calorific_Values!D9&lt;=30000,Calorific_Values!D9&gt;=5000),"TRUE","FALSE"),"TRUE")</f>
        <v>TRUE</v>
      </c>
      <c r="D17" s="96" t="str">
        <f>IF('1a_SpaceHeating'!E9&gt;0,IF(AND(Calorific_Values!E9&lt;=30000,Calorific_Values!E9&gt;=5000),"TRUE","FALSE"),"TRUE")</f>
        <v>TRUE</v>
      </c>
      <c r="E17" s="96" t="str">
        <f>IF('1a_SpaceHeating'!F9&gt;0,IF(AND(Calorific_Values!F9&lt;=30000,Calorific_Values!F9&gt;=5000),"TRUE","FALSE"),"TRUE")</f>
        <v>TRUE</v>
      </c>
      <c r="F17" s="96" t="str">
        <f>IF('1a_SpaceHeating'!G9&gt;0,IF(AND(Calorific_Values!G9&lt;=30000,Calorific_Values!G9&gt;=5000),"TRUE","FALSE"),"TRUE")</f>
        <v>TRUE</v>
      </c>
      <c r="G17" s="96" t="str">
        <f>IF('1a_SpaceHeating'!H9&gt;0,IF(AND(Calorific_Values!H9&lt;=30000,Calorific_Values!H9&gt;=5000),"TRUE","FALSE"),"TRUE")</f>
        <v>TRUE</v>
      </c>
      <c r="H17" s="96" t="str">
        <f>IF('1a_SpaceHeating'!I9&gt;0,IF(AND(Calorific_Values!I9&lt;=30000,Calorific_Values!I9&gt;=5000),"TRUE","FALSE"),"TRUE")</f>
        <v>TRUE</v>
      </c>
      <c r="I17" s="96" t="str">
        <f>IF('1a_SpaceHeating'!J9&gt;0,IF(AND(Calorific_Values!J9&lt;=30000,Calorific_Values!J9&gt;=5000),"TRUE","FALSE"),"TRUE")</f>
        <v>TRUE</v>
      </c>
      <c r="J17" s="96" t="str">
        <f>IF('1a_SpaceHeating'!K9&gt;0,IF(AND(Calorific_Values!K9&lt;=30000,Calorific_Values!K9&gt;=5000),"TRUE","FALSE"),"TRUE")</f>
        <v>TRUE</v>
      </c>
      <c r="K17" s="96" t="str">
        <f>IF('1a_SpaceHeating'!L9&gt;0,IF(AND(Calorific_Values!L9&lt;=30000,Calorific_Values!L9&gt;=5000),"TRUE","FALSE"),"TRUE")</f>
        <v>TRUE</v>
      </c>
      <c r="L17" s="96" t="str">
        <f>IF('1a_SpaceHeating'!M9&gt;0,IF(AND(Calorific_Values!M9&lt;=30000,Calorific_Values!M9&gt;=5000),"TRUE","FALSE"),"TRUE")</f>
        <v>TRUE</v>
      </c>
      <c r="M17" s="96" t="str">
        <f>IF('1a_SpaceHeating'!N9&gt;0,IF(AND(Calorific_Values!N9&lt;=30000,Calorific_Values!N9&gt;=5000),"TRUE","FALSE"),"TRUE")</f>
        <v>TRUE</v>
      </c>
      <c r="N17" s="96" t="str">
        <f>IF('1a_SpaceHeating'!O9&gt;0,IF(AND(Calorific_Values!O9&lt;=30000,Calorific_Values!O9&gt;=5000),"TRUE","FALSE"),"TRUE")</f>
        <v>TRUE</v>
      </c>
    </row>
    <row r="18" spans="1:14" x14ac:dyDescent="0.25">
      <c r="A18" t="s">
        <v>152</v>
      </c>
      <c r="B18" t="s">
        <v>163</v>
      </c>
      <c r="C18" s="96" t="str">
        <f>IF('1a_SpaceHeating'!D10&gt;0,IF(AND(Calorific_Values!D10&lt;=50000,Calorific_Values!D10&gt;=40000),"TRUE","FALSE"),"TRUE")</f>
        <v>TRUE</v>
      </c>
      <c r="D18" s="96" t="str">
        <f>IF('1a_SpaceHeating'!E10&gt;0,IF(AND(Calorific_Values!E10&lt;=50000,Calorific_Values!E10&gt;=40000),"TRUE","FALSE"),"TRUE")</f>
        <v>TRUE</v>
      </c>
      <c r="E18" s="96" t="str">
        <f>IF('1a_SpaceHeating'!F10&gt;0,IF(AND(Calorific_Values!F10&lt;=50000,Calorific_Values!F10&gt;=40000),"TRUE","FALSE"),"TRUE")</f>
        <v>TRUE</v>
      </c>
      <c r="F18" s="96" t="str">
        <f>IF('1a_SpaceHeating'!G10&gt;0,IF(AND(Calorific_Values!G10&lt;=50000,Calorific_Values!G10&gt;=40000),"TRUE","FALSE"),"TRUE")</f>
        <v>TRUE</v>
      </c>
      <c r="G18" s="96" t="str">
        <f>IF('1a_SpaceHeating'!H10&gt;0,IF(AND(Calorific_Values!H10&lt;=50000,Calorific_Values!H10&gt;=40000),"TRUE","FALSE"),"TRUE")</f>
        <v>TRUE</v>
      </c>
      <c r="H18" s="96" t="str">
        <f>IF('1a_SpaceHeating'!I10&gt;0,IF(AND(Calorific_Values!I10&lt;=50000,Calorific_Values!I10&gt;=40000),"TRUE","FALSE"),"TRUE")</f>
        <v>TRUE</v>
      </c>
      <c r="I18" s="96" t="str">
        <f>IF('1a_SpaceHeating'!J10&gt;0,IF(AND(Calorific_Values!J10&lt;=50000,Calorific_Values!J10&gt;=40000),"TRUE","FALSE"),"TRUE")</f>
        <v>TRUE</v>
      </c>
      <c r="J18" s="96" t="str">
        <f>IF('1a_SpaceHeating'!K10&gt;0,IF(AND(Calorific_Values!K10&lt;=50000,Calorific_Values!K10&gt;=40000),"TRUE","FALSE"),"TRUE")</f>
        <v>TRUE</v>
      </c>
      <c r="K18" s="96" t="str">
        <f>IF('1a_SpaceHeating'!L10&gt;0,IF(AND(Calorific_Values!L10&lt;=50000,Calorific_Values!L10&gt;=40000),"TRUE","FALSE"),"TRUE")</f>
        <v>TRUE</v>
      </c>
      <c r="L18" s="96" t="str">
        <f>IF('1a_SpaceHeating'!M10&gt;0,IF(AND(Calorific_Values!M10&lt;=50000,Calorific_Values!M10&gt;=40000),"TRUE","FALSE"),"TRUE")</f>
        <v>TRUE</v>
      </c>
      <c r="M18" s="96" t="str">
        <f>IF('1a_SpaceHeating'!N10&gt;0,IF(AND(Calorific_Values!N10&lt;=50000,Calorific_Values!N10&gt;=40000),"TRUE","FALSE"),"TRUE")</f>
        <v>TRUE</v>
      </c>
      <c r="N18" s="96" t="str">
        <f>IF('1a_SpaceHeating'!O10&gt;0,IF(AND(Calorific_Values!O10&lt;=50000,Calorific_Values!O10&gt;=40000),"TRUE","FALSE"),"TRUE")</f>
        <v>TRUE</v>
      </c>
    </row>
    <row r="19" spans="1:14" x14ac:dyDescent="0.25">
      <c r="A19" t="s">
        <v>152</v>
      </c>
      <c r="B19" t="s">
        <v>164</v>
      </c>
      <c r="C19" s="96" t="str">
        <f>IF('1a_SpaceHeating'!D11&gt;0,IF(AND(Calorific_Values!D11&lt;=50000,Calorific_Values!D11&gt;=40000),"TRUE","FALSE"),"TRUE")</f>
        <v>TRUE</v>
      </c>
      <c r="D19" s="96" t="str">
        <f>IF('1a_SpaceHeating'!E11&gt;0,IF(AND(Calorific_Values!E11&lt;=50000,Calorific_Values!E11&gt;=40000),"TRUE","FALSE"),"TRUE")</f>
        <v>TRUE</v>
      </c>
      <c r="E19" s="96" t="str">
        <f>IF('1a_SpaceHeating'!F11&gt;0,IF(AND(Calorific_Values!F11&lt;=50000,Calorific_Values!F11&gt;=40000),"TRUE","FALSE"),"TRUE")</f>
        <v>TRUE</v>
      </c>
      <c r="F19" s="96" t="str">
        <f>IF('1a_SpaceHeating'!G11&gt;0,IF(AND(Calorific_Values!G11&lt;=50000,Calorific_Values!G11&gt;=40000),"TRUE","FALSE"),"TRUE")</f>
        <v>TRUE</v>
      </c>
      <c r="G19" s="96" t="str">
        <f>IF('1a_SpaceHeating'!H11&gt;0,IF(AND(Calorific_Values!H11&lt;=50000,Calorific_Values!H11&gt;=40000),"TRUE","FALSE"),"TRUE")</f>
        <v>TRUE</v>
      </c>
      <c r="H19" s="96" t="str">
        <f>IF('1a_SpaceHeating'!I11&gt;0,IF(AND(Calorific_Values!I11&lt;=50000,Calorific_Values!I11&gt;=40000),"TRUE","FALSE"),"TRUE")</f>
        <v>TRUE</v>
      </c>
      <c r="I19" s="96" t="str">
        <f>IF('1a_SpaceHeating'!J11&gt;0,IF(AND(Calorific_Values!J11&lt;=50000,Calorific_Values!J11&gt;=40000),"TRUE","FALSE"),"TRUE")</f>
        <v>TRUE</v>
      </c>
      <c r="J19" s="96" t="str">
        <f>IF('1a_SpaceHeating'!K11&gt;0,IF(AND(Calorific_Values!K11&lt;=50000,Calorific_Values!K11&gt;=40000),"TRUE","FALSE"),"TRUE")</f>
        <v>TRUE</v>
      </c>
      <c r="K19" s="96" t="str">
        <f>IF('1a_SpaceHeating'!L11&gt;0,IF(AND(Calorific_Values!L11&lt;=50000,Calorific_Values!L11&gt;=40000),"TRUE","FALSE"),"TRUE")</f>
        <v>TRUE</v>
      </c>
      <c r="L19" s="96" t="str">
        <f>IF('1a_SpaceHeating'!M11&gt;0,IF(AND(Calorific_Values!M11&lt;=50000,Calorific_Values!M11&gt;=40000),"TRUE","FALSE"),"TRUE")</f>
        <v>TRUE</v>
      </c>
      <c r="M19" s="96" t="str">
        <f>IF('1a_SpaceHeating'!N11&gt;0,IF(AND(Calorific_Values!N11&lt;=50000,Calorific_Values!N11&gt;=40000),"TRUE","FALSE"),"TRUE")</f>
        <v>TRUE</v>
      </c>
      <c r="N19" s="96" t="str">
        <f>IF('1a_SpaceHeating'!O11&gt;0,IF(AND(Calorific_Values!O11&lt;=50000,Calorific_Values!O11&gt;=40000),"TRUE","FALSE"),"TRUE")</f>
        <v>TRUE</v>
      </c>
    </row>
    <row r="20" spans="1:14" x14ac:dyDescent="0.25">
      <c r="A20" t="s">
        <v>152</v>
      </c>
      <c r="B20" t="s">
        <v>165</v>
      </c>
      <c r="C20" s="96" t="str">
        <f>IF('1a_SpaceHeating'!D12&gt;0,IF(AND(Calorific_Values!D12&lt;=45000,Calorific_Values!D12&gt;=40000),"TRUE","FALSE"),"TRUE")</f>
        <v>TRUE</v>
      </c>
      <c r="D20" s="96" t="str">
        <f>IF('1a_SpaceHeating'!E12&gt;0,IF(AND(Calorific_Values!E12&lt;=45000,Calorific_Values!E12&gt;=40000),"TRUE","FALSE"),"TRUE")</f>
        <v>TRUE</v>
      </c>
      <c r="E20" s="96" t="str">
        <f>IF('1a_SpaceHeating'!F12&gt;0,IF(AND(Calorific_Values!F12&lt;=45000,Calorific_Values!F12&gt;=40000),"TRUE","FALSE"),"TRUE")</f>
        <v>TRUE</v>
      </c>
      <c r="F20" s="96" t="str">
        <f>IF('1a_SpaceHeating'!G12&gt;0,IF(AND(Calorific_Values!G12&lt;=45000,Calorific_Values!G12&gt;=40000),"TRUE","FALSE"),"TRUE")</f>
        <v>TRUE</v>
      </c>
      <c r="G20" s="96" t="str">
        <f>IF('1a_SpaceHeating'!H12&gt;0,IF(AND(Calorific_Values!H12&lt;=45000,Calorific_Values!H12&gt;=40000),"TRUE","FALSE"),"TRUE")</f>
        <v>TRUE</v>
      </c>
      <c r="H20" s="96" t="str">
        <f>IF('1a_SpaceHeating'!I12&gt;0,IF(AND(Calorific_Values!I12&lt;=45000,Calorific_Values!I12&gt;=40000),"TRUE","FALSE"),"TRUE")</f>
        <v>TRUE</v>
      </c>
      <c r="I20" s="96" t="str">
        <f>IF('1a_SpaceHeating'!J12&gt;0,IF(AND(Calorific_Values!J12&lt;=45000,Calorific_Values!J12&gt;=40000),"TRUE","FALSE"),"TRUE")</f>
        <v>TRUE</v>
      </c>
      <c r="J20" s="96" t="str">
        <f>IF('1a_SpaceHeating'!K12&gt;0,IF(AND(Calorific_Values!K12&lt;=45000,Calorific_Values!K12&gt;=40000),"TRUE","FALSE"),"TRUE")</f>
        <v>TRUE</v>
      </c>
      <c r="K20" s="96" t="str">
        <f>IF('1a_SpaceHeating'!L12&gt;0,IF(AND(Calorific_Values!L12&lt;=45000,Calorific_Values!L12&gt;=40000),"TRUE","FALSE"),"TRUE")</f>
        <v>TRUE</v>
      </c>
      <c r="L20" s="96" t="str">
        <f>IF('1a_SpaceHeating'!M12&gt;0,IF(AND(Calorific_Values!M12&lt;=45000,Calorific_Values!M12&gt;=40000),"TRUE","FALSE"),"TRUE")</f>
        <v>TRUE</v>
      </c>
      <c r="M20" s="96" t="str">
        <f>IF('1a_SpaceHeating'!N12&gt;0,IF(AND(Calorific_Values!N12&lt;=45000,Calorific_Values!N12&gt;=40000),"TRUE","FALSE"),"TRUE")</f>
        <v>TRUE</v>
      </c>
      <c r="N20" s="96" t="str">
        <f>IF('1a_SpaceHeating'!O12&gt;0,IF(AND(Calorific_Values!O12&lt;=45000,Calorific_Values!O12&gt;=40000),"TRUE","FALSE"),"TRUE")</f>
        <v>TRUE</v>
      </c>
    </row>
    <row r="21" spans="1:14" x14ac:dyDescent="0.25">
      <c r="A21" t="s">
        <v>152</v>
      </c>
      <c r="B21" t="s">
        <v>166</v>
      </c>
      <c r="C21" s="96" t="str">
        <f>IF('1a_SpaceHeating'!D13&gt;0,IF(AND(Calorific_Values!D13&lt;=45000,Calorific_Values!D13&gt;=40000),"TRUE","FALSE"),"TRUE")</f>
        <v>TRUE</v>
      </c>
      <c r="D21" s="96" t="str">
        <f>IF('1a_SpaceHeating'!E13&gt;0,IF(AND(Calorific_Values!E13&lt;=45000,Calorific_Values!E13&gt;=40000),"TRUE","FALSE"),"TRUE")</f>
        <v>TRUE</v>
      </c>
      <c r="E21" s="96" t="str">
        <f>IF('1a_SpaceHeating'!F13&gt;0,IF(AND(Calorific_Values!F13&lt;=45000,Calorific_Values!F13&gt;=40000),"TRUE","FALSE"),"TRUE")</f>
        <v>TRUE</v>
      </c>
      <c r="F21" s="96" t="str">
        <f>IF('1a_SpaceHeating'!G13&gt;0,IF(AND(Calorific_Values!G13&lt;=45000,Calorific_Values!G13&gt;=40000),"TRUE","FALSE"),"TRUE")</f>
        <v>TRUE</v>
      </c>
      <c r="G21" s="96" t="str">
        <f>IF('1a_SpaceHeating'!H13&gt;0,IF(AND(Calorific_Values!H13&lt;=45000,Calorific_Values!H13&gt;=40000),"TRUE","FALSE"),"TRUE")</f>
        <v>TRUE</v>
      </c>
      <c r="H21" s="96" t="str">
        <f>IF('1a_SpaceHeating'!I13&gt;0,IF(AND(Calorific_Values!I13&lt;=45000,Calorific_Values!I13&gt;=40000),"TRUE","FALSE"),"TRUE")</f>
        <v>TRUE</v>
      </c>
      <c r="I21" s="96" t="str">
        <f>IF('1a_SpaceHeating'!J13&gt;0,IF(AND(Calorific_Values!J13&lt;=45000,Calorific_Values!J13&gt;=40000),"TRUE","FALSE"),"TRUE")</f>
        <v>TRUE</v>
      </c>
      <c r="J21" s="96" t="str">
        <f>IF('1a_SpaceHeating'!K13&gt;0,IF(AND(Calorific_Values!K13&lt;=45000,Calorific_Values!K13&gt;=40000),"TRUE","FALSE"),"TRUE")</f>
        <v>TRUE</v>
      </c>
      <c r="K21" s="96" t="str">
        <f>IF('1a_SpaceHeating'!L13&gt;0,IF(AND(Calorific_Values!L13&lt;=45000,Calorific_Values!L13&gt;=40000),"TRUE","FALSE"),"TRUE")</f>
        <v>TRUE</v>
      </c>
      <c r="L21" s="96" t="str">
        <f>IF('1a_SpaceHeating'!M13&gt;0,IF(AND(Calorific_Values!M13&lt;=45000,Calorific_Values!M13&gt;=40000),"TRUE","FALSE"),"TRUE")</f>
        <v>TRUE</v>
      </c>
      <c r="M21" s="96" t="str">
        <f>IF('1a_SpaceHeating'!N13&gt;0,IF(AND(Calorific_Values!N13&lt;=45000,Calorific_Values!N13&gt;=40000),"TRUE","FALSE"),"TRUE")</f>
        <v>TRUE</v>
      </c>
      <c r="N21" s="96" t="str">
        <f>IF('1a_SpaceHeating'!O13&gt;0,IF(AND(Calorific_Values!O13&lt;=45000,Calorific_Values!O13&gt;=40000),"TRUE","FALSE"),"TRUE")</f>
        <v>TRUE</v>
      </c>
    </row>
    <row r="22" spans="1:14" x14ac:dyDescent="0.25">
      <c r="A22" t="s">
        <v>169</v>
      </c>
      <c r="B22" t="s">
        <v>162</v>
      </c>
      <c r="C22" s="96" t="str">
        <f>IF('1b_SpaceCooling'!D9&gt;0,IF(AND(Calorific_Values!D9&lt;=30000,Calorific_Values!D9&gt;=5000),"TRUE","FALSE"),"TRUE")</f>
        <v>TRUE</v>
      </c>
      <c r="D22" s="96" t="str">
        <f>IF('1b_SpaceCooling'!E9&gt;0,IF(AND(Calorific_Values!E9&lt;=30000,Calorific_Values!E9&gt;=5000),"TRUE","FALSE"),"TRUE")</f>
        <v>TRUE</v>
      </c>
      <c r="E22" s="96" t="str">
        <f>IF('1b_SpaceCooling'!F9&gt;0,IF(AND(Calorific_Values!F9&lt;=30000,Calorific_Values!F9&gt;=5000),"TRUE","FALSE"),"TRUE")</f>
        <v>TRUE</v>
      </c>
      <c r="F22" s="96" t="str">
        <f>IF('1b_SpaceCooling'!G9&gt;0,IF(AND(Calorific_Values!G9&lt;=30000,Calorific_Values!G9&gt;=5000),"TRUE","FALSE"),"TRUE")</f>
        <v>TRUE</v>
      </c>
      <c r="G22" s="96" t="str">
        <f>IF('1b_SpaceCooling'!H9&gt;0,IF(AND(Calorific_Values!H9&lt;=30000,Calorific_Values!H9&gt;=5000),"TRUE","FALSE"),"TRUE")</f>
        <v>TRUE</v>
      </c>
      <c r="H22" s="96" t="str">
        <f>IF('1b_SpaceCooling'!I9&gt;0,IF(AND(Calorific_Values!I9&lt;=30000,Calorific_Values!I9&gt;=5000),"TRUE","FALSE"),"TRUE")</f>
        <v>TRUE</v>
      </c>
      <c r="I22" s="96" t="str">
        <f>IF('1b_SpaceCooling'!J9&gt;0,IF(AND(Calorific_Values!J9&lt;=30000,Calorific_Values!J9&gt;=5000),"TRUE","FALSE"),"TRUE")</f>
        <v>TRUE</v>
      </c>
      <c r="J22" s="96" t="str">
        <f>IF('1b_SpaceCooling'!K9&gt;0,IF(AND(Calorific_Values!K9&lt;=30000,Calorific_Values!K9&gt;=5000),"TRUE","FALSE"),"TRUE")</f>
        <v>TRUE</v>
      </c>
      <c r="K22" s="96" t="str">
        <f>IF('1b_SpaceCooling'!L9&gt;0,IF(AND(Calorific_Values!L9&lt;=30000,Calorific_Values!L9&gt;=5000),"TRUE","FALSE"),"TRUE")</f>
        <v>TRUE</v>
      </c>
      <c r="L22" s="96" t="str">
        <f>IF('1b_SpaceCooling'!M9&gt;0,IF(AND(Calorific_Values!M9&lt;=30000,Calorific_Values!M9&gt;=5000),"TRUE","FALSE"),"TRUE")</f>
        <v>TRUE</v>
      </c>
      <c r="M22" s="96" t="str">
        <f>IF('1b_SpaceCooling'!N9&gt;0,IF(AND(Calorific_Values!N9&lt;=30000,Calorific_Values!N9&gt;=5000),"TRUE","FALSE"),"TRUE")</f>
        <v>TRUE</v>
      </c>
      <c r="N22" s="96" t="str">
        <f>IF('1b_SpaceCooling'!O9&gt;0,IF(AND(Calorific_Values!O9&lt;=30000,Calorific_Values!O9&gt;=5000),"TRUE","FALSE"),"TRUE")</f>
        <v>TRUE</v>
      </c>
    </row>
    <row r="23" spans="1:14" x14ac:dyDescent="0.25">
      <c r="A23" t="s">
        <v>169</v>
      </c>
      <c r="B23" t="s">
        <v>163</v>
      </c>
      <c r="C23" s="96" t="str">
        <f>IF('1b_SpaceCooling'!D10&gt;0,IF(AND(Calorific_Values!D10&lt;=30000,Calorific_Values!D10&gt;=5000),"TRUE","FALSE"),"TRUE")</f>
        <v>TRUE</v>
      </c>
      <c r="D23" s="96" t="str">
        <f>IF('1b_SpaceCooling'!E10&gt;0,IF(AND(Calorific_Values!E10&lt;=30000,Calorific_Values!E10&gt;=5000),"TRUE","FALSE"),"TRUE")</f>
        <v>TRUE</v>
      </c>
      <c r="E23" s="96" t="str">
        <f>IF('1b_SpaceCooling'!F10&gt;0,IF(AND(Calorific_Values!F10&lt;=30000,Calorific_Values!F10&gt;=5000),"TRUE","FALSE"),"TRUE")</f>
        <v>TRUE</v>
      </c>
      <c r="F23" s="96" t="str">
        <f>IF('1b_SpaceCooling'!G10&gt;0,IF(AND(Calorific_Values!G10&lt;=30000,Calorific_Values!G10&gt;=5000),"TRUE","FALSE"),"TRUE")</f>
        <v>TRUE</v>
      </c>
      <c r="G23" s="96" t="str">
        <f>IF('1b_SpaceCooling'!H10&gt;0,IF(AND(Calorific_Values!H10&lt;=30000,Calorific_Values!H10&gt;=5000),"TRUE","FALSE"),"TRUE")</f>
        <v>TRUE</v>
      </c>
      <c r="H23" s="96" t="str">
        <f>IF('1b_SpaceCooling'!I10&gt;0,IF(AND(Calorific_Values!I10&lt;=30000,Calorific_Values!I10&gt;=5000),"TRUE","FALSE"),"TRUE")</f>
        <v>TRUE</v>
      </c>
      <c r="I23" s="96" t="str">
        <f>IF('1b_SpaceCooling'!J10&gt;0,IF(AND(Calorific_Values!J10&lt;=30000,Calorific_Values!J10&gt;=5000),"TRUE","FALSE"),"TRUE")</f>
        <v>TRUE</v>
      </c>
      <c r="J23" s="96" t="str">
        <f>IF('1b_SpaceCooling'!K10&gt;0,IF(AND(Calorific_Values!K10&lt;=30000,Calorific_Values!K10&gt;=5000),"TRUE","FALSE"),"TRUE")</f>
        <v>TRUE</v>
      </c>
      <c r="K23" s="96" t="str">
        <f>IF('1b_SpaceCooling'!L10&gt;0,IF(AND(Calorific_Values!L10&lt;=30000,Calorific_Values!L10&gt;=5000),"TRUE","FALSE"),"TRUE")</f>
        <v>TRUE</v>
      </c>
      <c r="L23" s="96" t="str">
        <f>IF('1b_SpaceCooling'!M10&gt;0,IF(AND(Calorific_Values!M10&lt;=30000,Calorific_Values!M10&gt;=5000),"TRUE","FALSE"),"TRUE")</f>
        <v>TRUE</v>
      </c>
      <c r="M23" s="96" t="str">
        <f>IF('1b_SpaceCooling'!N10&gt;0,IF(AND(Calorific_Values!N10&lt;=30000,Calorific_Values!N10&gt;=5000),"TRUE","FALSE"),"TRUE")</f>
        <v>TRUE</v>
      </c>
      <c r="N23" s="96" t="str">
        <f>IF('1b_SpaceCooling'!O10&gt;0,IF(AND(Calorific_Values!O10&lt;=30000,Calorific_Values!O10&gt;=5000),"TRUE","FALSE"),"TRUE")</f>
        <v>TRUE</v>
      </c>
    </row>
    <row r="24" spans="1:14" x14ac:dyDescent="0.25">
      <c r="A24" t="s">
        <v>169</v>
      </c>
      <c r="B24" t="s">
        <v>164</v>
      </c>
      <c r="C24" s="96" t="str">
        <f>IF('1b_SpaceCooling'!D11&gt;0,IF(AND(Calorific_Values!D11&lt;=30000,Calorific_Values!D11&gt;=5000),"TRUE","FALSE"),"TRUE")</f>
        <v>TRUE</v>
      </c>
      <c r="D24" s="96" t="str">
        <f>IF('1b_SpaceCooling'!E11&gt;0,IF(AND(Calorific_Values!E11&lt;=30000,Calorific_Values!E11&gt;=5000),"TRUE","FALSE"),"TRUE")</f>
        <v>TRUE</v>
      </c>
      <c r="E24" s="96" t="str">
        <f>IF('1b_SpaceCooling'!F11&gt;0,IF(AND(Calorific_Values!F11&lt;=30000,Calorific_Values!F11&gt;=5000),"TRUE","FALSE"),"TRUE")</f>
        <v>TRUE</v>
      </c>
      <c r="F24" s="96" t="str">
        <f>IF('1b_SpaceCooling'!G11&gt;0,IF(AND(Calorific_Values!G11&lt;=30000,Calorific_Values!G11&gt;=5000),"TRUE","FALSE"),"TRUE")</f>
        <v>TRUE</v>
      </c>
      <c r="G24" s="96" t="str">
        <f>IF('1b_SpaceCooling'!H11&gt;0,IF(AND(Calorific_Values!H11&lt;=30000,Calorific_Values!H11&gt;=5000),"TRUE","FALSE"),"TRUE")</f>
        <v>TRUE</v>
      </c>
      <c r="H24" s="96" t="str">
        <f>IF('1b_SpaceCooling'!I11&gt;0,IF(AND(Calorific_Values!I11&lt;=30000,Calorific_Values!I11&gt;=5000),"TRUE","FALSE"),"TRUE")</f>
        <v>TRUE</v>
      </c>
      <c r="I24" s="96" t="str">
        <f>IF('1b_SpaceCooling'!J11&gt;0,IF(AND(Calorific_Values!J11&lt;=30000,Calorific_Values!J11&gt;=5000),"TRUE","FALSE"),"TRUE")</f>
        <v>TRUE</v>
      </c>
      <c r="J24" s="96" t="str">
        <f>IF('1b_SpaceCooling'!K11&gt;0,IF(AND(Calorific_Values!K11&lt;=30000,Calorific_Values!K11&gt;=5000),"TRUE","FALSE"),"TRUE")</f>
        <v>TRUE</v>
      </c>
      <c r="K24" s="96" t="str">
        <f>IF('1b_SpaceCooling'!L11&gt;0,IF(AND(Calorific_Values!L11&lt;=30000,Calorific_Values!L11&gt;=5000),"TRUE","FALSE"),"TRUE")</f>
        <v>TRUE</v>
      </c>
      <c r="L24" s="96" t="str">
        <f>IF('1b_SpaceCooling'!M11&gt;0,IF(AND(Calorific_Values!M11&lt;=30000,Calorific_Values!M11&gt;=5000),"TRUE","FALSE"),"TRUE")</f>
        <v>TRUE</v>
      </c>
      <c r="M24" s="96" t="str">
        <f>IF('1b_SpaceCooling'!N11&gt;0,IF(AND(Calorific_Values!N11&lt;=30000,Calorific_Values!N11&gt;=5000),"TRUE","FALSE"),"TRUE")</f>
        <v>TRUE</v>
      </c>
      <c r="N24" s="96" t="str">
        <f>IF('1b_SpaceCooling'!O11&gt;0,IF(AND(Calorific_Values!O11&lt;=30000,Calorific_Values!O11&gt;=5000),"TRUE","FALSE"),"TRUE")</f>
        <v>TRUE</v>
      </c>
    </row>
    <row r="25" spans="1:14" x14ac:dyDescent="0.25">
      <c r="A25" t="s">
        <v>169</v>
      </c>
      <c r="B25" t="s">
        <v>165</v>
      </c>
      <c r="C25" s="96" t="str">
        <f>IF('1b_SpaceCooling'!D12&gt;0,IF(AND(Calorific_Values!D12&lt;=30000,Calorific_Values!D12&gt;=5000),"TRUE","FALSE"),"TRUE")</f>
        <v>TRUE</v>
      </c>
      <c r="D25" s="96" t="str">
        <f>IF('1b_SpaceCooling'!E12&gt;0,IF(AND(Calorific_Values!E12&lt;=30000,Calorific_Values!E12&gt;=5000),"TRUE","FALSE"),"TRUE")</f>
        <v>TRUE</v>
      </c>
      <c r="E25" s="96" t="str">
        <f>IF('1b_SpaceCooling'!F12&gt;0,IF(AND(Calorific_Values!F12&lt;=30000,Calorific_Values!F12&gt;=5000),"TRUE","FALSE"),"TRUE")</f>
        <v>TRUE</v>
      </c>
      <c r="F25" s="96" t="str">
        <f>IF('1b_SpaceCooling'!G12&gt;0,IF(AND(Calorific_Values!G12&lt;=30000,Calorific_Values!G12&gt;=5000),"TRUE","FALSE"),"TRUE")</f>
        <v>TRUE</v>
      </c>
      <c r="G25" s="96" t="str">
        <f>IF('1b_SpaceCooling'!H12&gt;0,IF(AND(Calorific_Values!H12&lt;=30000,Calorific_Values!H12&gt;=5000),"TRUE","FALSE"),"TRUE")</f>
        <v>TRUE</v>
      </c>
      <c r="H25" s="96" t="str">
        <f>IF('1b_SpaceCooling'!I12&gt;0,IF(AND(Calorific_Values!I12&lt;=30000,Calorific_Values!I12&gt;=5000),"TRUE","FALSE"),"TRUE")</f>
        <v>TRUE</v>
      </c>
      <c r="I25" s="96" t="str">
        <f>IF('1b_SpaceCooling'!J12&gt;0,IF(AND(Calorific_Values!J12&lt;=30000,Calorific_Values!J12&gt;=5000),"TRUE","FALSE"),"TRUE")</f>
        <v>TRUE</v>
      </c>
      <c r="J25" s="96" t="str">
        <f>IF('1b_SpaceCooling'!K12&gt;0,IF(AND(Calorific_Values!K12&lt;=30000,Calorific_Values!K12&gt;=5000),"TRUE","FALSE"),"TRUE")</f>
        <v>TRUE</v>
      </c>
      <c r="K25" s="96" t="str">
        <f>IF('1b_SpaceCooling'!L12&gt;0,IF(AND(Calorific_Values!L12&lt;=30000,Calorific_Values!L12&gt;=5000),"TRUE","FALSE"),"TRUE")</f>
        <v>TRUE</v>
      </c>
      <c r="L25" s="96" t="str">
        <f>IF('1b_SpaceCooling'!M12&gt;0,IF(AND(Calorific_Values!M12&lt;=30000,Calorific_Values!M12&gt;=5000),"TRUE","FALSE"),"TRUE")</f>
        <v>TRUE</v>
      </c>
      <c r="M25" s="96" t="str">
        <f>IF('1b_SpaceCooling'!N12&gt;0,IF(AND(Calorific_Values!N12&lt;=30000,Calorific_Values!N12&gt;=5000),"TRUE","FALSE"),"TRUE")</f>
        <v>TRUE</v>
      </c>
      <c r="N25" s="96" t="str">
        <f>IF('1b_SpaceCooling'!O12&gt;0,IF(AND(Calorific_Values!O12&lt;=30000,Calorific_Values!O12&gt;=5000),"TRUE","FALSE"),"TRUE")</f>
        <v>TRUE</v>
      </c>
    </row>
    <row r="26" spans="1:14" x14ac:dyDescent="0.25">
      <c r="A26" t="s">
        <v>169</v>
      </c>
      <c r="B26" t="s">
        <v>166</v>
      </c>
      <c r="C26" s="96" t="str">
        <f>IF('1b_SpaceCooling'!D13&gt;0,IF(AND(Calorific_Values!D13&lt;=30000,Calorific_Values!D13&gt;=5000),"TRUE","FALSE"),"TRUE")</f>
        <v>TRUE</v>
      </c>
      <c r="D26" s="96" t="str">
        <f>IF('1b_SpaceCooling'!E13&gt;0,IF(AND(Calorific_Values!E13&lt;=30000,Calorific_Values!E13&gt;=5000),"TRUE","FALSE"),"TRUE")</f>
        <v>TRUE</v>
      </c>
      <c r="E26" s="96" t="str">
        <f>IF('1b_SpaceCooling'!F13&gt;0,IF(AND(Calorific_Values!F13&lt;=30000,Calorific_Values!F13&gt;=5000),"TRUE","FALSE"),"TRUE")</f>
        <v>TRUE</v>
      </c>
      <c r="F26" s="96" t="str">
        <f>IF('1b_SpaceCooling'!G13&gt;0,IF(AND(Calorific_Values!G13&lt;=30000,Calorific_Values!G13&gt;=5000),"TRUE","FALSE"),"TRUE")</f>
        <v>TRUE</v>
      </c>
      <c r="G26" s="96" t="str">
        <f>IF('1b_SpaceCooling'!H13&gt;0,IF(AND(Calorific_Values!H13&lt;=30000,Calorific_Values!H13&gt;=5000),"TRUE","FALSE"),"TRUE")</f>
        <v>TRUE</v>
      </c>
      <c r="H26" s="96" t="str">
        <f>IF('1b_SpaceCooling'!I13&gt;0,IF(AND(Calorific_Values!I13&lt;=30000,Calorific_Values!I13&gt;=5000),"TRUE","FALSE"),"TRUE")</f>
        <v>TRUE</v>
      </c>
      <c r="I26" s="96" t="str">
        <f>IF('1b_SpaceCooling'!J13&gt;0,IF(AND(Calorific_Values!J13&lt;=30000,Calorific_Values!J13&gt;=5000),"TRUE","FALSE"),"TRUE")</f>
        <v>TRUE</v>
      </c>
      <c r="J26" s="96" t="str">
        <f>IF('1b_SpaceCooling'!K13&gt;0,IF(AND(Calorific_Values!K13&lt;=30000,Calorific_Values!K13&gt;=5000),"TRUE","FALSE"),"TRUE")</f>
        <v>TRUE</v>
      </c>
      <c r="K26" s="96" t="str">
        <f>IF('1b_SpaceCooling'!L13&gt;0,IF(AND(Calorific_Values!L13&lt;=30000,Calorific_Values!L13&gt;=5000),"TRUE","FALSE"),"TRUE")</f>
        <v>TRUE</v>
      </c>
      <c r="L26" s="96" t="str">
        <f>IF('1b_SpaceCooling'!M13&gt;0,IF(AND(Calorific_Values!M13&lt;=30000,Calorific_Values!M13&gt;=5000),"TRUE","FALSE"),"TRUE")</f>
        <v>TRUE</v>
      </c>
      <c r="M26" s="96" t="str">
        <f>IF('1b_SpaceCooling'!N13&gt;0,IF(AND(Calorific_Values!N13&lt;=30000,Calorific_Values!N13&gt;=5000),"TRUE","FALSE"),"TRUE")</f>
        <v>TRUE</v>
      </c>
      <c r="N26" s="96" t="str">
        <f>IF('1b_SpaceCooling'!O13&gt;0,IF(AND(Calorific_Values!O13&lt;=30000,Calorific_Values!O13&gt;=5000),"TRUE","FALSE"),"TRUE")</f>
        <v>TRUE</v>
      </c>
    </row>
    <row r="27" spans="1:14" x14ac:dyDescent="0.25">
      <c r="A27" t="s">
        <v>153</v>
      </c>
      <c r="B27" t="s">
        <v>167</v>
      </c>
      <c r="C27" s="96" t="str">
        <f>IF('1c_WaterHeating'!D9&gt;0,IF(AND(Calorific_Values!D9&lt;=30000,Calorific_Values!D9&gt;=5000),"TRUE","FALSE"),"TRUE")</f>
        <v>TRUE</v>
      </c>
      <c r="D27" s="96" t="str">
        <f>IF('1c_WaterHeating'!E9&gt;0,IF(AND(Calorific_Values!E9&lt;=30000,Calorific_Values!E9&gt;=5000),"TRUE","FALSE"),"TRUE")</f>
        <v>TRUE</v>
      </c>
      <c r="E27" s="96" t="str">
        <f>IF('1c_WaterHeating'!F9&gt;0,IF(AND(Calorific_Values!F9&lt;=30000,Calorific_Values!F9&gt;=5000),"TRUE","FALSE"),"TRUE")</f>
        <v>TRUE</v>
      </c>
      <c r="F27" s="96" t="str">
        <f>IF('1c_WaterHeating'!G9&gt;0,IF(AND(Calorific_Values!G9&lt;=30000,Calorific_Values!G9&gt;=5000),"TRUE","FALSE"),"TRUE")</f>
        <v>TRUE</v>
      </c>
      <c r="G27" s="96" t="str">
        <f>IF('1c_WaterHeating'!H9&gt;0,IF(AND(Calorific_Values!H9&lt;=30000,Calorific_Values!H9&gt;=5000),"TRUE","FALSE"),"TRUE")</f>
        <v>TRUE</v>
      </c>
      <c r="H27" s="96" t="str">
        <f>IF('1c_WaterHeating'!I9&gt;0,IF(AND(Calorific_Values!I9&lt;=30000,Calorific_Values!I9&gt;=5000),"TRUE","FALSE"),"TRUE")</f>
        <v>TRUE</v>
      </c>
      <c r="I27" s="96" t="str">
        <f>IF('1c_WaterHeating'!J9&gt;0,IF(AND(Calorific_Values!J9&lt;=30000,Calorific_Values!J9&gt;=5000),"TRUE","FALSE"),"TRUE")</f>
        <v>TRUE</v>
      </c>
      <c r="J27" s="96" t="str">
        <f>IF('1c_WaterHeating'!K9&gt;0,IF(AND(Calorific_Values!K9&lt;=30000,Calorific_Values!K9&gt;=5000),"TRUE","FALSE"),"TRUE")</f>
        <v>TRUE</v>
      </c>
      <c r="K27" s="96" t="str">
        <f>IF('1c_WaterHeating'!L9&gt;0,IF(AND(Calorific_Values!L9&lt;=30000,Calorific_Values!L9&gt;=5000),"TRUE","FALSE"),"TRUE")</f>
        <v>TRUE</v>
      </c>
      <c r="L27" s="96" t="str">
        <f>IF('1c_WaterHeating'!M9&gt;0,IF(AND(Calorific_Values!M9&lt;=30000,Calorific_Values!M9&gt;=5000),"TRUE","FALSE"),"TRUE")</f>
        <v>TRUE</v>
      </c>
      <c r="M27" s="96" t="str">
        <f>IF('1c_WaterHeating'!N9&gt;0,IF(AND(Calorific_Values!N9&lt;=30000,Calorific_Values!N9&gt;=5000),"TRUE","FALSE"),"TRUE")</f>
        <v>TRUE</v>
      </c>
      <c r="N27" s="96" t="str">
        <f>IF('1c_WaterHeating'!O9&gt;0,IF(AND(Calorific_Values!O9&lt;=30000,Calorific_Values!O9&gt;=5000),"TRUE","FALSE"),"TRUE")</f>
        <v>TRUE</v>
      </c>
    </row>
    <row r="28" spans="1:14" x14ac:dyDescent="0.25">
      <c r="A28" t="s">
        <v>153</v>
      </c>
      <c r="B28" t="s">
        <v>168</v>
      </c>
      <c r="C28" s="96" t="str">
        <f>IF('1c_WaterHeating'!D10&gt;0,IF(AND(Calorific_Values!D10&lt;=50000,Calorific_Values!D10&gt;=40000),"TRUE","FALSE"),"TRUE")</f>
        <v>TRUE</v>
      </c>
      <c r="D28" s="96" t="str">
        <f>IF('1c_WaterHeating'!E10&gt;0,IF(AND(Calorific_Values!E10&lt;=50000,Calorific_Values!E10&gt;=40000),"TRUE","FALSE"),"TRUE")</f>
        <v>TRUE</v>
      </c>
      <c r="E28" s="96" t="str">
        <f>IF('1c_WaterHeating'!F10&gt;0,IF(AND(Calorific_Values!F10&lt;=50000,Calorific_Values!F10&gt;=40000),"TRUE","FALSE"),"TRUE")</f>
        <v>TRUE</v>
      </c>
      <c r="F28" s="96" t="str">
        <f>IF('1c_WaterHeating'!G10&gt;0,IF(AND(Calorific_Values!G10&lt;=50000,Calorific_Values!G10&gt;=40000),"TRUE","FALSE"),"TRUE")</f>
        <v>TRUE</v>
      </c>
      <c r="G28" s="96" t="str">
        <f>IF('1c_WaterHeating'!H10&gt;0,IF(AND(Calorific_Values!H10&lt;=50000,Calorific_Values!H10&gt;=40000),"TRUE","FALSE"),"TRUE")</f>
        <v>TRUE</v>
      </c>
      <c r="H28" s="96" t="str">
        <f>IF('1c_WaterHeating'!I10&gt;0,IF(AND(Calorific_Values!I10&lt;=50000,Calorific_Values!I10&gt;=40000),"TRUE","FALSE"),"TRUE")</f>
        <v>TRUE</v>
      </c>
      <c r="I28" s="96" t="str">
        <f>IF('1c_WaterHeating'!J10&gt;0,IF(AND(Calorific_Values!J10&lt;=50000,Calorific_Values!J10&gt;=40000),"TRUE","FALSE"),"TRUE")</f>
        <v>TRUE</v>
      </c>
      <c r="J28" s="96" t="str">
        <f>IF('1c_WaterHeating'!K10&gt;0,IF(AND(Calorific_Values!K10&lt;=50000,Calorific_Values!K10&gt;=40000),"TRUE","FALSE"),"TRUE")</f>
        <v>TRUE</v>
      </c>
      <c r="K28" s="96" t="str">
        <f>IF('1c_WaterHeating'!L10&gt;0,IF(AND(Calorific_Values!L10&lt;=50000,Calorific_Values!L10&gt;=40000),"TRUE","FALSE"),"TRUE")</f>
        <v>TRUE</v>
      </c>
      <c r="L28" s="96" t="str">
        <f>IF('1c_WaterHeating'!M10&gt;0,IF(AND(Calorific_Values!M10&lt;=50000,Calorific_Values!M10&gt;=40000),"TRUE","FALSE"),"TRUE")</f>
        <v>TRUE</v>
      </c>
      <c r="M28" s="96" t="str">
        <f>IF('1c_WaterHeating'!N10&gt;0,IF(AND(Calorific_Values!N10&lt;=50000,Calorific_Values!N10&gt;=40000),"TRUE","FALSE"),"TRUE")</f>
        <v>TRUE</v>
      </c>
      <c r="N28" s="96" t="str">
        <f>IF('1c_WaterHeating'!O10&gt;0,IF(AND(Calorific_Values!O10&lt;=50000,Calorific_Values!O10&gt;=40000),"TRUE","FALSE"),"TRUE")</f>
        <v>TRUE</v>
      </c>
    </row>
    <row r="29" spans="1:14" x14ac:dyDescent="0.25">
      <c r="A29" t="s">
        <v>153</v>
      </c>
      <c r="B29" t="s">
        <v>164</v>
      </c>
      <c r="C29" s="96" t="str">
        <f>IF('1c_WaterHeating'!D11&gt;0,IF(AND(Calorific_Values!D11&lt;=50000,Calorific_Values!D11&gt;=4000),"TRUE","FALSE"),"TRUE")</f>
        <v>TRUE</v>
      </c>
      <c r="D29" s="96" t="str">
        <f>IF('1c_WaterHeating'!E11&gt;0,IF(AND(Calorific_Values!E11&lt;=50000,Calorific_Values!E11&gt;=4000),"TRUE","FALSE"),"TRUE")</f>
        <v>TRUE</v>
      </c>
      <c r="E29" s="96" t="str">
        <f>IF('1c_WaterHeating'!F11&gt;0,IF(AND(Calorific_Values!F11&lt;=50000,Calorific_Values!F11&gt;=4000),"TRUE","FALSE"),"TRUE")</f>
        <v>TRUE</v>
      </c>
      <c r="F29" s="96" t="str">
        <f>IF('1c_WaterHeating'!G11&gt;0,IF(AND(Calorific_Values!G11&lt;=50000,Calorific_Values!G11&gt;=4000),"TRUE","FALSE"),"TRUE")</f>
        <v>TRUE</v>
      </c>
      <c r="G29" s="96" t="str">
        <f>IF('1c_WaterHeating'!H11&gt;0,IF(AND(Calorific_Values!H11&lt;=50000,Calorific_Values!H11&gt;=4000),"TRUE","FALSE"),"TRUE")</f>
        <v>TRUE</v>
      </c>
      <c r="H29" s="96" t="str">
        <f>IF('1c_WaterHeating'!I11&gt;0,IF(AND(Calorific_Values!I11&lt;=50000,Calorific_Values!I11&gt;=4000),"TRUE","FALSE"),"TRUE")</f>
        <v>TRUE</v>
      </c>
      <c r="I29" s="96" t="str">
        <f>IF('1c_WaterHeating'!J11&gt;0,IF(AND(Calorific_Values!J11&lt;=50000,Calorific_Values!J11&gt;=4000),"TRUE","FALSE"),"TRUE")</f>
        <v>TRUE</v>
      </c>
      <c r="J29" s="96" t="str">
        <f>IF('1c_WaterHeating'!K11&gt;0,IF(AND(Calorific_Values!K11&lt;=50000,Calorific_Values!K11&gt;=4000),"TRUE","FALSE"),"TRUE")</f>
        <v>TRUE</v>
      </c>
      <c r="K29" s="96" t="str">
        <f>IF('1c_WaterHeating'!L11&gt;0,IF(AND(Calorific_Values!L11&lt;=50000,Calorific_Values!L11&gt;=4000),"TRUE","FALSE"),"TRUE")</f>
        <v>TRUE</v>
      </c>
      <c r="L29" s="96" t="str">
        <f>IF('1c_WaterHeating'!M11&gt;0,IF(AND(Calorific_Values!M11&lt;=50000,Calorific_Values!M11&gt;=4000),"TRUE","FALSE"),"TRUE")</f>
        <v>TRUE</v>
      </c>
      <c r="M29" s="96" t="str">
        <f>IF('1c_WaterHeating'!N11&gt;0,IF(AND(Calorific_Values!N11&lt;=50000,Calorific_Values!N11&gt;=4000),"TRUE","FALSE"),"TRUE")</f>
        <v>TRUE</v>
      </c>
      <c r="N29" s="96" t="str">
        <f>IF('1c_WaterHeating'!O11&gt;0,IF(AND(Calorific_Values!O11&lt;=50000,Calorific_Values!O11&gt;=4000),"TRUE","FALSE"),"TRUE")</f>
        <v>TRUE</v>
      </c>
    </row>
    <row r="30" spans="1:14" x14ac:dyDescent="0.25">
      <c r="A30" t="s">
        <v>153</v>
      </c>
      <c r="B30" t="s">
        <v>165</v>
      </c>
      <c r="C30" s="96" t="str">
        <f>IF('1c_WaterHeating'!D12&gt;0,IF(AND(Calorific_Values!D12&lt;=45000,Calorific_Values!D12&gt;=40000),"TRUE","FALSE"),"TRUE")</f>
        <v>TRUE</v>
      </c>
      <c r="D30" s="96" t="str">
        <f>IF('1c_WaterHeating'!E12&gt;0,IF(AND(Calorific_Values!E12&lt;=45000,Calorific_Values!E12&gt;=40000),"TRUE","FALSE"),"TRUE")</f>
        <v>TRUE</v>
      </c>
      <c r="E30" s="96" t="str">
        <f>IF('1c_WaterHeating'!F12&gt;0,IF(AND(Calorific_Values!F12&lt;=45000,Calorific_Values!F12&gt;=40000),"TRUE","FALSE"),"TRUE")</f>
        <v>TRUE</v>
      </c>
      <c r="F30" s="96" t="str">
        <f>IF('1c_WaterHeating'!G12&gt;0,IF(AND(Calorific_Values!G12&lt;=45000,Calorific_Values!G12&gt;=40000),"TRUE","FALSE"),"TRUE")</f>
        <v>TRUE</v>
      </c>
      <c r="G30" s="96" t="str">
        <f>IF('1c_WaterHeating'!H12&gt;0,IF(AND(Calorific_Values!H12&lt;=45000,Calorific_Values!H12&gt;=40000),"TRUE","FALSE"),"TRUE")</f>
        <v>TRUE</v>
      </c>
      <c r="H30" s="96" t="str">
        <f>IF('1c_WaterHeating'!I12&gt;0,IF(AND(Calorific_Values!I12&lt;=45000,Calorific_Values!I12&gt;=40000),"TRUE","FALSE"),"TRUE")</f>
        <v>TRUE</v>
      </c>
      <c r="I30" s="96" t="str">
        <f>IF('1c_WaterHeating'!J12&gt;0,IF(AND(Calorific_Values!J12&lt;=45000,Calorific_Values!J12&gt;=40000),"TRUE","FALSE"),"TRUE")</f>
        <v>TRUE</v>
      </c>
      <c r="J30" s="96" t="str">
        <f>IF('1c_WaterHeating'!K12&gt;0,IF(AND(Calorific_Values!K12&lt;=45000,Calorific_Values!K12&gt;=40000),"TRUE","FALSE"),"TRUE")</f>
        <v>TRUE</v>
      </c>
      <c r="K30" s="96" t="str">
        <f>IF('1c_WaterHeating'!L12&gt;0,IF(AND(Calorific_Values!L12&lt;=45000,Calorific_Values!L12&gt;=40000),"TRUE","FALSE"),"TRUE")</f>
        <v>TRUE</v>
      </c>
      <c r="L30" s="96" t="str">
        <f>IF('1c_WaterHeating'!M12&gt;0,IF(AND(Calorific_Values!M12&lt;=45000,Calorific_Values!M12&gt;=40000),"TRUE","FALSE"),"TRUE")</f>
        <v>TRUE</v>
      </c>
      <c r="M30" s="96" t="str">
        <f>IF('1c_WaterHeating'!N12&gt;0,IF(AND(Calorific_Values!N12&lt;=45000,Calorific_Values!N12&gt;=40000),"TRUE","FALSE"),"TRUE")</f>
        <v>TRUE</v>
      </c>
      <c r="N30" s="96" t="str">
        <f>IF('1c_WaterHeating'!O12&gt;0,IF(AND(Calorific_Values!O12&lt;=45000,Calorific_Values!O12&gt;=40000),"TRUE","FALSE"),"TRUE")</f>
        <v>TRUE</v>
      </c>
    </row>
    <row r="31" spans="1:14" x14ac:dyDescent="0.25">
      <c r="A31" t="s">
        <v>153</v>
      </c>
      <c r="B31" t="s">
        <v>166</v>
      </c>
      <c r="C31" s="96" t="str">
        <f>IF('1c_WaterHeating'!D13&gt;0,IF(AND(Calorific_Values!D13&lt;=45000,Calorific_Values!D13&gt;=40000),"TRUE","FALSE"),"TRUE")</f>
        <v>TRUE</v>
      </c>
      <c r="D31" s="96" t="str">
        <f>IF('1c_WaterHeating'!E13&gt;0,IF(AND(Calorific_Values!E13&lt;=45000,Calorific_Values!E13&gt;=40000),"TRUE","FALSE"),"TRUE")</f>
        <v>TRUE</v>
      </c>
      <c r="E31" s="96" t="str">
        <f>IF('1c_WaterHeating'!F13&gt;0,IF(AND(Calorific_Values!F13&lt;=45000,Calorific_Values!F13&gt;=40000),"TRUE","FALSE"),"TRUE")</f>
        <v>TRUE</v>
      </c>
      <c r="F31" s="96" t="str">
        <f>IF('1c_WaterHeating'!G13&gt;0,IF(AND(Calorific_Values!G13&lt;=45000,Calorific_Values!G13&gt;=40000),"TRUE","FALSE"),"TRUE")</f>
        <v>TRUE</v>
      </c>
      <c r="G31" s="96" t="str">
        <f>IF('1c_WaterHeating'!H13&gt;0,IF(AND(Calorific_Values!H13&lt;=45000,Calorific_Values!H13&gt;=40000),"TRUE","FALSE"),"TRUE")</f>
        <v>TRUE</v>
      </c>
      <c r="H31" s="96" t="str">
        <f>IF('1c_WaterHeating'!I13&gt;0,IF(AND(Calorific_Values!I13&lt;=45000,Calorific_Values!I13&gt;=40000),"TRUE","FALSE"),"TRUE")</f>
        <v>TRUE</v>
      </c>
      <c r="I31" s="96" t="str">
        <f>IF('1c_WaterHeating'!J13&gt;0,IF(AND(Calorific_Values!J13&lt;=45000,Calorific_Values!J13&gt;=40000),"TRUE","FALSE"),"TRUE")</f>
        <v>TRUE</v>
      </c>
      <c r="J31" s="96" t="str">
        <f>IF('1c_WaterHeating'!K13&gt;0,IF(AND(Calorific_Values!K13&lt;=45000,Calorific_Values!K13&gt;=40000),"TRUE","FALSE"),"TRUE")</f>
        <v>TRUE</v>
      </c>
      <c r="K31" s="96" t="str">
        <f>IF('1c_WaterHeating'!L13&gt;0,IF(AND(Calorific_Values!L13&lt;=45000,Calorific_Values!L13&gt;=40000),"TRUE","FALSE"),"TRUE")</f>
        <v>TRUE</v>
      </c>
      <c r="L31" s="96" t="str">
        <f>IF('1c_WaterHeating'!M13&gt;0,IF(AND(Calorific_Values!M13&lt;=45000,Calorific_Values!M13&gt;=40000),"TRUE","FALSE"),"TRUE")</f>
        <v>TRUE</v>
      </c>
      <c r="M31" s="96" t="str">
        <f>IF('1c_WaterHeating'!N13&gt;0,IF(AND(Calorific_Values!N13&lt;=45000,Calorific_Values!N13&gt;=40000),"TRUE","FALSE"),"TRUE")</f>
        <v>TRUE</v>
      </c>
      <c r="N31" s="96" t="str">
        <f>IF('1c_WaterHeating'!O13&gt;0,IF(AND(Calorific_Values!O13&lt;=45000,Calorific_Values!O13&gt;=40000),"TRUE","FALSE"),"TRUE")</f>
        <v>TRUE</v>
      </c>
    </row>
    <row r="32" spans="1:14" x14ac:dyDescent="0.25">
      <c r="A32" t="s">
        <v>154</v>
      </c>
      <c r="B32" t="s">
        <v>167</v>
      </c>
      <c r="C32" s="96" t="str">
        <f>IF('1d_Cooking'!D9&gt;0,IF(AND(Calorific_Values!D9&lt;=30000,Calorific_Values!D9&gt;=5000),"TRUE","FALSE"),"TRUE")</f>
        <v>TRUE</v>
      </c>
      <c r="D32" s="96" t="str">
        <f>IF('1d_Cooking'!E9&gt;0,IF(AND(Calorific_Values!E9&lt;=30000,Calorific_Values!E9&gt;=5000),"TRUE","FALSE"),"TRUE")</f>
        <v>TRUE</v>
      </c>
      <c r="E32" s="96" t="str">
        <f>IF('1d_Cooking'!F9&gt;0,IF(AND(Calorific_Values!F9&lt;=30000,Calorific_Values!F9&gt;=5000),"TRUE","FALSE"),"TRUE")</f>
        <v>TRUE</v>
      </c>
      <c r="F32" s="96" t="str">
        <f>IF('1d_Cooking'!G9&gt;0,IF(AND(Calorific_Values!G9&lt;=30000,Calorific_Values!G9&gt;=5000),"TRUE","FALSE"),"TRUE")</f>
        <v>TRUE</v>
      </c>
      <c r="G32" s="96" t="str">
        <f>IF('1d_Cooking'!H9&gt;0,IF(AND(Calorific_Values!H9&lt;=30000,Calorific_Values!H9&gt;=5000),"TRUE","FALSE"),"TRUE")</f>
        <v>TRUE</v>
      </c>
      <c r="H32" s="96" t="str">
        <f>IF('1d_Cooking'!I9&gt;0,IF(AND(Calorific_Values!I9&lt;=30000,Calorific_Values!I9&gt;=5000),"TRUE","FALSE"),"TRUE")</f>
        <v>TRUE</v>
      </c>
      <c r="I32" s="96" t="str">
        <f>IF('1d_Cooking'!J9&gt;0,IF(AND(Calorific_Values!J9&lt;=30000,Calorific_Values!J9&gt;=5000),"TRUE","FALSE"),"TRUE")</f>
        <v>TRUE</v>
      </c>
      <c r="J32" s="96" t="str">
        <f>IF('1d_Cooking'!K9&gt;0,IF(AND(Calorific_Values!K9&lt;=30000,Calorific_Values!K9&gt;=5000),"TRUE","FALSE"),"TRUE")</f>
        <v>TRUE</v>
      </c>
      <c r="K32" s="96" t="str">
        <f>IF('1d_Cooking'!L9&gt;0,IF(AND(Calorific_Values!L9&lt;=30000,Calorific_Values!L9&gt;=5000),"TRUE","FALSE"),"TRUE")</f>
        <v>TRUE</v>
      </c>
      <c r="L32" s="96" t="str">
        <f>IF('1d_Cooking'!M9&gt;0,IF(AND(Calorific_Values!M9&lt;=30000,Calorific_Values!M9&gt;=5000),"TRUE","FALSE"),"TRUE")</f>
        <v>TRUE</v>
      </c>
      <c r="M32" s="96" t="str">
        <f>IF('1d_Cooking'!N9&gt;0,IF(AND(Calorific_Values!N9&lt;=30000,Calorific_Values!N9&gt;=5000),"TRUE","FALSE"),"TRUE")</f>
        <v>TRUE</v>
      </c>
      <c r="N32" s="96" t="str">
        <f>IF('1d_Cooking'!O9&gt;0,IF(AND(Calorific_Values!O9&lt;=30000,Calorific_Values!O9&gt;=5000),"TRUE","FALSE"),"TRUE")</f>
        <v>TRUE</v>
      </c>
    </row>
    <row r="33" spans="1:14" x14ac:dyDescent="0.25">
      <c r="A33" t="s">
        <v>154</v>
      </c>
      <c r="B33" t="s">
        <v>168</v>
      </c>
      <c r="C33" s="96" t="str">
        <f>IF('1d_Cooking'!D10&gt;0,IF(AND(Calorific_Values!D10&lt;=50000,Calorific_Values!D10&gt;=40000),"TRUE","FALSE"),"TRUE")</f>
        <v>TRUE</v>
      </c>
      <c r="D33" s="96" t="str">
        <f>IF('1d_Cooking'!E10&gt;0,IF(AND(Calorific_Values!E10&lt;=50000,Calorific_Values!E10&gt;=40000),"TRUE","FALSE"),"TRUE")</f>
        <v>TRUE</v>
      </c>
      <c r="E33" s="96" t="str">
        <f>IF('1d_Cooking'!F10&gt;0,IF(AND(Calorific_Values!F10&lt;=50000,Calorific_Values!F10&gt;=40000),"TRUE","FALSE"),"TRUE")</f>
        <v>TRUE</v>
      </c>
      <c r="F33" s="96" t="str">
        <f>IF('1d_Cooking'!G10&gt;0,IF(AND(Calorific_Values!G10&lt;=50000,Calorific_Values!G10&gt;=40000),"TRUE","FALSE"),"TRUE")</f>
        <v>TRUE</v>
      </c>
      <c r="G33" s="96" t="str">
        <f>IF('1d_Cooking'!H10&gt;0,IF(AND(Calorific_Values!H10&lt;=50000,Calorific_Values!H10&gt;=40000),"TRUE","FALSE"),"TRUE")</f>
        <v>TRUE</v>
      </c>
      <c r="H33" s="96" t="str">
        <f>IF('1d_Cooking'!I10&gt;0,IF(AND(Calorific_Values!I10&lt;=50000,Calorific_Values!I10&gt;=40000),"TRUE","FALSE"),"TRUE")</f>
        <v>TRUE</v>
      </c>
      <c r="I33" s="96" t="str">
        <f>IF('1d_Cooking'!J10&gt;0,IF(AND(Calorific_Values!J10&lt;=50000,Calorific_Values!J10&gt;=40000),"TRUE","FALSE"),"TRUE")</f>
        <v>TRUE</v>
      </c>
      <c r="J33" s="96" t="str">
        <f>IF('1d_Cooking'!K10&gt;0,IF(AND(Calorific_Values!K10&lt;=50000,Calorific_Values!K10&gt;=40000),"TRUE","FALSE"),"TRUE")</f>
        <v>TRUE</v>
      </c>
      <c r="K33" s="96" t="str">
        <f>IF('1d_Cooking'!L10&gt;0,IF(AND(Calorific_Values!L10&lt;=50000,Calorific_Values!L10&gt;=40000),"TRUE","FALSE"),"TRUE")</f>
        <v>TRUE</v>
      </c>
      <c r="L33" s="96" t="str">
        <f>IF('1d_Cooking'!M10&gt;0,IF(AND(Calorific_Values!M10&lt;=50000,Calorific_Values!M10&gt;=40000),"TRUE","FALSE"),"TRUE")</f>
        <v>TRUE</v>
      </c>
      <c r="M33" s="96" t="str">
        <f>IF('1d_Cooking'!N10&gt;0,IF(AND(Calorific_Values!N10&lt;=50000,Calorific_Values!N10&gt;=40000),"TRUE","FALSE"),"TRUE")</f>
        <v>TRUE</v>
      </c>
      <c r="N33" s="96" t="str">
        <f>IF('1d_Cooking'!O10&gt;0,IF(AND(Calorific_Values!O10&lt;=50000,Calorific_Values!O10&gt;=40000),"TRUE","FALSE"),"TRUE")</f>
        <v>TRUE</v>
      </c>
    </row>
    <row r="34" spans="1:14" x14ac:dyDescent="0.25">
      <c r="A34" t="s">
        <v>154</v>
      </c>
      <c r="B34" t="s">
        <v>164</v>
      </c>
      <c r="C34" s="96" t="str">
        <f>IF('1d_Cooking'!D11&gt;0,IF(AND(Calorific_Values!D11&lt;=50000,Calorific_Values!D11&gt;=4000),"TRUE","FALSE"),"TRUE")</f>
        <v>TRUE</v>
      </c>
      <c r="D34" s="96" t="str">
        <f>IF('1d_Cooking'!E11&gt;0,IF(AND(Calorific_Values!E11&lt;=50000,Calorific_Values!E11&gt;=4000),"TRUE","FALSE"),"TRUE")</f>
        <v>TRUE</v>
      </c>
      <c r="E34" s="96" t="str">
        <f>IF('1d_Cooking'!F11&gt;0,IF(AND(Calorific_Values!F11&lt;=50000,Calorific_Values!F11&gt;=4000),"TRUE","FALSE"),"TRUE")</f>
        <v>TRUE</v>
      </c>
      <c r="F34" s="96" t="str">
        <f>IF('1d_Cooking'!G11&gt;0,IF(AND(Calorific_Values!G11&lt;=50000,Calorific_Values!G11&gt;=4000),"TRUE","FALSE"),"TRUE")</f>
        <v>TRUE</v>
      </c>
      <c r="G34" s="96" t="str">
        <f>IF('1d_Cooking'!H11&gt;0,IF(AND(Calorific_Values!H11&lt;=50000,Calorific_Values!H11&gt;=4000),"TRUE","FALSE"),"TRUE")</f>
        <v>TRUE</v>
      </c>
      <c r="H34" s="96" t="str">
        <f>IF('1d_Cooking'!I11&gt;0,IF(AND(Calorific_Values!I11&lt;=50000,Calorific_Values!I11&gt;=4000),"TRUE","FALSE"),"TRUE")</f>
        <v>TRUE</v>
      </c>
      <c r="I34" s="96" t="str">
        <f>IF('1d_Cooking'!J11&gt;0,IF(AND(Calorific_Values!J11&lt;=50000,Calorific_Values!J11&gt;=4000),"TRUE","FALSE"),"TRUE")</f>
        <v>TRUE</v>
      </c>
      <c r="J34" s="96" t="str">
        <f>IF('1d_Cooking'!K11&gt;0,IF(AND(Calorific_Values!K11&lt;=50000,Calorific_Values!K11&gt;=4000),"TRUE","FALSE"),"TRUE")</f>
        <v>TRUE</v>
      </c>
      <c r="K34" s="96" t="str">
        <f>IF('1d_Cooking'!L11&gt;0,IF(AND(Calorific_Values!L11&lt;=50000,Calorific_Values!L11&gt;=4000),"TRUE","FALSE"),"TRUE")</f>
        <v>TRUE</v>
      </c>
      <c r="L34" s="96" t="str">
        <f>IF('1d_Cooking'!M11&gt;0,IF(AND(Calorific_Values!M11&lt;=50000,Calorific_Values!M11&gt;=4000),"TRUE","FALSE"),"TRUE")</f>
        <v>TRUE</v>
      </c>
      <c r="M34" s="96" t="str">
        <f>IF('1d_Cooking'!N11&gt;0,IF(AND(Calorific_Values!N11&lt;=50000,Calorific_Values!N11&gt;=4000),"TRUE","FALSE"),"TRUE")</f>
        <v>TRUE</v>
      </c>
      <c r="N34" s="96" t="str">
        <f>IF('1d_Cooking'!O11&gt;0,IF(AND(Calorific_Values!O11&lt;=50000,Calorific_Values!O11&gt;=4000),"TRUE","FALSE"),"TRUE")</f>
        <v>TRUE</v>
      </c>
    </row>
    <row r="35" spans="1:14" x14ac:dyDescent="0.25">
      <c r="A35" t="s">
        <v>154</v>
      </c>
      <c r="B35" t="s">
        <v>165</v>
      </c>
      <c r="C35" s="96" t="str">
        <f>IF('1d_Cooking'!D12&gt;0,IF(AND(Calorific_Values!D12&lt;=45000,Calorific_Values!D12&gt;=40000),"TRUE","FALSE"),"TRUE")</f>
        <v>TRUE</v>
      </c>
      <c r="D35" s="96" t="str">
        <f>IF('1d_Cooking'!E12&gt;0,IF(AND(Calorific_Values!E12&lt;=45000,Calorific_Values!E12&gt;=40000),"TRUE","FALSE"),"TRUE")</f>
        <v>TRUE</v>
      </c>
      <c r="E35" s="96" t="str">
        <f>IF('1d_Cooking'!F12&gt;0,IF(AND(Calorific_Values!F12&lt;=45000,Calorific_Values!F12&gt;=40000),"TRUE","FALSE"),"TRUE")</f>
        <v>TRUE</v>
      </c>
      <c r="F35" s="96" t="str">
        <f>IF('1d_Cooking'!G12&gt;0,IF(AND(Calorific_Values!G12&lt;=45000,Calorific_Values!G12&gt;=40000),"TRUE","FALSE"),"TRUE")</f>
        <v>TRUE</v>
      </c>
      <c r="G35" s="96" t="str">
        <f>IF('1d_Cooking'!H12&gt;0,IF(AND(Calorific_Values!H12&lt;=45000,Calorific_Values!H12&gt;=40000),"TRUE","FALSE"),"TRUE")</f>
        <v>TRUE</v>
      </c>
      <c r="H35" s="96" t="str">
        <f>IF('1d_Cooking'!I12&gt;0,IF(AND(Calorific_Values!I12&lt;=45000,Calorific_Values!I12&gt;=40000),"TRUE","FALSE"),"TRUE")</f>
        <v>TRUE</v>
      </c>
      <c r="I35" s="96" t="str">
        <f>IF('1d_Cooking'!J12&gt;0,IF(AND(Calorific_Values!J12&lt;=45000,Calorific_Values!J12&gt;=40000),"TRUE","FALSE"),"TRUE")</f>
        <v>TRUE</v>
      </c>
      <c r="J35" s="96" t="str">
        <f>IF('1d_Cooking'!K12&gt;0,IF(AND(Calorific_Values!K12&lt;=45000,Calorific_Values!K12&gt;=40000),"TRUE","FALSE"),"TRUE")</f>
        <v>TRUE</v>
      </c>
      <c r="K35" s="96" t="str">
        <f>IF('1d_Cooking'!L12&gt;0,IF(AND(Calorific_Values!L12&lt;=45000,Calorific_Values!L12&gt;=40000),"TRUE","FALSE"),"TRUE")</f>
        <v>TRUE</v>
      </c>
      <c r="L35" s="96" t="str">
        <f>IF('1d_Cooking'!M12&gt;0,IF(AND(Calorific_Values!M12&lt;=45000,Calorific_Values!M12&gt;=40000),"TRUE","FALSE"),"TRUE")</f>
        <v>TRUE</v>
      </c>
      <c r="M35" s="96" t="str">
        <f>IF('1d_Cooking'!N12&gt;0,IF(AND(Calorific_Values!N12&lt;=45000,Calorific_Values!N12&gt;=40000),"TRUE","FALSE"),"TRUE")</f>
        <v>TRUE</v>
      </c>
      <c r="N35" s="96" t="str">
        <f>IF('1d_Cooking'!O12&gt;0,IF(AND(Calorific_Values!O12&lt;=45000,Calorific_Values!O12&gt;=40000),"TRUE","FALSE"),"TRUE")</f>
        <v>TRUE</v>
      </c>
    </row>
    <row r="36" spans="1:14" x14ac:dyDescent="0.25">
      <c r="A36" t="s">
        <v>154</v>
      </c>
      <c r="B36" t="s">
        <v>166</v>
      </c>
      <c r="C36" s="96" t="str">
        <f>IF('1d_Cooking'!D13&gt;0,IF(AND(Calorific_Values!D13&lt;=45000,Calorific_Values!D13&gt;=40000),"TRUE","FALSE"),"TRUE")</f>
        <v>TRUE</v>
      </c>
      <c r="D36" s="96" t="str">
        <f>IF('1d_Cooking'!E13&gt;0,IF(AND(Calorific_Values!E13&lt;=45000,Calorific_Values!E13&gt;=40000),"TRUE","FALSE"),"TRUE")</f>
        <v>TRUE</v>
      </c>
      <c r="E36" s="96" t="str">
        <f>IF('1d_Cooking'!F13&gt;0,IF(AND(Calorific_Values!F13&lt;=45000,Calorific_Values!F13&gt;=40000),"TRUE","FALSE"),"TRUE")</f>
        <v>TRUE</v>
      </c>
      <c r="F36" s="96" t="str">
        <f>IF('1d_Cooking'!G13&gt;0,IF(AND(Calorific_Values!G13&lt;=45000,Calorific_Values!G13&gt;=40000),"TRUE","FALSE"),"TRUE")</f>
        <v>TRUE</v>
      </c>
      <c r="G36" s="96" t="str">
        <f>IF('1d_Cooking'!H13&gt;0,IF(AND(Calorific_Values!H13&lt;=45000,Calorific_Values!H13&gt;=40000),"TRUE","FALSE"),"TRUE")</f>
        <v>TRUE</v>
      </c>
      <c r="H36" s="96" t="str">
        <f>IF('1d_Cooking'!I13&gt;0,IF(AND(Calorific_Values!I13&lt;=45000,Calorific_Values!I13&gt;=40000),"TRUE","FALSE"),"TRUE")</f>
        <v>TRUE</v>
      </c>
      <c r="I36" s="96" t="str">
        <f>IF('1d_Cooking'!J13&gt;0,IF(AND(Calorific_Values!J13&lt;=45000,Calorific_Values!J13&gt;=40000),"TRUE","FALSE"),"TRUE")</f>
        <v>TRUE</v>
      </c>
      <c r="J36" s="96" t="str">
        <f>IF('1d_Cooking'!K13&gt;0,IF(AND(Calorific_Values!K13&lt;=45000,Calorific_Values!K13&gt;=40000),"TRUE","FALSE"),"TRUE")</f>
        <v>TRUE</v>
      </c>
      <c r="K36" s="96" t="str">
        <f>IF('1d_Cooking'!L13&gt;0,IF(AND(Calorific_Values!L13&lt;=45000,Calorific_Values!L13&gt;=40000),"TRUE","FALSE"),"TRUE")</f>
        <v>TRUE</v>
      </c>
      <c r="L36" s="96" t="str">
        <f>IF('1d_Cooking'!M13&gt;0,IF(AND(Calorific_Values!M13&lt;=45000,Calorific_Values!M13&gt;=40000),"TRUE","FALSE"),"TRUE")</f>
        <v>TRUE</v>
      </c>
      <c r="M36" s="96" t="str">
        <f>IF('1d_Cooking'!N13&gt;0,IF(AND(Calorific_Values!N13&lt;=45000,Calorific_Values!N13&gt;=40000),"TRUE","FALSE"),"TRUE")</f>
        <v>TRUE</v>
      </c>
      <c r="N36" s="96" t="str">
        <f>IF('1d_Cooking'!O13&gt;0,IF(AND(Calorific_Values!O13&lt;=45000,Calorific_Values!O13&gt;=40000),"TRUE","FALSE"),"TRUE")</f>
        <v>TRUE</v>
      </c>
    </row>
    <row r="37" spans="1:14" x14ac:dyDescent="0.25">
      <c r="A37" t="s">
        <v>155</v>
      </c>
      <c r="B37" t="s">
        <v>167</v>
      </c>
      <c r="C37" s="96" t="str">
        <f>IF('1f_OtherEndUses'!D9&gt;0,IF(AND(Calorific_Values!D9&lt;=30000,Calorific_Values!D9&gt;=5000),"TRUE","FALSE"),"TRUE")</f>
        <v>TRUE</v>
      </c>
      <c r="D37" s="96" t="str">
        <f>IF('1f_OtherEndUses'!E9&gt;0,IF(AND(Calorific_Values!E9&lt;=30000,Calorific_Values!E9&gt;=5000),"TRUE","FALSE"),"TRUE")</f>
        <v>TRUE</v>
      </c>
      <c r="E37" s="96" t="str">
        <f>IF('1f_OtherEndUses'!F9&gt;0,IF(AND(Calorific_Values!F9&lt;=30000,Calorific_Values!F9&gt;=5000),"TRUE","FALSE"),"TRUE")</f>
        <v>TRUE</v>
      </c>
      <c r="F37" s="96" t="str">
        <f>IF('1f_OtherEndUses'!G9&gt;0,IF(AND(Calorific_Values!G9&lt;=30000,Calorific_Values!G9&gt;=5000),"TRUE","FALSE"),"TRUE")</f>
        <v>TRUE</v>
      </c>
      <c r="G37" s="96" t="str">
        <f>IF('1f_OtherEndUses'!H9&gt;0,IF(AND(Calorific_Values!H9&lt;=30000,Calorific_Values!H9&gt;=5000),"TRUE","FALSE"),"TRUE")</f>
        <v>TRUE</v>
      </c>
      <c r="H37" s="96" t="str">
        <f>IF('1f_OtherEndUses'!I9&gt;0,IF(AND(Calorific_Values!I9&lt;=30000,Calorific_Values!I9&gt;=5000),"TRUE","FALSE"),"TRUE")</f>
        <v>TRUE</v>
      </c>
      <c r="I37" s="96" t="str">
        <f>IF('1f_OtherEndUses'!J9&gt;0,IF(AND(Calorific_Values!J9&lt;=30000,Calorific_Values!J9&gt;=5000),"TRUE","FALSE"),"TRUE")</f>
        <v>TRUE</v>
      </c>
      <c r="J37" s="96" t="str">
        <f>IF('1f_OtherEndUses'!K9&gt;0,IF(AND(Calorific_Values!K9&lt;=30000,Calorific_Values!K9&gt;=5000),"TRUE","FALSE"),"TRUE")</f>
        <v>TRUE</v>
      </c>
      <c r="K37" s="96" t="str">
        <f>IF('1f_OtherEndUses'!L9&gt;0,IF(AND(Calorific_Values!L9&lt;=30000,Calorific_Values!L9&gt;=5000),"TRUE","FALSE"),"TRUE")</f>
        <v>TRUE</v>
      </c>
      <c r="L37" s="96" t="str">
        <f>IF('1f_OtherEndUses'!M9&gt;0,IF(AND(Calorific_Values!M9&lt;=30000,Calorific_Values!M9&gt;=5000),"TRUE","FALSE"),"TRUE")</f>
        <v>TRUE</v>
      </c>
      <c r="M37" s="96" t="str">
        <f>IF('1f_OtherEndUses'!N9&gt;0,IF(AND(Calorific_Values!N9&lt;=30000,Calorific_Values!N9&gt;=5000),"TRUE","FALSE"),"TRUE")</f>
        <v>TRUE</v>
      </c>
      <c r="N37" s="96" t="str">
        <f>IF('1f_OtherEndUses'!O9&gt;0,IF(AND(Calorific_Values!O9&lt;=30000,Calorific_Values!O9&gt;=5000),"TRUE","FALSE"),"TRUE")</f>
        <v>TRUE</v>
      </c>
    </row>
    <row r="38" spans="1:14" x14ac:dyDescent="0.25">
      <c r="A38" t="s">
        <v>155</v>
      </c>
      <c r="B38" t="s">
        <v>168</v>
      </c>
      <c r="C38" s="96" t="str">
        <f>IF('1f_OtherEndUses'!D10&gt;0,IF(AND(Calorific_Values!D10&lt;=50000,Calorific_Values!D10&gt;=40000),"TRUE","FALSE"),"TRUE")</f>
        <v>TRUE</v>
      </c>
      <c r="D38" s="96" t="str">
        <f>IF('1f_OtherEndUses'!E10&gt;0,IF(AND(Calorific_Values!E10&lt;=50000,Calorific_Values!E10&gt;=40000),"TRUE","FALSE"),"TRUE")</f>
        <v>TRUE</v>
      </c>
      <c r="E38" s="96" t="str">
        <f>IF('1f_OtherEndUses'!F10&gt;0,IF(AND(Calorific_Values!F10&lt;=50000,Calorific_Values!F10&gt;=40000),"TRUE","FALSE"),"TRUE")</f>
        <v>TRUE</v>
      </c>
      <c r="F38" s="96" t="str">
        <f>IF('1f_OtherEndUses'!G10&gt;0,IF(AND(Calorific_Values!G10&lt;=50000,Calorific_Values!G10&gt;=40000),"TRUE","FALSE"),"TRUE")</f>
        <v>TRUE</v>
      </c>
      <c r="G38" s="96" t="str">
        <f>IF('1f_OtherEndUses'!H10&gt;0,IF(AND(Calorific_Values!H10&lt;=50000,Calorific_Values!H10&gt;=40000),"TRUE","FALSE"),"TRUE")</f>
        <v>TRUE</v>
      </c>
      <c r="H38" s="96" t="str">
        <f>IF('1f_OtherEndUses'!I10&gt;0,IF(AND(Calorific_Values!I10&lt;=50000,Calorific_Values!I10&gt;=40000),"TRUE","FALSE"),"TRUE")</f>
        <v>TRUE</v>
      </c>
      <c r="I38" s="96" t="str">
        <f>IF('1f_OtherEndUses'!J10&gt;0,IF(AND(Calorific_Values!J10&lt;=50000,Calorific_Values!J10&gt;=40000),"TRUE","FALSE"),"TRUE")</f>
        <v>TRUE</v>
      </c>
      <c r="J38" s="96" t="str">
        <f>IF('1f_OtherEndUses'!K10&gt;0,IF(AND(Calorific_Values!K10&lt;=50000,Calorific_Values!K10&gt;=40000),"TRUE","FALSE"),"TRUE")</f>
        <v>TRUE</v>
      </c>
      <c r="K38" s="96" t="str">
        <f>IF('1f_OtherEndUses'!L10&gt;0,IF(AND(Calorific_Values!L10&lt;=50000,Calorific_Values!L10&gt;=40000),"TRUE","FALSE"),"TRUE")</f>
        <v>TRUE</v>
      </c>
      <c r="L38" s="96" t="str">
        <f>IF('1f_OtherEndUses'!M10&gt;0,IF(AND(Calorific_Values!M10&lt;=50000,Calorific_Values!M10&gt;=40000),"TRUE","FALSE"),"TRUE")</f>
        <v>TRUE</v>
      </c>
      <c r="M38" s="96" t="str">
        <f>IF('1f_OtherEndUses'!N10&gt;0,IF(AND(Calorific_Values!N10&lt;=50000,Calorific_Values!N10&gt;=40000),"TRUE","FALSE"),"TRUE")</f>
        <v>TRUE</v>
      </c>
      <c r="N38" s="96" t="str">
        <f>IF('1f_OtherEndUses'!O10&gt;0,IF(AND(Calorific_Values!O10&lt;=50000,Calorific_Values!O10&gt;=40000),"TRUE","FALSE"),"TRUE")</f>
        <v>TRUE</v>
      </c>
    </row>
    <row r="39" spans="1:14" x14ac:dyDescent="0.25">
      <c r="A39" t="s">
        <v>155</v>
      </c>
      <c r="B39" t="s">
        <v>164</v>
      </c>
      <c r="C39" s="96" t="str">
        <f>IF('1f_OtherEndUses'!D11&gt;0,IF(AND(Calorific_Values!D11&lt;=50000,Calorific_Values!D11&gt;=40000),"TRUE","FALSE"),"TRUE")</f>
        <v>TRUE</v>
      </c>
      <c r="D39" s="96" t="str">
        <f>IF('1f_OtherEndUses'!E11&gt;0,IF(AND(Calorific_Values!E11&lt;=50000,Calorific_Values!E11&gt;=40000),"TRUE","FALSE"),"TRUE")</f>
        <v>TRUE</v>
      </c>
      <c r="E39" s="96" t="str">
        <f>IF('1f_OtherEndUses'!F11&gt;0,IF(AND(Calorific_Values!F11&lt;=50000,Calorific_Values!F11&gt;=40000),"TRUE","FALSE"),"TRUE")</f>
        <v>TRUE</v>
      </c>
      <c r="F39" s="96" t="str">
        <f>IF('1f_OtherEndUses'!G11&gt;0,IF(AND(Calorific_Values!G11&lt;=50000,Calorific_Values!G11&gt;=40000),"TRUE","FALSE"),"TRUE")</f>
        <v>TRUE</v>
      </c>
      <c r="G39" s="96" t="str">
        <f>IF('1f_OtherEndUses'!H11&gt;0,IF(AND(Calorific_Values!H11&lt;=50000,Calorific_Values!H11&gt;=40000),"TRUE","FALSE"),"TRUE")</f>
        <v>TRUE</v>
      </c>
      <c r="H39" s="96" t="str">
        <f>IF('1f_OtherEndUses'!I11&gt;0,IF(AND(Calorific_Values!I11&lt;=50000,Calorific_Values!I11&gt;=40000),"TRUE","FALSE"),"TRUE")</f>
        <v>TRUE</v>
      </c>
      <c r="I39" s="96" t="str">
        <f>IF('1f_OtherEndUses'!J11&gt;0,IF(AND(Calorific_Values!J11&lt;=50000,Calorific_Values!J11&gt;=40000),"TRUE","FALSE"),"TRUE")</f>
        <v>TRUE</v>
      </c>
      <c r="J39" s="96" t="str">
        <f>IF('1f_OtherEndUses'!K11&gt;0,IF(AND(Calorific_Values!K11&lt;=50000,Calorific_Values!K11&gt;=40000),"TRUE","FALSE"),"TRUE")</f>
        <v>TRUE</v>
      </c>
      <c r="K39" s="96" t="str">
        <f>IF('1f_OtherEndUses'!L11&gt;0,IF(AND(Calorific_Values!L11&lt;=50000,Calorific_Values!L11&gt;=40000),"TRUE","FALSE"),"TRUE")</f>
        <v>TRUE</v>
      </c>
      <c r="L39" s="96" t="str">
        <f>IF('1f_OtherEndUses'!M11&gt;0,IF(AND(Calorific_Values!M11&lt;=50000,Calorific_Values!M11&gt;=40000),"TRUE","FALSE"),"TRUE")</f>
        <v>TRUE</v>
      </c>
      <c r="M39" s="96" t="str">
        <f>IF('1f_OtherEndUses'!N11&gt;0,IF(AND(Calorific_Values!N11&lt;=50000,Calorific_Values!N11&gt;=40000),"TRUE","FALSE"),"TRUE")</f>
        <v>TRUE</v>
      </c>
      <c r="N39" s="96" t="str">
        <f>IF('1f_OtherEndUses'!O11&gt;0,IF(AND(Calorific_Values!O11&lt;=50000,Calorific_Values!O11&gt;=40000),"TRUE","FALSE"),"TRUE")</f>
        <v>TRUE</v>
      </c>
    </row>
    <row r="40" spans="1:14" x14ac:dyDescent="0.25">
      <c r="A40" t="s">
        <v>155</v>
      </c>
      <c r="B40" t="s">
        <v>165</v>
      </c>
      <c r="C40" s="96" t="str">
        <f>IF('1f_OtherEndUses'!D12&gt;0,IF(AND(Calorific_Values!D12&lt;=45000,Calorific_Values!D12&gt;=40000),"TRUE","FALSE"),"TRUE")</f>
        <v>TRUE</v>
      </c>
      <c r="D40" s="96" t="str">
        <f>IF('1f_OtherEndUses'!E12&gt;0,IF(AND(Calorific_Values!E12&lt;=45000,Calorific_Values!E12&gt;=40000),"TRUE","FALSE"),"TRUE")</f>
        <v>TRUE</v>
      </c>
      <c r="E40" s="96" t="str">
        <f>IF('1f_OtherEndUses'!F12&gt;0,IF(AND(Calorific_Values!F12&lt;=45000,Calorific_Values!F12&gt;=40000),"TRUE","FALSE"),"TRUE")</f>
        <v>TRUE</v>
      </c>
      <c r="F40" s="96" t="str">
        <f>IF('1f_OtherEndUses'!G12&gt;0,IF(AND(Calorific_Values!G12&lt;=45000,Calorific_Values!G12&gt;=40000),"TRUE","FALSE"),"TRUE")</f>
        <v>TRUE</v>
      </c>
      <c r="G40" s="96" t="str">
        <f>IF('1f_OtherEndUses'!H12&gt;0,IF(AND(Calorific_Values!H12&lt;=45000,Calorific_Values!H12&gt;=40000),"TRUE","FALSE"),"TRUE")</f>
        <v>TRUE</v>
      </c>
      <c r="H40" s="96" t="str">
        <f>IF('1f_OtherEndUses'!I12&gt;0,IF(AND(Calorific_Values!I12&lt;=45000,Calorific_Values!I12&gt;=40000),"TRUE","FALSE"),"TRUE")</f>
        <v>TRUE</v>
      </c>
      <c r="I40" s="96" t="str">
        <f>IF('1f_OtherEndUses'!J12&gt;0,IF(AND(Calorific_Values!J12&lt;=45000,Calorific_Values!J12&gt;=40000),"TRUE","FALSE"),"TRUE")</f>
        <v>TRUE</v>
      </c>
      <c r="J40" s="96" t="str">
        <f>IF('1f_OtherEndUses'!K12&gt;0,IF(AND(Calorific_Values!K12&lt;=45000,Calorific_Values!K12&gt;=40000),"TRUE","FALSE"),"TRUE")</f>
        <v>TRUE</v>
      </c>
      <c r="K40" s="96" t="str">
        <f>IF('1f_OtherEndUses'!L12&gt;0,IF(AND(Calorific_Values!L12&lt;=45000,Calorific_Values!L12&gt;=40000),"TRUE","FALSE"),"TRUE")</f>
        <v>TRUE</v>
      </c>
      <c r="L40" s="96" t="str">
        <f>IF('1f_OtherEndUses'!M12&gt;0,IF(AND(Calorific_Values!M12&lt;=45000,Calorific_Values!M12&gt;=40000),"TRUE","FALSE"),"TRUE")</f>
        <v>TRUE</v>
      </c>
      <c r="M40" s="96" t="str">
        <f>IF('1f_OtherEndUses'!N12&gt;0,IF(AND(Calorific_Values!N12&lt;=45000,Calorific_Values!N12&gt;=40000),"TRUE","FALSE"),"TRUE")</f>
        <v>TRUE</v>
      </c>
      <c r="N40" s="96" t="str">
        <f>IF('1f_OtherEndUses'!O12&gt;0,IF(AND(Calorific_Values!O12&lt;=45000,Calorific_Values!O12&gt;=40000),"TRUE","FALSE"),"TRUE")</f>
        <v>TRUE</v>
      </c>
    </row>
    <row r="41" spans="1:14" x14ac:dyDescent="0.25">
      <c r="A41" t="s">
        <v>155</v>
      </c>
      <c r="B41" t="s">
        <v>166</v>
      </c>
      <c r="C41" s="96" t="str">
        <f>IF('1f_OtherEndUses'!D13&gt;0,IF(AND(Calorific_Values!D13&lt;=45000,Calorific_Values!D13&gt;=40000),"TRUE","FALSE"),"TRUE")</f>
        <v>TRUE</v>
      </c>
      <c r="D41" s="96" t="str">
        <f>IF('1f_OtherEndUses'!E13&gt;0,IF(AND(Calorific_Values!E13&lt;=45000,Calorific_Values!E13&gt;=40000),"TRUE","FALSE"),"TRUE")</f>
        <v>TRUE</v>
      </c>
      <c r="E41" s="96" t="str">
        <f>IF('1f_OtherEndUses'!F13&gt;0,IF(AND(Calorific_Values!F13&lt;=45000,Calorific_Values!F13&gt;=40000),"TRUE","FALSE"),"TRUE")</f>
        <v>TRUE</v>
      </c>
      <c r="F41" s="96" t="str">
        <f>IF('1f_OtherEndUses'!G13&gt;0,IF(AND(Calorific_Values!G13&lt;=45000,Calorific_Values!G13&gt;=40000),"TRUE","FALSE"),"TRUE")</f>
        <v>TRUE</v>
      </c>
      <c r="G41" s="96" t="str">
        <f>IF('1f_OtherEndUses'!H13&gt;0,IF(AND(Calorific_Values!H13&lt;=45000,Calorific_Values!H13&gt;=40000),"TRUE","FALSE"),"TRUE")</f>
        <v>TRUE</v>
      </c>
      <c r="H41" s="96" t="str">
        <f>IF('1f_OtherEndUses'!I13&gt;0,IF(AND(Calorific_Values!I13&lt;=45000,Calorific_Values!I13&gt;=40000),"TRUE","FALSE"),"TRUE")</f>
        <v>TRUE</v>
      </c>
      <c r="I41" s="96" t="str">
        <f>IF('1f_OtherEndUses'!J13&gt;0,IF(AND(Calorific_Values!J13&lt;=45000,Calorific_Values!J13&gt;=40000),"TRUE","FALSE"),"TRUE")</f>
        <v>TRUE</v>
      </c>
      <c r="J41" s="96" t="str">
        <f>IF('1f_OtherEndUses'!K13&gt;0,IF(AND(Calorific_Values!K13&lt;=45000,Calorific_Values!K13&gt;=40000),"TRUE","FALSE"),"TRUE")</f>
        <v>TRUE</v>
      </c>
      <c r="K41" s="96" t="str">
        <f>IF('1f_OtherEndUses'!L13&gt;0,IF(AND(Calorific_Values!L13&lt;=45000,Calorific_Values!L13&gt;=40000),"TRUE","FALSE"),"TRUE")</f>
        <v>TRUE</v>
      </c>
      <c r="L41" s="96" t="str">
        <f>IF('1f_OtherEndUses'!M13&gt;0,IF(AND(Calorific_Values!M13&lt;=45000,Calorific_Values!M13&gt;=40000),"TRUE","FALSE"),"TRUE")</f>
        <v>TRUE</v>
      </c>
      <c r="M41" s="96" t="str">
        <f>IF('1f_OtherEndUses'!N13&gt;0,IF(AND(Calorific_Values!N13&lt;=45000,Calorific_Values!N13&gt;=40000),"TRUE","FALSE"),"TRUE")</f>
        <v>TRUE</v>
      </c>
      <c r="N41" s="96" t="str">
        <f>IF('1f_OtherEndUses'!O13&gt;0,IF(AND(Calorific_Values!O13&lt;=45000,Calorific_Values!O13&gt;=40000),"TRUE","FALSE"),"TRUE")</f>
        <v>TRUE</v>
      </c>
    </row>
    <row r="42" spans="1:14" x14ac:dyDescent="0.25">
      <c r="A42" t="s">
        <v>158</v>
      </c>
      <c r="B42" t="s">
        <v>173</v>
      </c>
      <c r="C42" s="96" t="str">
        <f>IF(Calorific_Values!D9&lt;&gt;0,IF(AND(5000&lt;=Calorific_Values!D9,Calorific_Values!D9&lt;=30000),"TRUE","FALSE"),"")</f>
        <v>TRUE</v>
      </c>
      <c r="D42" s="96" t="str">
        <f>IF(Calorific_Values!E9&lt;&gt;0,IF(AND(5000&lt;=Calorific_Values!E9,Calorific_Values!E9&lt;=30000),"TRUE","FALSE"),"")</f>
        <v>TRUE</v>
      </c>
      <c r="E42" s="96" t="str">
        <f>IF(Calorific_Values!F9&lt;&gt;0,IF(AND(5000&lt;=Calorific_Values!F9,Calorific_Values!F9&lt;=30000),"TRUE","FALSE"),"")</f>
        <v>TRUE</v>
      </c>
      <c r="F42" s="96" t="str">
        <f>IF(Calorific_Values!G9&lt;&gt;0,IF(AND(5000&lt;=Calorific_Values!G9,Calorific_Values!G9&lt;=30000),"TRUE","FALSE"),"")</f>
        <v>TRUE</v>
      </c>
      <c r="G42" s="96" t="str">
        <f>IF(Calorific_Values!H9&lt;&gt;0,IF(AND(5000&lt;=Calorific_Values!H9,Calorific_Values!H9&lt;=30000),"TRUE","FALSE"),"")</f>
        <v>TRUE</v>
      </c>
      <c r="H42" s="96" t="str">
        <f>IF(Calorific_Values!I9&lt;&gt;0,IF(AND(5000&lt;=Calorific_Values!I9,Calorific_Values!I9&lt;=30000),"TRUE","FALSE"),"")</f>
        <v>TRUE</v>
      </c>
      <c r="I42" s="96" t="str">
        <f>IF(Calorific_Values!J9&lt;&gt;0,IF(AND(5000&lt;=Calorific_Values!J9,Calorific_Values!J9&lt;=30000),"TRUE","FALSE"),"")</f>
        <v>TRUE</v>
      </c>
      <c r="J42" s="96" t="str">
        <f>IF(Calorific_Values!K9&lt;&gt;0,IF(AND(5000&lt;=Calorific_Values!K9,Calorific_Values!K9&lt;=30000),"TRUE","FALSE"),"")</f>
        <v>TRUE</v>
      </c>
      <c r="K42" s="96" t="str">
        <f>IF(Calorific_Values!L9&lt;&gt;0,IF(AND(5000&lt;=Calorific_Values!L9,Calorific_Values!L9&lt;=30000),"TRUE","FALSE"),"")</f>
        <v>TRUE</v>
      </c>
      <c r="L42" s="96" t="str">
        <f>IF(Calorific_Values!M9&lt;&gt;0,IF(AND(5000&lt;=Calorific_Values!M9,Calorific_Values!M9&lt;=30000),"TRUE","FALSE"),"")</f>
        <v/>
      </c>
      <c r="M42" s="96" t="str">
        <f>IF(Calorific_Values!N9&lt;&gt;0,IF(AND(5000&lt;=Calorific_Values!N9,Calorific_Values!N9&lt;=30000),"TRUE","FALSE"),"")</f>
        <v/>
      </c>
      <c r="N42" s="96" t="str">
        <f>IF(Calorific_Values!O9&lt;&gt;0,IF(AND(5000&lt;=Calorific_Values!O9,Calorific_Values!O9&lt;=30000),"TRUE","FALSE"),"")</f>
        <v/>
      </c>
    </row>
    <row r="43" spans="1:14" x14ac:dyDescent="0.25">
      <c r="A43" t="s">
        <v>158</v>
      </c>
      <c r="B43" t="s">
        <v>174</v>
      </c>
      <c r="C43" s="96" t="str">
        <f>IF(Calorific_Values!D10&lt;&gt;0,IF(AND(40000&lt;=Calorific_Values!D10,Calorific_Values!D10&lt;=50000),"TRUE","FALSE"),"")</f>
        <v>TRUE</v>
      </c>
      <c r="D43" s="96" t="str">
        <f>IF(Calorific_Values!E10&lt;&gt;0,IF(AND(40000&lt;=Calorific_Values!E10,Calorific_Values!E10&lt;=50000),"TRUE","FALSE"),"")</f>
        <v>TRUE</v>
      </c>
      <c r="E43" s="96" t="str">
        <f>IF(Calorific_Values!F10&lt;&gt;0,IF(AND(40000&lt;=Calorific_Values!F10,Calorific_Values!F10&lt;=50000),"TRUE","FALSE"),"")</f>
        <v>TRUE</v>
      </c>
      <c r="F43" s="96" t="str">
        <f>IF(Calorific_Values!G10&lt;&gt;0,IF(AND(40000&lt;=Calorific_Values!G10,Calorific_Values!G10&lt;=50000),"TRUE","FALSE"),"")</f>
        <v>TRUE</v>
      </c>
      <c r="G43" s="96" t="str">
        <f>IF(Calorific_Values!H10&lt;&gt;0,IF(AND(40000&lt;=Calorific_Values!H10,Calorific_Values!H10&lt;=50000),"TRUE","FALSE"),"")</f>
        <v>TRUE</v>
      </c>
      <c r="H43" s="96" t="str">
        <f>IF(Calorific_Values!I10&lt;&gt;0,IF(AND(40000&lt;=Calorific_Values!I10,Calorific_Values!I10&lt;=50000),"TRUE","FALSE"),"")</f>
        <v>TRUE</v>
      </c>
      <c r="I43" s="96" t="str">
        <f>IF(Calorific_Values!J10&lt;&gt;0,IF(AND(40000&lt;=Calorific_Values!J10,Calorific_Values!J10&lt;=50000),"TRUE","FALSE"),"")</f>
        <v>TRUE</v>
      </c>
      <c r="J43" s="96" t="str">
        <f>IF(Calorific_Values!K10&lt;&gt;0,IF(AND(40000&lt;=Calorific_Values!K10,Calorific_Values!K10&lt;=50000),"TRUE","FALSE"),"")</f>
        <v>TRUE</v>
      </c>
      <c r="K43" s="96" t="str">
        <f>IF(Calorific_Values!L10&lt;&gt;0,IF(AND(40000&lt;=Calorific_Values!L10,Calorific_Values!L10&lt;=50000),"TRUE","FALSE"),"")</f>
        <v>TRUE</v>
      </c>
      <c r="L43" s="96" t="str">
        <f>IF(Calorific_Values!M10&lt;&gt;0,IF(AND(40000&lt;=Calorific_Values!M10,Calorific_Values!M10&lt;=50000),"TRUE","FALSE"),"")</f>
        <v/>
      </c>
      <c r="M43" s="96" t="str">
        <f>IF(Calorific_Values!N10&lt;&gt;0,IF(AND(40000&lt;=Calorific_Values!N10,Calorific_Values!N10&lt;=50000),"TRUE","FALSE"),"")</f>
        <v/>
      </c>
      <c r="N43" s="96" t="str">
        <f>IF(Calorific_Values!O10&lt;&gt;0,IF(AND(40000&lt;=Calorific_Values!O10,Calorific_Values!O10&lt;=50000),"TRUE","FALSE"),"")</f>
        <v/>
      </c>
    </row>
    <row r="44" spans="1:14" x14ac:dyDescent="0.25">
      <c r="A44" t="s">
        <v>158</v>
      </c>
      <c r="B44" t="s">
        <v>175</v>
      </c>
      <c r="C44" s="96" t="str">
        <f>IF(Calorific_Values!D11&lt;&gt;0,IF(AND(40000&lt;=Calorific_Values!D11,Calorific_Values!D11&lt;=50000),"TRUE","FALSE"),"")</f>
        <v>TRUE</v>
      </c>
      <c r="D44" s="96" t="str">
        <f>IF(Calorific_Values!E11&lt;&gt;0,IF(AND(40000&lt;=Calorific_Values!E11,Calorific_Values!E11&lt;=50000),"TRUE","FALSE"),"")</f>
        <v>TRUE</v>
      </c>
      <c r="E44" s="96" t="str">
        <f>IF(Calorific_Values!F11&lt;&gt;0,IF(AND(40000&lt;=Calorific_Values!F11,Calorific_Values!F11&lt;=50000),"TRUE","FALSE"),"")</f>
        <v>TRUE</v>
      </c>
      <c r="F44" s="96" t="str">
        <f>IF(Calorific_Values!G11&lt;&gt;0,IF(AND(40000&lt;=Calorific_Values!G11,Calorific_Values!G11&lt;=50000),"TRUE","FALSE"),"")</f>
        <v>TRUE</v>
      </c>
      <c r="G44" s="96" t="str">
        <f>IF(Calorific_Values!H11&lt;&gt;0,IF(AND(40000&lt;=Calorific_Values!H11,Calorific_Values!H11&lt;=50000),"TRUE","FALSE"),"")</f>
        <v>TRUE</v>
      </c>
      <c r="H44" s="96" t="str">
        <f>IF(Calorific_Values!I11&lt;&gt;0,IF(AND(40000&lt;=Calorific_Values!I11,Calorific_Values!I11&lt;=50000),"TRUE","FALSE"),"")</f>
        <v>TRUE</v>
      </c>
      <c r="I44" s="96" t="str">
        <f>IF(Calorific_Values!J11&lt;&gt;0,IF(AND(40000&lt;=Calorific_Values!J11,Calorific_Values!J11&lt;=50000),"TRUE","FALSE"),"")</f>
        <v>TRUE</v>
      </c>
      <c r="J44" s="96" t="str">
        <f>IF(Calorific_Values!K11&lt;&gt;0,IF(AND(40000&lt;=Calorific_Values!K11,Calorific_Values!K11&lt;=50000),"TRUE","FALSE"),"")</f>
        <v>TRUE</v>
      </c>
      <c r="K44" s="96" t="str">
        <f>IF(Calorific_Values!L11&lt;&gt;0,IF(AND(40000&lt;=Calorific_Values!L11,Calorific_Values!L11&lt;=50000),"TRUE","FALSE"),"")</f>
        <v>TRUE</v>
      </c>
      <c r="L44" s="96" t="str">
        <f>IF(Calorific_Values!M11&lt;&gt;0,IF(AND(40000&lt;=Calorific_Values!M11,Calorific_Values!M11&lt;=50000),"TRUE","FALSE"),"")</f>
        <v/>
      </c>
      <c r="M44" s="96" t="str">
        <f>IF(Calorific_Values!N11&lt;&gt;0,IF(AND(40000&lt;=Calorific_Values!N11,Calorific_Values!N11&lt;=50000),"TRUE","FALSE"),"")</f>
        <v/>
      </c>
      <c r="N44" s="96" t="str">
        <f>IF(Calorific_Values!O11&lt;&gt;0,IF(AND(40000&lt;=Calorific_Values!O11,Calorific_Values!O11&lt;=50000),"TRUE","FALSE"),"")</f>
        <v/>
      </c>
    </row>
    <row r="45" spans="1:14" x14ac:dyDescent="0.25">
      <c r="A45" t="s">
        <v>158</v>
      </c>
      <c r="B45" t="s">
        <v>176</v>
      </c>
      <c r="C45" s="96" t="str">
        <f>IF(Calorific_Values!D12&lt;&gt;0,IF(AND(40000&lt;=Calorific_Values!D12,Calorific_Values!D12&lt;=45000),"TRUE","FALSE"),"")</f>
        <v>TRUE</v>
      </c>
      <c r="D45" s="96" t="str">
        <f>IF(Calorific_Values!E12&lt;&gt;0,IF(AND(40000&lt;=Calorific_Values!E12,Calorific_Values!E12&lt;=45000),"TRUE","FALSE"),"")</f>
        <v>TRUE</v>
      </c>
      <c r="E45" s="96" t="str">
        <f>IF(Calorific_Values!F12&lt;&gt;0,IF(AND(40000&lt;=Calorific_Values!F12,Calorific_Values!F12&lt;=45000),"TRUE","FALSE"),"")</f>
        <v>TRUE</v>
      </c>
      <c r="F45" s="96" t="str">
        <f>IF(Calorific_Values!G12&lt;&gt;0,IF(AND(40000&lt;=Calorific_Values!G12,Calorific_Values!G12&lt;=45000),"TRUE","FALSE"),"")</f>
        <v>TRUE</v>
      </c>
      <c r="G45" s="96" t="str">
        <f>IF(Calorific_Values!H12&lt;&gt;0,IF(AND(40000&lt;=Calorific_Values!H12,Calorific_Values!H12&lt;=45000),"TRUE","FALSE"),"")</f>
        <v>TRUE</v>
      </c>
      <c r="H45" s="96" t="str">
        <f>IF(Calorific_Values!I12&lt;&gt;0,IF(AND(40000&lt;=Calorific_Values!I12,Calorific_Values!I12&lt;=45000),"TRUE","FALSE"),"")</f>
        <v>TRUE</v>
      </c>
      <c r="I45" s="96" t="str">
        <f>IF(Calorific_Values!J12&lt;&gt;0,IF(AND(40000&lt;=Calorific_Values!J12,Calorific_Values!J12&lt;=45000),"TRUE","FALSE"),"")</f>
        <v>TRUE</v>
      </c>
      <c r="J45" s="96" t="str">
        <f>IF(Calorific_Values!K12&lt;&gt;0,IF(AND(40000&lt;=Calorific_Values!K12,Calorific_Values!K12&lt;=45000),"TRUE","FALSE"),"")</f>
        <v>TRUE</v>
      </c>
      <c r="K45" s="96" t="str">
        <f>IF(Calorific_Values!L12&lt;&gt;0,IF(AND(40000&lt;=Calorific_Values!L12,Calorific_Values!L12&lt;=45000),"TRUE","FALSE"),"")</f>
        <v>TRUE</v>
      </c>
      <c r="L45" s="96" t="str">
        <f>IF(Calorific_Values!M12&lt;&gt;0,IF(AND(40000&lt;=Calorific_Values!M12,Calorific_Values!M12&lt;=45000),"TRUE","FALSE"),"")</f>
        <v/>
      </c>
      <c r="M45" s="96" t="str">
        <f>IF(Calorific_Values!N12&lt;&gt;0,IF(AND(40000&lt;=Calorific_Values!N12,Calorific_Values!N12&lt;=45000),"TRUE","FALSE"),"")</f>
        <v/>
      </c>
      <c r="N45" s="96" t="str">
        <f>IF(Calorific_Values!O12&lt;&gt;0,IF(AND(40000&lt;=Calorific_Values!O12,Calorific_Values!O12&lt;=45000),"TRUE","FALSE"),"")</f>
        <v/>
      </c>
    </row>
    <row r="46" spans="1:14" x14ac:dyDescent="0.25">
      <c r="A46" t="s">
        <v>158</v>
      </c>
      <c r="B46" t="s">
        <v>177</v>
      </c>
      <c r="C46" s="96" t="str">
        <f>IF(Calorific_Values!D13&lt;&gt;0,IF(AND(40000&lt;=Calorific_Values!D13,Calorific_Values!D13&lt;=45000),"TRUE","FALSE"),"")</f>
        <v>TRUE</v>
      </c>
      <c r="D46" s="96" t="str">
        <f>IF(Calorific_Values!E13&lt;&gt;0,IF(AND(40000&lt;=Calorific_Values!E13,Calorific_Values!E13&lt;=45000),"TRUE","FALSE"),"")</f>
        <v>TRUE</v>
      </c>
      <c r="E46" s="96" t="str">
        <f>IF(Calorific_Values!F13&lt;&gt;0,IF(AND(40000&lt;=Calorific_Values!F13,Calorific_Values!F13&lt;=45000),"TRUE","FALSE"),"")</f>
        <v>TRUE</v>
      </c>
      <c r="F46" s="96" t="str">
        <f>IF(Calorific_Values!G13&lt;&gt;0,IF(AND(40000&lt;=Calorific_Values!G13,Calorific_Values!G13&lt;=45000),"TRUE","FALSE"),"")</f>
        <v>TRUE</v>
      </c>
      <c r="G46" s="96" t="str">
        <f>IF(Calorific_Values!H13&lt;&gt;0,IF(AND(40000&lt;=Calorific_Values!H13,Calorific_Values!H13&lt;=45000),"TRUE","FALSE"),"")</f>
        <v>TRUE</v>
      </c>
      <c r="H46" s="96" t="str">
        <f>IF(Calorific_Values!I13&lt;&gt;0,IF(AND(40000&lt;=Calorific_Values!I13,Calorific_Values!I13&lt;=45000),"TRUE","FALSE"),"")</f>
        <v>TRUE</v>
      </c>
      <c r="I46" s="96" t="str">
        <f>IF(Calorific_Values!J13&lt;&gt;0,IF(AND(40000&lt;=Calorific_Values!J13,Calorific_Values!J13&lt;=45000),"TRUE","FALSE"),"")</f>
        <v>TRUE</v>
      </c>
      <c r="J46" s="96" t="str">
        <f>IF(Calorific_Values!K13&lt;&gt;0,IF(AND(40000&lt;=Calorific_Values!K13,Calorific_Values!K13&lt;=45000),"TRUE","FALSE"),"")</f>
        <v>TRUE</v>
      </c>
      <c r="K46" s="96" t="str">
        <f>IF(Calorific_Values!L13&lt;&gt;0,IF(AND(40000&lt;=Calorific_Values!L13,Calorific_Values!L13&lt;=45000),"TRUE","FALSE"),"")</f>
        <v>TRUE</v>
      </c>
      <c r="L46" s="96" t="str">
        <f>IF(Calorific_Values!M13&lt;&gt;0,IF(AND(40000&lt;=Calorific_Values!M13,Calorific_Values!M13&lt;=45000),"TRUE","FALSE"),"")</f>
        <v/>
      </c>
      <c r="M46" s="96" t="str">
        <f>IF(Calorific_Values!N13&lt;&gt;0,IF(AND(40000&lt;=Calorific_Values!N13,Calorific_Values!N13&lt;=45000),"TRUE","FALSE"),"")</f>
        <v/>
      </c>
      <c r="N46" s="96" t="str">
        <f>IF(Calorific_Values!O13&lt;&gt;0,IF(AND(40000&lt;=Calorific_Values!O13,Calorific_Values!O13&lt;=45000),"TRUE","FALSE"),"")</f>
        <v/>
      </c>
    </row>
  </sheetData>
  <sheetProtection algorithmName="SHA-512" hashValue="/opoXlNbtnTs4vfiaSQuNSbUoZj5JXPpoNZKPtNqib+SXoJhJn6ZLB44eJmsUeLn9tklLwm6X4TOxICs7q5PpQ==" saltValue="cxF0X6cS4LSXKu/+Z87Vyg==" spinCount="100000" sheet="1" objects="1" scenarios="1"/>
  <conditionalFormatting sqref="C4">
    <cfRule type="iconSet" priority="25">
      <iconSet iconSet="3Symbols2">
        <cfvo type="percent" val="0"/>
        <cfvo type="percent" val="33"/>
        <cfvo type="percent" val="67"/>
      </iconSet>
    </cfRule>
  </conditionalFormatting>
  <conditionalFormatting sqref="C7:J7 C27:J41 C11:J11 C8:N8 C13:J13 C12:N12 C15:J15 C14:N14 C17:J21 C16:N16">
    <cfRule type="containsText" dxfId="15" priority="23" operator="containsText" text="FALSE">
      <formula>NOT(ISERROR(SEARCH("FALSE",C7)))</formula>
    </cfRule>
    <cfRule type="containsText" dxfId="14" priority="24" operator="containsText" text="TRUE">
      <formula>NOT(ISERROR(SEARCH("TRUE",C7)))</formula>
    </cfRule>
  </conditionalFormatting>
  <conditionalFormatting sqref="C42:J46">
    <cfRule type="containsText" dxfId="13" priority="21" operator="containsText" text="FALSE">
      <formula>NOT(ISERROR(SEARCH("FALSE",C42)))</formula>
    </cfRule>
    <cfRule type="containsText" dxfId="12" priority="22" operator="containsText" text="TRUE">
      <formula>NOT(ISERROR(SEARCH("TRUE",C42)))</formula>
    </cfRule>
  </conditionalFormatting>
  <conditionalFormatting sqref="C22:N26">
    <cfRule type="containsText" dxfId="11" priority="19" operator="containsText" text="FALSE">
      <formula>NOT(ISERROR(SEARCH("FALSE",C22)))</formula>
    </cfRule>
    <cfRule type="containsText" dxfId="10" priority="20" operator="containsText" text="TRUE">
      <formula>NOT(ISERROR(SEARCH("TRUE",C22)))</formula>
    </cfRule>
  </conditionalFormatting>
  <conditionalFormatting sqref="C9:N10">
    <cfRule type="containsText" dxfId="9" priority="17" operator="containsText" text="FALSE">
      <formula>NOT(ISERROR(SEARCH("FALSE",C9)))</formula>
    </cfRule>
    <cfRule type="containsText" dxfId="8" priority="18" operator="containsText" text="TRUE">
      <formula>NOT(ISERROR(SEARCH("TRUE",C9)))</formula>
    </cfRule>
  </conditionalFormatting>
  <conditionalFormatting sqref="K7 K27:K41 K11 K13 K15 K17:K21">
    <cfRule type="containsText" dxfId="7" priority="15" operator="containsText" text="FALSE">
      <formula>NOT(ISERROR(SEARCH("FALSE",K7)))</formula>
    </cfRule>
    <cfRule type="containsText" dxfId="6" priority="16" operator="containsText" text="TRUE">
      <formula>NOT(ISERROR(SEARCH("TRUE",K7)))</formula>
    </cfRule>
  </conditionalFormatting>
  <conditionalFormatting sqref="K42:K46">
    <cfRule type="containsText" dxfId="5" priority="13" operator="containsText" text="FALSE">
      <formula>NOT(ISERROR(SEARCH("FALSE",K42)))</formula>
    </cfRule>
    <cfRule type="containsText" dxfId="4" priority="14" operator="containsText" text="TRUE">
      <formula>NOT(ISERROR(SEARCH("TRUE",K42)))</formula>
    </cfRule>
  </conditionalFormatting>
  <conditionalFormatting sqref="L7:N7 L27:N41 L11:N11 L13:N13 L15:N15 L17:N21">
    <cfRule type="containsText" dxfId="3" priority="7" operator="containsText" text="FALSE">
      <formula>NOT(ISERROR(SEARCH("FALSE",L7)))</formula>
    </cfRule>
    <cfRule type="containsText" dxfId="2" priority="8" operator="containsText" text="TRUE">
      <formula>NOT(ISERROR(SEARCH("TRUE",L7)))</formula>
    </cfRule>
  </conditionalFormatting>
  <conditionalFormatting sqref="L42:N46">
    <cfRule type="containsText" dxfId="1" priority="5" operator="containsText" text="FALSE">
      <formula>NOT(ISERROR(SEARCH("FALSE",L42)))</formula>
    </cfRule>
    <cfRule type="containsText" dxfId="0" priority="6" operator="containsText" text="TRUE">
      <formula>NOT(ISERROR(SEARCH("TRUE",L42)))</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793" r:id="rId3" name="Button 1">
              <controlPr defaultSize="0" print="0" autoFill="0" autoPict="0" macro="[0]!GoToCover">
                <anchor moveWithCells="1" sizeWithCells="1">
                  <from>
                    <xdr:col>2</xdr:col>
                    <xdr:colOff>0</xdr:colOff>
                    <xdr:row>0</xdr:row>
                    <xdr:rowOff>19050</xdr:rowOff>
                  </from>
                  <to>
                    <xdr:col>4</xdr:col>
                    <xdr:colOff>171450</xdr:colOff>
                    <xdr:row>2</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01"/>
  <dimension ref="A1:B8"/>
  <sheetViews>
    <sheetView topLeftCell="A4" zoomScaleNormal="100" workbookViewId="0">
      <selection activeCell="B16" sqref="B16"/>
    </sheetView>
  </sheetViews>
  <sheetFormatPr defaultColWidth="9.140625" defaultRowHeight="12.75" x14ac:dyDescent="0.2"/>
  <cols>
    <col min="1" max="1" width="27.140625" style="138" customWidth="1"/>
    <col min="2" max="2" width="27.85546875" style="138" customWidth="1"/>
    <col min="3" max="3" width="9.140625" style="138" customWidth="1"/>
    <col min="4" max="52" width="9.140625" style="138"/>
    <col min="53" max="156" width="9.140625" style="138" customWidth="1"/>
    <col min="157" max="16384" width="9.140625" style="138"/>
  </cols>
  <sheetData>
    <row r="1" spans="1:2" x14ac:dyDescent="0.2">
      <c r="A1" s="137" t="s">
        <v>187</v>
      </c>
      <c r="B1" s="137" t="s">
        <v>188</v>
      </c>
    </row>
    <row r="2" spans="1:2" x14ac:dyDescent="0.2">
      <c r="A2" s="140" t="s">
        <v>158</v>
      </c>
      <c r="B2" s="140" t="s">
        <v>189</v>
      </c>
    </row>
    <row r="3" spans="1:2" x14ac:dyDescent="0.2">
      <c r="A3" s="139" t="s">
        <v>152</v>
      </c>
      <c r="B3" s="140" t="s">
        <v>189</v>
      </c>
    </row>
    <row r="4" spans="1:2" x14ac:dyDescent="0.2">
      <c r="A4" s="139" t="s">
        <v>169</v>
      </c>
      <c r="B4" s="140" t="s">
        <v>189</v>
      </c>
    </row>
    <row r="5" spans="1:2" x14ac:dyDescent="0.2">
      <c r="A5" s="139" t="s">
        <v>153</v>
      </c>
      <c r="B5" s="140" t="s">
        <v>189</v>
      </c>
    </row>
    <row r="6" spans="1:2" x14ac:dyDescent="0.2">
      <c r="A6" s="139" t="s">
        <v>154</v>
      </c>
      <c r="B6" s="140" t="s">
        <v>189</v>
      </c>
    </row>
    <row r="7" spans="1:2" x14ac:dyDescent="0.2">
      <c r="A7" s="139" t="s">
        <v>228</v>
      </c>
      <c r="B7" s="140" t="s">
        <v>189</v>
      </c>
    </row>
    <row r="8" spans="1:2" x14ac:dyDescent="0.2">
      <c r="A8" s="139" t="s">
        <v>155</v>
      </c>
      <c r="B8" s="140" t="s">
        <v>189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02"/>
  <dimension ref="A1:G22"/>
  <sheetViews>
    <sheetView zoomScaleNormal="100" workbookViewId="0">
      <selection activeCell="D7" sqref="D7"/>
    </sheetView>
  </sheetViews>
  <sheetFormatPr defaultColWidth="9" defaultRowHeight="12.75" x14ac:dyDescent="0.2"/>
  <cols>
    <col min="1" max="1" width="22" style="138" customWidth="1"/>
    <col min="2" max="3" width="9" style="138" customWidth="1"/>
    <col min="4" max="5" width="9" style="138"/>
    <col min="6" max="6" width="25.28515625" style="138" customWidth="1"/>
    <col min="7" max="52" width="9" style="138"/>
    <col min="53" max="156" width="9" style="138" customWidth="1"/>
    <col min="157" max="16384" width="9" style="138"/>
  </cols>
  <sheetData>
    <row r="1" spans="1:7" ht="15" x14ac:dyDescent="0.25">
      <c r="A1" s="141" t="s">
        <v>190</v>
      </c>
      <c r="B1" s="141" t="s">
        <v>191</v>
      </c>
      <c r="C1" s="141" t="s">
        <v>192</v>
      </c>
      <c r="D1" s="141" t="s">
        <v>193</v>
      </c>
      <c r="E1" s="142"/>
      <c r="F1" s="141" t="s">
        <v>194</v>
      </c>
      <c r="G1" s="150" t="s">
        <v>233</v>
      </c>
    </row>
    <row r="2" spans="1:7" ht="15" x14ac:dyDescent="0.25">
      <c r="A2" s="142" t="s">
        <v>195</v>
      </c>
      <c r="B2" s="142" t="s">
        <v>196</v>
      </c>
      <c r="C2" s="142" t="s">
        <v>197</v>
      </c>
      <c r="D2" s="151" t="s">
        <v>278</v>
      </c>
      <c r="E2" s="142"/>
      <c r="F2" s="144" t="s">
        <v>198</v>
      </c>
      <c r="G2" s="150" t="s">
        <v>234</v>
      </c>
    </row>
    <row r="3" spans="1:7" ht="15" x14ac:dyDescent="0.25">
      <c r="A3" s="142" t="s">
        <v>199</v>
      </c>
      <c r="B3" s="142" t="s">
        <v>196</v>
      </c>
      <c r="C3" s="142" t="s">
        <v>197</v>
      </c>
      <c r="D3" s="142" t="s">
        <v>200</v>
      </c>
      <c r="E3" s="142"/>
      <c r="F3" s="144" t="s">
        <v>201</v>
      </c>
      <c r="G3" s="145" t="s">
        <v>202</v>
      </c>
    </row>
    <row r="4" spans="1:7" ht="15" x14ac:dyDescent="0.25">
      <c r="A4" s="142" t="s">
        <v>203</v>
      </c>
      <c r="B4" s="142" t="s">
        <v>196</v>
      </c>
      <c r="C4" s="151" t="s">
        <v>235</v>
      </c>
      <c r="D4" s="151" t="s">
        <v>236</v>
      </c>
      <c r="E4" s="142"/>
      <c r="F4" s="141"/>
      <c r="G4" s="146"/>
    </row>
    <row r="5" spans="1:7" ht="15" x14ac:dyDescent="0.25">
      <c r="A5" s="142" t="s">
        <v>205</v>
      </c>
      <c r="B5" s="142" t="s">
        <v>196</v>
      </c>
      <c r="C5" s="142" t="s">
        <v>204</v>
      </c>
      <c r="D5" s="143" t="s">
        <v>206</v>
      </c>
      <c r="E5" s="142"/>
      <c r="F5" s="147"/>
      <c r="G5" s="148"/>
    </row>
    <row r="6" spans="1:7" ht="15" x14ac:dyDescent="0.25">
      <c r="A6" s="142" t="s">
        <v>207</v>
      </c>
      <c r="B6" s="142" t="s">
        <v>196</v>
      </c>
      <c r="C6" s="151" t="s">
        <v>197</v>
      </c>
      <c r="D6" s="151" t="s">
        <v>297</v>
      </c>
      <c r="E6" s="142"/>
      <c r="F6" s="141"/>
      <c r="G6" s="146"/>
    </row>
    <row r="7" spans="1:7" ht="15" x14ac:dyDescent="0.25">
      <c r="A7" s="142" t="s">
        <v>208</v>
      </c>
      <c r="B7" s="142" t="s">
        <v>196</v>
      </c>
      <c r="C7" s="151" t="s">
        <v>235</v>
      </c>
      <c r="D7" s="151" t="s">
        <v>299</v>
      </c>
      <c r="E7" s="142"/>
      <c r="F7" s="141"/>
      <c r="G7" s="146"/>
    </row>
    <row r="8" spans="1:7" ht="15" x14ac:dyDescent="0.25">
      <c r="A8" s="142" t="s">
        <v>209</v>
      </c>
      <c r="B8" s="142" t="s">
        <v>196</v>
      </c>
      <c r="C8" s="151" t="s">
        <v>197</v>
      </c>
      <c r="D8" s="151" t="s">
        <v>232</v>
      </c>
      <c r="E8" s="142"/>
      <c r="F8" s="141"/>
      <c r="G8" s="146"/>
    </row>
    <row r="9" spans="1:7" ht="15" x14ac:dyDescent="0.25">
      <c r="A9" s="142" t="s">
        <v>210</v>
      </c>
      <c r="B9" s="142" t="s">
        <v>196</v>
      </c>
      <c r="C9" s="151" t="s">
        <v>197</v>
      </c>
      <c r="D9" s="151" t="s">
        <v>232</v>
      </c>
      <c r="E9" s="142"/>
      <c r="F9" s="141"/>
      <c r="G9" s="146"/>
    </row>
    <row r="10" spans="1:7" ht="15" x14ac:dyDescent="0.25">
      <c r="A10" s="142" t="s">
        <v>211</v>
      </c>
      <c r="B10" s="142" t="s">
        <v>196</v>
      </c>
      <c r="C10" s="151" t="s">
        <v>197</v>
      </c>
      <c r="D10" s="151" t="s">
        <v>232</v>
      </c>
      <c r="E10" s="142"/>
      <c r="F10" s="141"/>
      <c r="G10" s="146"/>
    </row>
    <row r="11" spans="1:7" ht="15" x14ac:dyDescent="0.25">
      <c r="A11" s="142" t="s">
        <v>212</v>
      </c>
      <c r="B11" s="142" t="s">
        <v>196</v>
      </c>
      <c r="C11" s="151" t="s">
        <v>197</v>
      </c>
      <c r="D11" s="151" t="s">
        <v>232</v>
      </c>
      <c r="E11" s="142"/>
      <c r="F11" s="141"/>
      <c r="G11" s="146"/>
    </row>
    <row r="12" spans="1:7" ht="15" x14ac:dyDescent="0.25">
      <c r="A12" s="142" t="s">
        <v>213</v>
      </c>
      <c r="B12" s="142" t="s">
        <v>196</v>
      </c>
      <c r="C12" s="151" t="s">
        <v>197</v>
      </c>
      <c r="D12" s="151" t="s">
        <v>232</v>
      </c>
      <c r="E12" s="142"/>
      <c r="F12" s="141"/>
      <c r="G12" s="146"/>
    </row>
    <row r="13" spans="1:7" ht="15" x14ac:dyDescent="0.25">
      <c r="A13" s="142" t="s">
        <v>214</v>
      </c>
      <c r="B13" s="142" t="s">
        <v>196</v>
      </c>
      <c r="C13" s="142" t="s">
        <v>204</v>
      </c>
      <c r="D13" s="143" t="s">
        <v>215</v>
      </c>
      <c r="E13" s="142"/>
      <c r="F13" s="141"/>
      <c r="G13" s="146"/>
    </row>
    <row r="14" spans="1:7" ht="15" x14ac:dyDescent="0.25">
      <c r="A14" s="142" t="s">
        <v>216</v>
      </c>
      <c r="B14" s="142" t="s">
        <v>196</v>
      </c>
      <c r="C14" s="142" t="s">
        <v>217</v>
      </c>
      <c r="D14" s="142">
        <v>5</v>
      </c>
      <c r="E14" s="142"/>
      <c r="F14" s="141"/>
      <c r="G14" s="146"/>
    </row>
    <row r="15" spans="1:7" ht="15" x14ac:dyDescent="0.25">
      <c r="A15" s="142" t="s">
        <v>218</v>
      </c>
      <c r="B15" s="142" t="s">
        <v>196</v>
      </c>
      <c r="C15" s="151" t="s">
        <v>197</v>
      </c>
      <c r="D15" s="151" t="s">
        <v>232</v>
      </c>
      <c r="E15" s="142"/>
      <c r="F15" s="141"/>
      <c r="G15" s="146"/>
    </row>
    <row r="16" spans="1:7" ht="15" x14ac:dyDescent="0.25">
      <c r="A16" s="142" t="s">
        <v>219</v>
      </c>
      <c r="B16" s="142" t="s">
        <v>220</v>
      </c>
      <c r="C16" s="142" t="s">
        <v>204</v>
      </c>
      <c r="D16" s="143" t="s">
        <v>221</v>
      </c>
      <c r="E16" s="142"/>
      <c r="F16" s="141"/>
      <c r="G16" s="146"/>
    </row>
    <row r="17" spans="1:7" ht="15" x14ac:dyDescent="0.25">
      <c r="A17" s="142" t="s">
        <v>222</v>
      </c>
      <c r="B17" s="142" t="s">
        <v>220</v>
      </c>
      <c r="C17" s="142" t="s">
        <v>223</v>
      </c>
      <c r="D17" s="142"/>
      <c r="E17" s="142"/>
      <c r="F17" s="141"/>
      <c r="G17" s="146"/>
    </row>
    <row r="18" spans="1:7" ht="15" x14ac:dyDescent="0.25">
      <c r="A18" s="142" t="s">
        <v>224</v>
      </c>
      <c r="B18" s="142" t="s">
        <v>220</v>
      </c>
      <c r="C18" s="142" t="s">
        <v>223</v>
      </c>
      <c r="D18" s="142"/>
      <c r="E18" s="142"/>
      <c r="F18" s="141"/>
      <c r="G18" s="146"/>
    </row>
    <row r="19" spans="1:7" ht="15" x14ac:dyDescent="0.25">
      <c r="A19" s="142" t="s">
        <v>225</v>
      </c>
      <c r="B19" s="142" t="s">
        <v>220</v>
      </c>
      <c r="C19" s="142" t="s">
        <v>223</v>
      </c>
      <c r="D19" s="142"/>
      <c r="E19" s="142"/>
      <c r="F19" s="141"/>
      <c r="G19" s="146"/>
    </row>
    <row r="20" spans="1:7" ht="15" x14ac:dyDescent="0.25">
      <c r="A20" s="142" t="s">
        <v>226</v>
      </c>
      <c r="B20" s="142" t="s">
        <v>220</v>
      </c>
      <c r="C20" s="142" t="s">
        <v>223</v>
      </c>
      <c r="D20" s="142"/>
      <c r="E20" s="142"/>
      <c r="F20" s="141"/>
      <c r="G20" s="146"/>
    </row>
    <row r="21" spans="1:7" ht="15" x14ac:dyDescent="0.25">
      <c r="A21" s="142" t="s">
        <v>227</v>
      </c>
      <c r="B21" s="142" t="s">
        <v>220</v>
      </c>
      <c r="C21" s="142" t="s">
        <v>223</v>
      </c>
      <c r="D21" s="142"/>
      <c r="E21" s="142"/>
      <c r="F21" s="141"/>
      <c r="G21" s="146"/>
    </row>
    <row r="22" spans="1:7" x14ac:dyDescent="0.2">
      <c r="G22" s="14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16</vt:i4>
      </vt:variant>
      <vt:variant>
        <vt:lpstr>Named Ranges</vt:lpstr>
      </vt:variant>
      <vt:variant>
        <vt:i4>14</vt:i4>
      </vt:variant>
    </vt:vector>
  </HeadingPairs>
  <TitlesOfParts>
    <vt:vector size="30" baseType="lpstr">
      <vt:lpstr>Cover</vt:lpstr>
      <vt:lpstr>Definitions</vt:lpstr>
      <vt:lpstr>Calorific_Values</vt:lpstr>
      <vt:lpstr>Table1_Totals</vt:lpstr>
      <vt:lpstr>Table2_Energy_Totals</vt:lpstr>
      <vt:lpstr>1a_SpaceHeating</vt:lpstr>
      <vt:lpstr>1b_SpaceCooling</vt:lpstr>
      <vt:lpstr>1c_WaterHeating</vt:lpstr>
      <vt:lpstr>1d_Cooking</vt:lpstr>
      <vt:lpstr>1e_LightingAndAppliances</vt:lpstr>
      <vt:lpstr>1f_OtherEndUses</vt:lpstr>
      <vt:lpstr>Remarks</vt:lpstr>
      <vt:lpstr>Country_list</vt:lpstr>
      <vt:lpstr>Validation</vt:lpstr>
      <vt:lpstr>Parameter_mapping</vt:lpstr>
      <vt:lpstr>Parameters</vt:lpstr>
      <vt:lpstr>'1a_SpaceHeating'!Print_Area</vt:lpstr>
      <vt:lpstr>'1b_SpaceCooling'!Print_Area</vt:lpstr>
      <vt:lpstr>'1c_WaterHeating'!Print_Area</vt:lpstr>
      <vt:lpstr>'1d_Cooking'!Print_Area</vt:lpstr>
      <vt:lpstr>'1e_LightingAndAppliances'!Print_Area</vt:lpstr>
      <vt:lpstr>'1f_OtherEndUses'!Print_Area</vt:lpstr>
      <vt:lpstr>Calorific_Values!Print_Area</vt:lpstr>
      <vt:lpstr>Cover!Print_Area</vt:lpstr>
      <vt:lpstr>Definitions!Print_Area</vt:lpstr>
      <vt:lpstr>Remarks!Print_Area</vt:lpstr>
      <vt:lpstr>Table1_Totals!Print_Area</vt:lpstr>
      <vt:lpstr>Table2_Energy_Totals!Print_Area</vt:lpstr>
      <vt:lpstr>Submission_country</vt:lpstr>
      <vt:lpstr>Valid</vt:lpstr>
    </vt:vector>
  </TitlesOfParts>
  <Company>European Commission - Eurostat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Questionnaire for statistics on final energy consumption in households</dc:title>
  <dc:subject>Disagregated energy consumption in households</dc:subject>
  <dc:creator>FETIE Cristian (ESTAT);Ioanna.KATRANTZI@ec.europa.eu</dc:creator>
  <cp:lastModifiedBy>KATRANTZI Ioanna (ESTAT)</cp:lastModifiedBy>
  <cp:lastPrinted>2017-09-15T13:51:39Z</cp:lastPrinted>
  <dcterms:created xsi:type="dcterms:W3CDTF">2014-09-17T09:30:01Z</dcterms:created>
  <dcterms:modified xsi:type="dcterms:W3CDTF">2020-01-30T14:04:23Z</dcterms:modified>
  <cp:category>Annual questionnaires</cp:category>
</cp:coreProperties>
</file>