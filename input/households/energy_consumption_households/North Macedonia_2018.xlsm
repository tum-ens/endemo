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G17" i="5"/>
  <c r="J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9" i="5"/>
  <c r="I6" i="5"/>
  <c r="G7" i="5"/>
  <c r="G14" i="5"/>
  <c r="J16" i="5"/>
  <c r="G16" i="5"/>
  <c r="H15" i="5"/>
  <c r="J9" i="5"/>
  <c r="H18" i="5"/>
  <c r="G11" i="5"/>
  <c r="J11" i="5"/>
  <c r="G6" i="5"/>
  <c r="E6" i="5"/>
  <c r="H6" i="5"/>
  <c r="J7" i="5"/>
  <c r="G13" i="5"/>
  <c r="H14" i="5"/>
  <c r="H7" i="5"/>
  <c r="E13" i="5"/>
  <c r="J6" i="5"/>
  <c r="H8" i="5"/>
  <c r="G18" i="5"/>
  <c r="E12" i="5"/>
  <c r="J13" i="5"/>
  <c r="H12" i="5"/>
  <c r="G9" i="5"/>
  <c r="H9" i="5"/>
  <c r="G15" i="5"/>
  <c r="J15" i="5"/>
  <c r="E8" i="5"/>
  <c r="H13" i="5"/>
  <c r="H10" i="5"/>
  <c r="E18" i="5"/>
  <c r="E14" i="5"/>
  <c r="F6" i="5"/>
  <c r="E15" i="5"/>
  <c r="J8" i="5"/>
  <c r="E16" i="5"/>
  <c r="J12" i="5"/>
  <c r="H11" i="5"/>
  <c r="J10" i="5"/>
  <c r="J14" i="5"/>
  <c r="J18" i="5"/>
  <c r="H16" i="5"/>
  <c r="G12" i="5"/>
  <c r="E11" i="5"/>
  <c r="G10" i="5"/>
  <c r="G8" i="5"/>
  <c r="K9" i="5"/>
  <c r="E7"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<sst xmlns="http://schemas.openxmlformats.org/spreadsheetml/2006/main" count="952" uniqueCount="315">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</sst>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178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election activeCell="B15" sqref="B15:B16"/>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MK</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v>9788</v>
      </c>
      <c r="E9" s="94">
        <v>9070</v>
      </c>
      <c r="F9" s="94">
        <v>9320</v>
      </c>
      <c r="G9" s="94">
        <v>8472</v>
      </c>
      <c r="H9" s="94">
        <v>8356</v>
      </c>
      <c r="I9" s="94">
        <v>10486</v>
      </c>
      <c r="J9" s="94">
        <v>9156</v>
      </c>
      <c r="K9" s="94">
        <v>9852</v>
      </c>
      <c r="L9" s="94">
        <v>10288</v>
      </c>
      <c r="M9" s="94"/>
      <c r="N9" s="94"/>
      <c r="O9" s="94"/>
      <c r="DT9" s="4" t="s">
        <v>279</v>
      </c>
      <c r="EB9" s="4" t="s">
        <v>300</v>
      </c>
      <c r="ED9" s="4" t="s">
        <v>301</v>
      </c>
    </row>
    <row r="10" spans="1:134" ht="24" customHeight="1" x14ac:dyDescent="0.2">
      <c r="A10" s="183" t="s">
        <v>20</v>
      </c>
      <c r="B10" s="184"/>
      <c r="C10" s="9" t="s">
        <v>132</v>
      </c>
      <c r="D10" s="93">
        <v>43683</v>
      </c>
      <c r="E10" s="94">
        <v>43707.187668536106</v>
      </c>
      <c r="F10" s="94">
        <v>44161.876975679981</v>
      </c>
      <c r="G10" s="94">
        <v>45145.932705507796</v>
      </c>
      <c r="H10" s="94">
        <v>45157.595052088807</v>
      </c>
      <c r="I10" s="94">
        <v>45269.918487430812</v>
      </c>
      <c r="J10" s="94">
        <v>45434.955999999998</v>
      </c>
      <c r="K10" s="94">
        <v>45353</v>
      </c>
      <c r="L10" s="94">
        <v>45377</v>
      </c>
      <c r="M10" s="94"/>
      <c r="N10" s="94"/>
      <c r="O10" s="94"/>
      <c r="DT10" s="4" t="s">
        <v>280</v>
      </c>
      <c r="EB10" s="4" t="s">
        <v>300</v>
      </c>
      <c r="ED10" s="4" t="s">
        <v>301</v>
      </c>
    </row>
    <row r="11" spans="1:134" s="13" customFormat="1" ht="15" customHeight="1" x14ac:dyDescent="0.2">
      <c r="A11" s="182" t="s">
        <v>18</v>
      </c>
      <c r="B11" s="110" t="s">
        <v>21</v>
      </c>
      <c r="C11" s="111" t="s">
        <v>132</v>
      </c>
      <c r="D11" s="115">
        <v>46501</v>
      </c>
      <c r="E11" s="115">
        <v>46535</v>
      </c>
      <c r="F11" s="116">
        <v>46660</v>
      </c>
      <c r="G11" s="116">
        <v>46836</v>
      </c>
      <c r="H11" s="116">
        <v>46768</v>
      </c>
      <c r="I11" s="116">
        <v>46799</v>
      </c>
      <c r="J11" s="116">
        <v>46800</v>
      </c>
      <c r="K11" s="116">
        <v>46800</v>
      </c>
      <c r="L11" s="116">
        <v>46799</v>
      </c>
      <c r="M11" s="116"/>
      <c r="N11" s="116"/>
      <c r="O11" s="116"/>
      <c r="DT11" s="13" t="s">
        <v>281</v>
      </c>
      <c r="EB11" s="13" t="s">
        <v>300</v>
      </c>
      <c r="ED11" s="13" t="s">
        <v>301</v>
      </c>
    </row>
    <row r="12" spans="1:134" s="13" customFormat="1" ht="15" customHeight="1" x14ac:dyDescent="0.2">
      <c r="A12" s="182"/>
      <c r="B12" s="110" t="s">
        <v>22</v>
      </c>
      <c r="C12" s="111" t="s">
        <v>132</v>
      </c>
      <c r="D12" s="115"/>
      <c r="E12" s="116"/>
      <c r="F12" s="116"/>
      <c r="G12" s="116"/>
      <c r="H12" s="116"/>
      <c r="I12" s="116"/>
      <c r="J12" s="116"/>
      <c r="K12" s="116"/>
      <c r="L12" s="115"/>
      <c r="M12" s="115"/>
      <c r="N12" s="115"/>
      <c r="O12" s="115"/>
      <c r="DT12" s="13" t="s">
        <v>282</v>
      </c>
      <c r="EB12" s="13" t="s">
        <v>300</v>
      </c>
      <c r="ED12" s="13" t="s">
        <v>301</v>
      </c>
    </row>
    <row r="13" spans="1:134" s="13" customFormat="1" ht="15" customHeight="1" x14ac:dyDescent="0.2">
      <c r="A13" s="182"/>
      <c r="B13" s="110" t="s">
        <v>23</v>
      </c>
      <c r="C13" s="111" t="s">
        <v>132</v>
      </c>
      <c r="D13" s="115">
        <v>42920</v>
      </c>
      <c r="E13" s="116">
        <v>42924</v>
      </c>
      <c r="F13" s="116">
        <v>42934</v>
      </c>
      <c r="G13" s="116">
        <v>42937</v>
      </c>
      <c r="H13" s="116">
        <v>42950</v>
      </c>
      <c r="I13" s="116">
        <v>42950</v>
      </c>
      <c r="J13" s="116">
        <v>42950</v>
      </c>
      <c r="K13" s="116">
        <v>42950</v>
      </c>
      <c r="L13" s="115">
        <v>42948</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topLeftCell="A4" zoomScale="90" zoomScaleNormal="90" workbookViewId="0">
      <pane xSplit="3" topLeftCell="D1" activePane="topRight" state="frozen"/>
      <selection activeCell="C5" sqref="C5:C43"/>
      <selection pane="topRight" activeCell="D11" sqref="D11:D1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North Macedonia</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2998.8137869798452</v>
      </c>
      <c r="E6" s="121">
        <f ca="1">INDIRECT(ADDRESS(ROW(K6),$C$3 -2010 + 4,,,"1a_SpaceHeating"))</f>
        <v>902.95144044370329</v>
      </c>
      <c r="F6" s="121">
        <f ca="1">INDIRECT(ADDRESS(ROW(K6),$C$3-2010+4,,,"1b_SpaceCooling"))</f>
        <v>115.78019507583009</v>
      </c>
      <c r="G6" s="121">
        <f ca="1">INDIRECT(ADDRESS(ROW(K6),$C$3-2010+4,,,"1c_WaterHeating"))</f>
        <v>700.46637995926528</v>
      </c>
      <c r="H6" s="121">
        <f ca="1">INDIRECT(ADDRESS(ROW(K6),$C$3-2010+4,,,"1d_Cooking"))</f>
        <v>423.11577150104671</v>
      </c>
      <c r="I6" s="121">
        <f ca="1">INDIRECT(ADDRESS(ROW(K6),$C$3-2010+4,,,"1e_LightingAndAppliances"))</f>
        <v>856.5</v>
      </c>
      <c r="J6" s="121">
        <f ca="1">INDIRECT(ADDRESS(ROW(K6),$C$3-2010+4,,,"1f_OtherEndUses"))</f>
        <v>0</v>
      </c>
      <c r="K6" s="122"/>
    </row>
    <row r="7" spans="1:11" ht="24" customHeight="1" x14ac:dyDescent="0.25">
      <c r="A7" s="186" t="s">
        <v>15</v>
      </c>
      <c r="B7" s="187"/>
      <c r="C7" s="109" t="s">
        <v>16</v>
      </c>
      <c r="D7" s="123">
        <f t="shared" ref="D7:D16" ca="1" si="0">SUM(E7:J7)</f>
        <v>1417.5467999999998</v>
      </c>
      <c r="E7" s="124">
        <f t="shared" ref="E7:E16" ca="1" si="1">INDIRECT(ADDRESS(ROW(K7),$C$3 -2010 + 4,,,"1a_SpaceHeating"))</f>
        <v>1417.5467999999998</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9</v>
      </c>
      <c r="E8" s="124">
        <f t="shared" ca="1" si="1"/>
        <v>9</v>
      </c>
      <c r="F8" s="125"/>
      <c r="G8" s="124">
        <f t="shared" ca="1" si="2"/>
        <v>0</v>
      </c>
      <c r="H8" s="124">
        <f t="shared" ca="1" si="3"/>
        <v>0</v>
      </c>
      <c r="I8" s="125"/>
      <c r="J8" s="124">
        <f t="shared" ca="1" si="4"/>
        <v>0</v>
      </c>
      <c r="K8" s="125"/>
    </row>
    <row r="9" spans="1:11" ht="24" customHeight="1" x14ac:dyDescent="0.25">
      <c r="A9" s="186" t="s">
        <v>156</v>
      </c>
      <c r="B9" s="187"/>
      <c r="C9" s="109" t="s">
        <v>19</v>
      </c>
      <c r="D9" s="123">
        <f t="shared" ca="1" si="0"/>
        <v>3.22</v>
      </c>
      <c r="E9" s="124">
        <f t="shared" ca="1" si="1"/>
        <v>3.22</v>
      </c>
      <c r="F9" s="125"/>
      <c r="G9" s="124">
        <f t="shared" ca="1" si="2"/>
        <v>0</v>
      </c>
      <c r="H9" s="124">
        <f t="shared" ca="1" si="3"/>
        <v>0</v>
      </c>
      <c r="I9" s="125"/>
      <c r="J9" s="124">
        <f t="shared" ca="1" si="4"/>
        <v>0</v>
      </c>
      <c r="K9" s="126">
        <f ca="1">INDIRECT(ADDRESS(ROW(K9),$C$3-2010+4,,,"Calorific_Values"))</f>
        <v>10288</v>
      </c>
    </row>
    <row r="10" spans="1:11" ht="24" customHeight="1" x14ac:dyDescent="0.25">
      <c r="A10" s="186" t="s">
        <v>42</v>
      </c>
      <c r="B10" s="187"/>
      <c r="C10" s="109" t="s">
        <v>19</v>
      </c>
      <c r="D10" s="123">
        <f t="shared" ca="1" si="0"/>
        <v>10.17</v>
      </c>
      <c r="E10" s="124">
        <f t="shared" ca="1" si="1"/>
        <v>4.4770000000000003</v>
      </c>
      <c r="F10" s="125"/>
      <c r="G10" s="124">
        <f t="shared" ca="1" si="2"/>
        <v>0</v>
      </c>
      <c r="H10" s="124">
        <f t="shared" ca="1" si="3"/>
        <v>5.6929999999999996</v>
      </c>
      <c r="I10" s="125"/>
      <c r="J10" s="124">
        <f t="shared" ca="1" si="4"/>
        <v>0</v>
      </c>
      <c r="K10" s="126">
        <f ca="1">INDIRECT(ADDRESS(ROW(K10),$C$3-2010+4,,,"Calorific_Values"))</f>
        <v>45377</v>
      </c>
    </row>
    <row r="11" spans="1:11" s="34" customFormat="1" ht="15" customHeight="1" x14ac:dyDescent="0.25">
      <c r="A11" s="185" t="s">
        <v>18</v>
      </c>
      <c r="B11" s="10" t="s">
        <v>21</v>
      </c>
      <c r="C11" s="11" t="s">
        <v>19</v>
      </c>
      <c r="D11" s="127">
        <f t="shared" ca="1" si="0"/>
        <v>6.4099999999999993</v>
      </c>
      <c r="E11" s="128">
        <f t="shared" ca="1" si="1"/>
        <v>0.71699999999999997</v>
      </c>
      <c r="F11" s="129"/>
      <c r="G11" s="128">
        <f t="shared" ca="1" si="2"/>
        <v>0</v>
      </c>
      <c r="H11" s="128">
        <f t="shared" ca="1" si="3"/>
        <v>5.6929999999999996</v>
      </c>
      <c r="I11" s="129"/>
      <c r="J11" s="128">
        <f t="shared" ca="1" si="4"/>
        <v>0</v>
      </c>
      <c r="K11" s="130">
        <f t="shared" ref="K11:K13" ca="1" si="5">INDIRECT(ADDRESS(ROW(K11),$C$3-2010+4,,,"Calorific_Values"))</f>
        <v>46799</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3.76</v>
      </c>
      <c r="E13" s="128">
        <f t="shared" ca="1" si="1"/>
        <v>3.76</v>
      </c>
      <c r="F13" s="129"/>
      <c r="G13" s="128">
        <f t="shared" ca="1" si="2"/>
        <v>0</v>
      </c>
      <c r="H13" s="128">
        <f t="shared" ca="1" si="3"/>
        <v>0</v>
      </c>
      <c r="I13" s="129"/>
      <c r="J13" s="128">
        <f t="shared" ca="1" si="4"/>
        <v>0</v>
      </c>
      <c r="K13" s="130">
        <f t="shared" ca="1" si="5"/>
        <v>42948</v>
      </c>
    </row>
    <row r="14" spans="1:11" ht="24" customHeight="1" x14ac:dyDescent="0.25">
      <c r="A14" s="186" t="s">
        <v>43</v>
      </c>
      <c r="B14" s="187"/>
      <c r="C14" s="109" t="s">
        <v>16</v>
      </c>
      <c r="D14" s="123">
        <f t="shared" ca="1" si="0"/>
        <v>7532.045887008544</v>
      </c>
      <c r="E14" s="124">
        <f t="shared" ca="1" si="1"/>
        <v>7326.3010000000004</v>
      </c>
      <c r="F14" s="125"/>
      <c r="G14" s="124">
        <f t="shared" ca="1" si="2"/>
        <v>6.07</v>
      </c>
      <c r="H14" s="124">
        <f t="shared" ca="1" si="3"/>
        <v>199.67488700854437</v>
      </c>
      <c r="I14" s="125"/>
      <c r="J14" s="124">
        <f t="shared" ca="1" si="4"/>
        <v>0</v>
      </c>
      <c r="K14" s="125"/>
    </row>
    <row r="15" spans="1:11" s="34" customFormat="1" ht="15" customHeight="1" x14ac:dyDescent="0.25">
      <c r="A15" s="185"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85"/>
      <c r="B16" s="10" t="s">
        <v>27</v>
      </c>
      <c r="C16" s="11" t="s">
        <v>16</v>
      </c>
      <c r="D16" s="127">
        <f t="shared" ca="1" si="0"/>
        <v>7532.045887008544</v>
      </c>
      <c r="E16" s="128">
        <f t="shared" ca="1" si="1"/>
        <v>7326.3010000000004</v>
      </c>
      <c r="F16" s="129"/>
      <c r="G16" s="128">
        <f t="shared" ca="1" si="2"/>
        <v>6.07</v>
      </c>
      <c r="H16" s="128">
        <f t="shared" ca="1" si="3"/>
        <v>199.67488700854437</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1" sqref="D1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North Macedonia</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10795.729633127443</v>
      </c>
      <c r="E6" s="121">
        <f ca="1">Table1_Totals!E6*3.6</f>
        <v>3250.6251855973319</v>
      </c>
      <c r="F6" s="121">
        <f ca="1">Table1_Totals!F6*3.6</f>
        <v>416.80870227298834</v>
      </c>
      <c r="G6" s="121">
        <f ca="1">Table1_Totals!G6*3.6</f>
        <v>2521.6789678533551</v>
      </c>
      <c r="H6" s="121">
        <f ca="1">Table1_Totals!H6*3.6</f>
        <v>1523.2167774037682</v>
      </c>
      <c r="I6" s="121">
        <f ca="1">Table1_Totals!I6*3.6</f>
        <v>3083.4</v>
      </c>
      <c r="J6" s="121">
        <f ca="1">Table1_Totals!J6*3.6</f>
        <v>0</v>
      </c>
      <c r="K6" s="122"/>
    </row>
    <row r="7" spans="1:11" ht="24" customHeight="1" x14ac:dyDescent="0.25">
      <c r="A7" s="186" t="s">
        <v>15</v>
      </c>
      <c r="B7" s="187"/>
      <c r="C7" s="109" t="s">
        <v>16</v>
      </c>
      <c r="D7" s="123">
        <f t="shared" ref="D7:D18" ca="1" si="0">SUM(E7:J7)</f>
        <v>1417.5467999999998</v>
      </c>
      <c r="E7" s="124">
        <f ca="1">Table1_Totals!E7</f>
        <v>1417.5467999999998</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8.1</v>
      </c>
      <c r="E8" s="124">
        <f ca="1">Table1_Totals!E8*0.9</f>
        <v>8.1</v>
      </c>
      <c r="F8" s="125"/>
      <c r="G8" s="124">
        <f ca="1">Table1_Totals!G8*0.9</f>
        <v>0</v>
      </c>
      <c r="H8" s="124">
        <f ca="1">Table1_Totals!H8*0.9</f>
        <v>0</v>
      </c>
      <c r="I8" s="125"/>
      <c r="J8" s="124">
        <f ca="1">Table1_Totals!J8*0.9</f>
        <v>0</v>
      </c>
      <c r="K8" s="125"/>
    </row>
    <row r="9" spans="1:11" ht="24" customHeight="1" x14ac:dyDescent="0.25">
      <c r="A9" s="186" t="s">
        <v>156</v>
      </c>
      <c r="B9" s="187"/>
      <c r="C9" s="109" t="s">
        <v>16</v>
      </c>
      <c r="D9" s="123">
        <f t="shared" ca="1" si="0"/>
        <v>33.127360000000003</v>
      </c>
      <c r="E9" s="124">
        <f ca="1">IF(Table1_Totals!E9&lt;&gt;0,IF(Table1_Totals!$K9&lt;&gt;0,Table1_Totals!E9*Table1_Totals!$K9/1000,"Please check CV"),"0,000")</f>
        <v>33.127360000000003</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10288</v>
      </c>
    </row>
    <row r="10" spans="1:11" ht="24" customHeight="1" x14ac:dyDescent="0.25">
      <c r="A10" s="186" t="s">
        <v>42</v>
      </c>
      <c r="B10" s="187"/>
      <c r="C10" s="109" t="s">
        <v>16</v>
      </c>
      <c r="D10" s="123">
        <f t="shared" ca="1" si="0"/>
        <v>461.48409000000004</v>
      </c>
      <c r="E10" s="124">
        <f ca="1">IF(Table1_Totals!E10&lt;&gt;0,IF(Table1_Totals!$K10&lt;&gt;0,Table1_Totals!E10*Table1_Totals!$K10/1000,"Please check CV"),"0,000")</f>
        <v>203.15282900000003</v>
      </c>
      <c r="F10" s="125"/>
      <c r="G10" s="124" t="str">
        <f ca="1">IF(Table1_Totals!G10&lt;&gt;0,IF(Table1_Totals!$K10&lt;&gt;0,Table1_Totals!G10*Table1_Totals!$K10/1000,"Please check CV"),"0,000")</f>
        <v>0,000</v>
      </c>
      <c r="H10" s="124">
        <f ca="1">IF(Table1_Totals!H10&lt;&gt;0,IF(Table1_Totals!$K10&lt;&gt;0,Table1_Totals!H10*Table1_Totals!$K10/1000,"Please check CV"),"0,000")</f>
        <v>258.33126099999998</v>
      </c>
      <c r="I10" s="125"/>
      <c r="J10" s="124" t="str">
        <f ca="1">IF(Table1_Totals!J10&lt;&gt;0,IF(Table1_Totals!$K10&lt;&gt;0,Table1_Totals!J10*Table1_Totals!$K10/1000,"Please check CV"),"0,000")</f>
        <v>0,000</v>
      </c>
      <c r="K10" s="126">
        <f ca="1">Table1_Totals!K10</f>
        <v>45377</v>
      </c>
    </row>
    <row r="11" spans="1:11" s="34" customFormat="1" ht="15" customHeight="1" x14ac:dyDescent="0.25">
      <c r="A11" s="185" t="s">
        <v>18</v>
      </c>
      <c r="B11" s="10" t="s">
        <v>21</v>
      </c>
      <c r="C11" s="11" t="s">
        <v>16</v>
      </c>
      <c r="D11" s="127">
        <f t="shared" ca="1" si="0"/>
        <v>299.98159000000004</v>
      </c>
      <c r="E11" s="128">
        <f ca="1">IF(Table1_Totals!E11&lt;&gt;0,IF(Table1_Totals!$K11&lt;&gt;0,Table1_Totals!E11*Table1_Totals!$K11/1000,"Please check CV"),"0,000")</f>
        <v>33.554883000000004</v>
      </c>
      <c r="F11" s="129"/>
      <c r="G11" s="128" t="str">
        <f ca="1">IF(Table1_Totals!G11&lt;&gt;0,IF(Table1_Totals!$K11&lt;&gt;0,Table1_Totals!G11*Table1_Totals!$K11/1000,"Please check CV"),"0,000")</f>
        <v>0,000</v>
      </c>
      <c r="H11" s="128">
        <f ca="1">IF(Table1_Totals!H11&lt;&gt;0,IF(Table1_Totals!$K11&lt;&gt;0,Table1_Totals!H11*Table1_Totals!$K11/1000,"Please check CV"),"0,000")</f>
        <v>266.42670700000002</v>
      </c>
      <c r="I11" s="129"/>
      <c r="J11" s="128" t="str">
        <f ca="1">IF(Table1_Totals!J11&lt;&gt;0,IF(Table1_Totals!$K11&lt;&gt;0,Table1_Totals!J11*Table1_Totals!$K11/1000,"Please check CV"),"0,000")</f>
        <v>0,000</v>
      </c>
      <c r="K11" s="130">
        <f ca="1">Table1_Totals!K11</f>
        <v>46799</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161.48447999999999</v>
      </c>
      <c r="E13" s="128">
        <f ca="1">IF(Table1_Totals!E13&lt;&gt;0,IF(Table1_Totals!$K13&lt;&gt;0,Table1_Totals!E13*Table1_Totals!$K13/1000,"Please check CV"),"0,000")</f>
        <v>161.48447999999999</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42948</v>
      </c>
    </row>
    <row r="14" spans="1:11" ht="24" customHeight="1" x14ac:dyDescent="0.25">
      <c r="A14" s="186" t="s">
        <v>43</v>
      </c>
      <c r="B14" s="187"/>
      <c r="C14" s="109" t="s">
        <v>16</v>
      </c>
      <c r="D14" s="123">
        <f t="shared" ca="1" si="0"/>
        <v>7532.045887008544</v>
      </c>
      <c r="E14" s="124">
        <f ca="1">Table1_Totals!E14</f>
        <v>7326.3010000000004</v>
      </c>
      <c r="F14" s="125"/>
      <c r="G14" s="124">
        <f ca="1">Table1_Totals!G14</f>
        <v>6.07</v>
      </c>
      <c r="H14" s="124">
        <f ca="1">Table1_Totals!H14</f>
        <v>199.67488700854437</v>
      </c>
      <c r="I14" s="125"/>
      <c r="J14" s="124">
        <f ca="1">Table1_Totals!J14</f>
        <v>0</v>
      </c>
      <c r="K14" s="125"/>
    </row>
    <row r="15" spans="1:11" s="34" customFormat="1" ht="15" customHeight="1" x14ac:dyDescent="0.25">
      <c r="A15" s="185"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85"/>
      <c r="B16" s="10" t="s">
        <v>27</v>
      </c>
      <c r="C16" s="11" t="s">
        <v>16</v>
      </c>
      <c r="D16" s="127">
        <f t="shared" ca="1" si="0"/>
        <v>7532.045887008544</v>
      </c>
      <c r="E16" s="128">
        <f ca="1">Table1_Totals!E16</f>
        <v>7326.3010000000004</v>
      </c>
      <c r="F16" s="129"/>
      <c r="G16" s="128">
        <f ca="1">Table1_Totals!G16</f>
        <v>6.07</v>
      </c>
      <c r="H16" s="128">
        <f ca="1">Table1_Totals!H16</f>
        <v>199.67488700854437</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20248.033770135989</v>
      </c>
      <c r="E19" s="124">
        <f ca="1">SUM(E6:E10,E14)</f>
        <v>12238.853174597332</v>
      </c>
      <c r="F19" s="124">
        <f t="shared" ref="F19:J19" ca="1" si="3">SUM(F6:F10,F14)</f>
        <v>416.80870227298834</v>
      </c>
      <c r="G19" s="124">
        <f t="shared" ca="1" si="3"/>
        <v>2527.7489678533552</v>
      </c>
      <c r="H19" s="124">
        <f t="shared" ca="1" si="3"/>
        <v>1981.2229254123126</v>
      </c>
      <c r="I19" s="124">
        <f t="shared" ca="1" si="3"/>
        <v>3083.4</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L1" activePane="topRight" state="frozen"/>
      <selection activeCell="DS1" sqref="DS1:ED1048576"/>
      <selection pane="topRight" activeCell="L9" sqref="L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922.6</v>
      </c>
      <c r="E6" s="60">
        <v>1114.7</v>
      </c>
      <c r="F6" s="60">
        <v>1121.2</v>
      </c>
      <c r="G6" s="60">
        <v>907.7</v>
      </c>
      <c r="H6" s="60">
        <v>974.5</v>
      </c>
      <c r="I6" s="60">
        <v>902.95100000000002</v>
      </c>
      <c r="J6" s="60">
        <v>875.5</v>
      </c>
      <c r="K6" s="60">
        <v>985.84264666715501</v>
      </c>
      <c r="L6" s="60">
        <v>902.95144044370329</v>
      </c>
      <c r="M6" s="60"/>
      <c r="N6" s="60"/>
      <c r="O6" s="60"/>
      <c r="DS6" s="4" t="str">
        <f>VLOOKUP(Cover!$D$15, Country_list!$B$3:$C$44, 2, 0)</f>
        <v>MK</v>
      </c>
      <c r="DT6" s="33" t="s">
        <v>289</v>
      </c>
      <c r="DV6" s="33" t="s">
        <v>302</v>
      </c>
      <c r="EB6" s="33" t="s">
        <v>291</v>
      </c>
      <c r="ED6" s="33" t="s">
        <v>294</v>
      </c>
    </row>
    <row r="7" spans="1:134" ht="24" customHeight="1" x14ac:dyDescent="0.25">
      <c r="A7" s="183" t="s">
        <v>15</v>
      </c>
      <c r="B7" s="200"/>
      <c r="C7" s="9" t="s">
        <v>25</v>
      </c>
      <c r="D7" s="61">
        <v>1423.5</v>
      </c>
      <c r="E7" s="58">
        <v>1559.1</v>
      </c>
      <c r="F7" s="58">
        <v>1430.9</v>
      </c>
      <c r="G7" s="58">
        <v>1183.3</v>
      </c>
      <c r="H7" s="58">
        <v>1141.5</v>
      </c>
      <c r="I7" s="58">
        <v>1417.546</v>
      </c>
      <c r="J7" s="58">
        <v>1368.5</v>
      </c>
      <c r="K7" s="58">
        <v>1468.6410000000001</v>
      </c>
      <c r="L7" s="58">
        <v>1417.5467999999998</v>
      </c>
      <c r="M7" s="58"/>
      <c r="N7" s="58"/>
      <c r="O7" s="58"/>
      <c r="DT7" s="33" t="s">
        <v>290</v>
      </c>
      <c r="EB7" s="33" t="s">
        <v>291</v>
      </c>
      <c r="ED7" s="33" t="s">
        <v>295</v>
      </c>
    </row>
    <row r="8" spans="1:134" ht="24" customHeight="1" x14ac:dyDescent="0.25">
      <c r="A8" s="183" t="s">
        <v>29</v>
      </c>
      <c r="B8" s="200"/>
      <c r="C8" s="9" t="s">
        <v>17</v>
      </c>
      <c r="D8" s="61"/>
      <c r="E8" s="58"/>
      <c r="F8" s="58"/>
      <c r="G8" s="58">
        <v>0.41849999999999998</v>
      </c>
      <c r="H8" s="58">
        <v>1.8747</v>
      </c>
      <c r="I8" s="58">
        <v>8.6020000000000003</v>
      </c>
      <c r="J8" s="58">
        <v>4.28</v>
      </c>
      <c r="K8" s="58">
        <v>7</v>
      </c>
      <c r="L8" s="58">
        <v>9</v>
      </c>
      <c r="M8" s="58"/>
      <c r="N8" s="58"/>
      <c r="O8" s="58"/>
      <c r="DT8" s="33" t="s">
        <v>231</v>
      </c>
      <c r="EB8" s="33" t="s">
        <v>291</v>
      </c>
      <c r="ED8" s="33" t="s">
        <v>296</v>
      </c>
    </row>
    <row r="9" spans="1:134" ht="24" customHeight="1" x14ac:dyDescent="0.25">
      <c r="A9" s="183" t="s">
        <v>156</v>
      </c>
      <c r="B9" s="200"/>
      <c r="C9" s="9" t="s">
        <v>19</v>
      </c>
      <c r="D9" s="61">
        <v>8.9190000000000005</v>
      </c>
      <c r="E9" s="58">
        <v>6.4269999999999996</v>
      </c>
      <c r="F9" s="58">
        <v>6.6820000000000004</v>
      </c>
      <c r="G9" s="58">
        <v>6.48</v>
      </c>
      <c r="H9" s="58">
        <v>4.4619999999999997</v>
      </c>
      <c r="I9" s="58">
        <v>3.22</v>
      </c>
      <c r="J9" s="58">
        <v>4.1189999999999998</v>
      </c>
      <c r="K9" s="58">
        <v>4.1390000000000002</v>
      </c>
      <c r="L9" s="58">
        <v>3.22</v>
      </c>
      <c r="M9" s="58"/>
      <c r="N9" s="58"/>
      <c r="O9" s="58"/>
      <c r="DT9" s="33" t="s">
        <v>279</v>
      </c>
      <c r="EB9" s="33" t="s">
        <v>292</v>
      </c>
      <c r="ED9" s="33" t="s">
        <v>293</v>
      </c>
    </row>
    <row r="10" spans="1:134" ht="24" customHeight="1" x14ac:dyDescent="0.25">
      <c r="A10" s="183" t="s">
        <v>20</v>
      </c>
      <c r="B10" s="200"/>
      <c r="C10" s="9" t="s">
        <v>19</v>
      </c>
      <c r="D10" s="61">
        <v>1.016</v>
      </c>
      <c r="E10" s="58">
        <v>1.0580000000000001</v>
      </c>
      <c r="F10" s="58">
        <v>18.920999999999999</v>
      </c>
      <c r="G10" s="58">
        <v>5.96</v>
      </c>
      <c r="H10" s="58">
        <v>4.7</v>
      </c>
      <c r="I10" s="58">
        <v>4.8239999999999998</v>
      </c>
      <c r="J10" s="58">
        <v>4.5289999999999999</v>
      </c>
      <c r="K10" s="58">
        <v>4.8719999999999999</v>
      </c>
      <c r="L10" s="58">
        <v>4.4770000000000003</v>
      </c>
      <c r="M10" s="58"/>
      <c r="N10" s="58"/>
      <c r="O10" s="58"/>
      <c r="DT10" s="139" t="s">
        <v>280</v>
      </c>
      <c r="EB10" s="33" t="s">
        <v>292</v>
      </c>
      <c r="ED10" s="33" t="s">
        <v>293</v>
      </c>
    </row>
    <row r="11" spans="1:134" s="34" customFormat="1" ht="15" customHeight="1" x14ac:dyDescent="0.25">
      <c r="A11" s="182" t="s">
        <v>18</v>
      </c>
      <c r="B11" s="110" t="s">
        <v>21</v>
      </c>
      <c r="C11" s="111" t="s">
        <v>19</v>
      </c>
      <c r="D11" s="112">
        <v>1.016</v>
      </c>
      <c r="E11" s="113">
        <v>1.0580000000000001</v>
      </c>
      <c r="F11" s="113">
        <v>0.98599999999999999</v>
      </c>
      <c r="G11" s="113">
        <v>0.76</v>
      </c>
      <c r="H11" s="113">
        <v>0.625</v>
      </c>
      <c r="I11" s="113">
        <v>0.7</v>
      </c>
      <c r="J11" s="113">
        <v>0.76600000000000001</v>
      </c>
      <c r="K11" s="113">
        <v>0.76300000000000001</v>
      </c>
      <c r="L11" s="113">
        <v>0.71699999999999997</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v>17.934999999999999</v>
      </c>
      <c r="G13" s="113">
        <v>5.2</v>
      </c>
      <c r="H13" s="113">
        <v>4.0750000000000002</v>
      </c>
      <c r="I13" s="113">
        <v>4.1239999999999997</v>
      </c>
      <c r="J13" s="113">
        <v>3.7629999999999999</v>
      </c>
      <c r="K13" s="113">
        <v>4.109</v>
      </c>
      <c r="L13" s="113">
        <v>3.76</v>
      </c>
      <c r="M13" s="113"/>
      <c r="N13" s="113"/>
      <c r="O13" s="113"/>
      <c r="DT13" s="34" t="s">
        <v>283</v>
      </c>
      <c r="EB13" s="34" t="s">
        <v>292</v>
      </c>
      <c r="ED13" s="34" t="s">
        <v>293</v>
      </c>
    </row>
    <row r="14" spans="1:134" ht="24" customHeight="1" x14ac:dyDescent="0.25">
      <c r="A14" s="183" t="s">
        <v>24</v>
      </c>
      <c r="B14" s="200"/>
      <c r="C14" s="9" t="s">
        <v>25</v>
      </c>
      <c r="D14" s="61">
        <v>7299.88</v>
      </c>
      <c r="E14" s="58">
        <v>7938.05</v>
      </c>
      <c r="F14" s="58">
        <v>8680.68</v>
      </c>
      <c r="G14" s="58">
        <v>8640.3420000000006</v>
      </c>
      <c r="H14" s="58">
        <v>9106.92</v>
      </c>
      <c r="I14" s="58">
        <v>7532.0460000000003</v>
      </c>
      <c r="J14" s="58">
        <v>7513.7</v>
      </c>
      <c r="K14" s="58">
        <v>7532.0249999999996</v>
      </c>
      <c r="L14" s="58">
        <v>7326.3010000000004</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v>7299.88</v>
      </c>
      <c r="E16" s="113">
        <v>7938.05</v>
      </c>
      <c r="F16" s="113">
        <v>8680.68</v>
      </c>
      <c r="G16" s="113">
        <v>8640.3420000000006</v>
      </c>
      <c r="H16" s="113">
        <v>9106.92</v>
      </c>
      <c r="I16" s="113">
        <v>7532.0460000000003</v>
      </c>
      <c r="J16" s="113">
        <v>7513.7</v>
      </c>
      <c r="K16" s="113">
        <v>7532.0249999999996</v>
      </c>
      <c r="L16" s="113">
        <v>7326.3010000000004</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L1" activePane="topRight" state="frozen"/>
      <selection activeCell="DS1" sqref="DS1:ED1048576"/>
      <selection pane="topRight" activeCell="K6" sqref="K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v>127.6</v>
      </c>
      <c r="E6" s="60">
        <v>123.2</v>
      </c>
      <c r="F6" s="60">
        <v>118.3</v>
      </c>
      <c r="G6" s="60">
        <v>119.2</v>
      </c>
      <c r="H6" s="60">
        <v>114.4</v>
      </c>
      <c r="I6" s="60">
        <v>118.8</v>
      </c>
      <c r="J6" s="60">
        <v>120.5</v>
      </c>
      <c r="K6" s="60">
        <v>116.6041377923023</v>
      </c>
      <c r="L6" s="60">
        <v>115.78019507583009</v>
      </c>
      <c r="M6" s="60"/>
      <c r="N6" s="60"/>
      <c r="O6" s="60"/>
      <c r="DS6" s="4" t="str">
        <f>VLOOKUP(Cover!$D$15, Country_list!$B$3:$C$44, 2, 0)</f>
        <v>MK</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M1" activePane="topRight" state="frozen"/>
      <selection activeCell="DS1" sqref="DS1:ED1048576"/>
      <selection pane="topRight" activeCell="L16" sqref="L1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772.2</v>
      </c>
      <c r="E6" s="60">
        <v>745.5</v>
      </c>
      <c r="F6" s="60">
        <v>715.7</v>
      </c>
      <c r="G6" s="60">
        <v>721</v>
      </c>
      <c r="H6" s="60">
        <v>692.3</v>
      </c>
      <c r="I6" s="60">
        <v>718.9</v>
      </c>
      <c r="J6" s="60">
        <v>729.2</v>
      </c>
      <c r="K6" s="60">
        <v>705.45120634967759</v>
      </c>
      <c r="L6" s="60">
        <v>700.46637995926528</v>
      </c>
      <c r="M6" s="60"/>
      <c r="N6" s="60"/>
      <c r="O6" s="60"/>
      <c r="DS6" s="4" t="str">
        <f>VLOOKUP(Cover!$D$15, Country_list!$B$3:$C$44, 2, 0)</f>
        <v>MK</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61"/>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v>8.375</v>
      </c>
      <c r="E14" s="58">
        <v>7.92</v>
      </c>
      <c r="F14" s="58">
        <v>8.4540000000000006</v>
      </c>
      <c r="G14" s="58">
        <v>8.2940000000000005</v>
      </c>
      <c r="H14" s="58">
        <v>8.375</v>
      </c>
      <c r="I14" s="58">
        <v>8.1539999999999999</v>
      </c>
      <c r="J14" s="58">
        <v>6.7919999999999998</v>
      </c>
      <c r="K14" s="58">
        <v>7.3650000000000002</v>
      </c>
      <c r="L14" s="58">
        <v>6.07</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v>8.375</v>
      </c>
      <c r="E16" s="113">
        <v>7.92</v>
      </c>
      <c r="F16" s="113">
        <v>8.4540000000000006</v>
      </c>
      <c r="G16" s="113">
        <v>8.2940000000000005</v>
      </c>
      <c r="H16" s="113">
        <v>8.375</v>
      </c>
      <c r="I16" s="113">
        <v>8.1539999999999999</v>
      </c>
      <c r="J16" s="113">
        <v>6.7919999999999998</v>
      </c>
      <c r="K16" s="113">
        <v>7.3650000000000002</v>
      </c>
      <c r="L16" s="113">
        <v>6.07</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F1" activePane="topRight" state="frozen"/>
      <selection activeCell="DS1" sqref="DS1:ED1048576"/>
      <selection pane="topRight" activeCell="K10" sqref="K10"/>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466.4</v>
      </c>
      <c r="E6" s="60">
        <v>450.3</v>
      </c>
      <c r="F6" s="60">
        <v>432.3</v>
      </c>
      <c r="G6" s="60">
        <v>435.5</v>
      </c>
      <c r="H6" s="60">
        <v>418.2</v>
      </c>
      <c r="I6" s="60">
        <v>434.2</v>
      </c>
      <c r="J6" s="60">
        <v>440.5</v>
      </c>
      <c r="K6" s="60">
        <v>426.1</v>
      </c>
      <c r="L6" s="60">
        <v>423.11577150104671</v>
      </c>
      <c r="M6" s="60"/>
      <c r="N6" s="60"/>
      <c r="O6" s="60"/>
      <c r="DS6" s="4" t="str">
        <f>VLOOKUP(Cover!$D$15, Country_list!$B$3:$C$44, 2, 0)</f>
        <v>MK</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v>8.0660000000000007</v>
      </c>
      <c r="E10" s="58">
        <v>8.407</v>
      </c>
      <c r="F10" s="58">
        <v>7.8280000000000003</v>
      </c>
      <c r="G10" s="58">
        <v>6.0359999999999996</v>
      </c>
      <c r="H10" s="58">
        <v>4.9610000000000003</v>
      </c>
      <c r="I10" s="58">
        <v>5.5570000000000004</v>
      </c>
      <c r="J10" s="58">
        <v>6.0830000000000002</v>
      </c>
      <c r="K10" s="58">
        <v>5.3760000000000003</v>
      </c>
      <c r="L10" s="58">
        <v>5.6929999999999996</v>
      </c>
      <c r="M10" s="58"/>
      <c r="N10" s="58"/>
      <c r="O10" s="58"/>
      <c r="DT10" s="139" t="s">
        <v>280</v>
      </c>
      <c r="EB10" s="33" t="s">
        <v>292</v>
      </c>
      <c r="ED10" s="33" t="s">
        <v>293</v>
      </c>
    </row>
    <row r="11" spans="1:134" s="34" customFormat="1" ht="15" customHeight="1" x14ac:dyDescent="0.25">
      <c r="A11" s="182" t="s">
        <v>18</v>
      </c>
      <c r="B11" s="110" t="s">
        <v>21</v>
      </c>
      <c r="C11" s="111" t="s">
        <v>19</v>
      </c>
      <c r="D11" s="112">
        <v>8.0660000000000007</v>
      </c>
      <c r="E11" s="113">
        <v>8.407</v>
      </c>
      <c r="F11" s="113">
        <v>7.8280000000000003</v>
      </c>
      <c r="G11" s="113">
        <v>6.0359999999999996</v>
      </c>
      <c r="H11" s="113">
        <v>4.9610000000000003</v>
      </c>
      <c r="I11" s="113">
        <v>5.5570000000000004</v>
      </c>
      <c r="J11" s="113">
        <v>6.0830000000000002</v>
      </c>
      <c r="K11" s="113">
        <v>5.3760000000000003</v>
      </c>
      <c r="L11" s="113">
        <v>5.6929999999999996</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v>234.8</v>
      </c>
      <c r="E14" s="58">
        <v>255.32</v>
      </c>
      <c r="F14" s="58">
        <v>278.08999999999997</v>
      </c>
      <c r="G14" s="58">
        <v>272.91500000000002</v>
      </c>
      <c r="H14" s="58">
        <v>280.56900000000002</v>
      </c>
      <c r="I14" s="58">
        <v>268.245</v>
      </c>
      <c r="J14" s="58">
        <v>223.54</v>
      </c>
      <c r="K14" s="58">
        <v>242.25899999999999</v>
      </c>
      <c r="L14" s="58">
        <v>199.67488700854437</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v>234.8</v>
      </c>
      <c r="E16" s="113">
        <v>255.32</v>
      </c>
      <c r="F16" s="113">
        <v>278.08999999999997</v>
      </c>
      <c r="G16" s="113">
        <v>272.91449999999998</v>
      </c>
      <c r="H16" s="113">
        <v>280.56900000000002</v>
      </c>
      <c r="I16" s="113">
        <v>268.245</v>
      </c>
      <c r="J16" s="113">
        <v>223.54</v>
      </c>
      <c r="K16" s="113">
        <v>242.25899999999999</v>
      </c>
      <c r="L16" s="113">
        <v>199.67488700854437</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M1" activePane="topRight" state="frozen"/>
      <selection activeCell="DS1" sqref="DS1:ED1048576"/>
      <selection pane="topRight" activeCell="L7" sqref="L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944.2</v>
      </c>
      <c r="E6" s="63">
        <v>911.5</v>
      </c>
      <c r="F6" s="63">
        <v>875.1</v>
      </c>
      <c r="G6" s="63">
        <v>881.6</v>
      </c>
      <c r="H6" s="63">
        <v>846.5</v>
      </c>
      <c r="I6" s="63">
        <v>878.9</v>
      </c>
      <c r="J6" s="63">
        <v>891.6</v>
      </c>
      <c r="K6" s="63">
        <v>862.6</v>
      </c>
      <c r="L6" s="63">
        <v>856.5</v>
      </c>
      <c r="M6" s="63"/>
      <c r="N6" s="63"/>
      <c r="O6" s="63"/>
      <c r="DS6" s="4" t="str">
        <f>VLOOKUP(Cover!$D$15, Country_list!$B$3:$C$44, 2, 0)</f>
        <v>MK</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I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MK</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C1" zoomScale="90" zoomScaleNormal="90" workbookViewId="0">
      <selection activeCell="M25" sqref="M25"/>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2020-01-30T14:11:09Z</dcterms:modified>
  <cp:category>Annual questionnaires</cp:category>
</cp:coreProperties>
</file>