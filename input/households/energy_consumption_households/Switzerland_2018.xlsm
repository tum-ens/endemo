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5485" windowHeight="9495"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 r:id="rId20"/>
    <externalReference r:id="rId21"/>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E13" i="4" l="1"/>
  <c r="F13" i="4"/>
  <c r="G13" i="4"/>
  <c r="H13" i="4"/>
  <c r="I13" i="4"/>
  <c r="J13" i="4"/>
  <c r="K13" i="4"/>
  <c r="L13" i="4"/>
  <c r="D13" i="4"/>
  <c r="I11" i="4"/>
  <c r="J11" i="4"/>
  <c r="K11" i="4"/>
  <c r="L11" i="4"/>
  <c r="E11" i="4"/>
  <c r="F11" i="4"/>
  <c r="G11" i="4"/>
  <c r="H11" i="4"/>
  <c r="D11" i="4"/>
  <c r="L9" i="4" l="1"/>
  <c r="K9" i="4" l="1"/>
  <c r="K10" i="4" l="1"/>
  <c r="L10" i="4"/>
  <c r="G10" i="4"/>
  <c r="F10" i="4"/>
  <c r="E10" i="4"/>
  <c r="D10" i="4"/>
  <c r="J10" i="4" l="1"/>
  <c r="I10" i="4"/>
  <c r="H10" i="4"/>
  <c r="J9" i="4"/>
  <c r="I9" i="4"/>
  <c r="H9" i="4"/>
  <c r="G9" i="4"/>
  <c r="F9" i="4"/>
  <c r="E9" i="4"/>
  <c r="D9" i="4"/>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J17" i="5"/>
  <c r="E17" i="5"/>
  <c r="H17" i="5"/>
  <c r="E17" i="15" l="1"/>
  <c r="H17" i="15"/>
  <c r="G17" i="15"/>
  <c r="J17" i="15"/>
  <c r="D17" i="5"/>
  <c r="C3" i="15"/>
  <c r="K46" i="14"/>
  <c r="K45" i="14"/>
  <c r="K44" i="14"/>
  <c r="K43" i="14"/>
  <c r="K41" i="14"/>
  <c r="K40" i="14"/>
  <c r="K39" i="14"/>
  <c r="K38" i="14"/>
  <c r="K37" i="14"/>
  <c r="K36" i="14"/>
  <c r="K35" i="14"/>
  <c r="K34" i="14"/>
  <c r="K33" i="14"/>
  <c r="K31" i="14"/>
  <c r="K30" i="14"/>
  <c r="K29" i="14"/>
  <c r="K28" i="14"/>
  <c r="K21" i="14"/>
  <c r="K20" i="14"/>
  <c r="K19" i="14"/>
  <c r="K18"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1"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G10" i="5"/>
  <c r="J18" i="5"/>
  <c r="J8" i="5"/>
  <c r="G16" i="5"/>
  <c r="E14" i="5"/>
  <c r="H11" i="5"/>
  <c r="I6" i="5"/>
  <c r="H8" i="5"/>
  <c r="J14" i="5"/>
  <c r="H7" i="5"/>
  <c r="H12" i="5"/>
  <c r="H13" i="5"/>
  <c r="E12" i="5"/>
  <c r="J7" i="5"/>
  <c r="J9" i="5"/>
  <c r="H10" i="5"/>
  <c r="E13" i="5"/>
  <c r="G8" i="5"/>
  <c r="J15" i="5"/>
  <c r="F6" i="5"/>
  <c r="H14" i="5"/>
  <c r="H15" i="5"/>
  <c r="H9" i="5"/>
  <c r="E8" i="5"/>
  <c r="H16" i="5"/>
  <c r="E18" i="5"/>
  <c r="J10" i="5"/>
  <c r="J16" i="5"/>
  <c r="G6" i="5"/>
  <c r="E15" i="5"/>
  <c r="G12" i="5"/>
  <c r="J13" i="5"/>
  <c r="G7" i="5"/>
  <c r="H18" i="5"/>
  <c r="G14" i="5"/>
  <c r="E11" i="5"/>
  <c r="G15" i="5"/>
  <c r="G11" i="5"/>
  <c r="G13" i="5"/>
  <c r="G9" i="5"/>
  <c r="J6" i="5"/>
  <c r="E16" i="5"/>
  <c r="J11" i="5"/>
  <c r="J12" i="5"/>
  <c r="H6" i="5"/>
  <c r="E6" i="5"/>
  <c r="G18" i="5"/>
  <c r="G10" i="15" l="1"/>
  <c r="E11" i="15"/>
  <c r="J13" i="15"/>
  <c r="J10" i="15"/>
  <c r="J11" i="15"/>
  <c r="J12" i="15"/>
  <c r="H11" i="15"/>
  <c r="H13" i="15"/>
  <c r="H12" i="15"/>
  <c r="G13" i="15"/>
  <c r="H10" i="15"/>
  <c r="G11" i="15"/>
  <c r="G12" i="15"/>
  <c r="E12" i="15"/>
  <c r="E13" i="15"/>
  <c r="J9" i="15"/>
  <c r="E14" i="15"/>
  <c r="H14" i="15"/>
  <c r="G14" i="15"/>
  <c r="J14" i="15"/>
  <c r="J18" i="15"/>
  <c r="J16" i="15"/>
  <c r="J15" i="15"/>
  <c r="H15" i="15"/>
  <c r="G16" i="15"/>
  <c r="H18" i="15"/>
  <c r="G15" i="15"/>
  <c r="G18" i="15"/>
  <c r="H16" i="15"/>
  <c r="E16" i="15"/>
  <c r="E18" i="15"/>
  <c r="E15" i="15"/>
  <c r="K10" i="15"/>
  <c r="J8" i="15"/>
  <c r="H8" i="15"/>
  <c r="G8" i="15"/>
  <c r="E8" i="15"/>
  <c r="J7" i="15"/>
  <c r="G7" i="15"/>
  <c r="H7" i="15"/>
  <c r="G6" i="15"/>
  <c r="H6" i="15"/>
  <c r="I6" i="15"/>
  <c r="I19" i="15" s="1"/>
  <c r="J6" i="15"/>
  <c r="F6" i="15"/>
  <c r="E6" i="15"/>
  <c r="D12" i="5"/>
  <c r="D13" i="5"/>
  <c r="D15" i="5"/>
  <c r="D18" i="5"/>
  <c r="D8" i="5"/>
  <c r="D10" i="5"/>
  <c r="D16" i="5"/>
  <c r="D6" i="5"/>
  <c r="D11" i="5"/>
  <c r="D14" i="5"/>
  <c r="D11" i="15" l="1"/>
  <c r="D13" i="15"/>
  <c r="D12" i="15"/>
  <c r="D10" i="15"/>
  <c r="D18" i="15"/>
  <c r="D15" i="15"/>
  <c r="D16" i="15"/>
  <c r="D14" i="15"/>
  <c r="F19" i="15"/>
  <c r="F20" i="15" s="1"/>
  <c r="J19" i="15"/>
  <c r="J20" i="15" s="1"/>
  <c r="D8" i="15"/>
  <c r="D6" i="15"/>
  <c r="K32" i="14" l="1"/>
  <c r="E9" i="5"/>
  <c r="K9" i="5"/>
  <c r="H9" i="15" l="1"/>
  <c r="H19" i="15" s="1"/>
  <c r="H20" i="15" s="1"/>
  <c r="K9" i="15"/>
  <c r="G9" i="15"/>
  <c r="G19" i="15" s="1"/>
  <c r="G20" i="15" s="1"/>
  <c r="K27" i="14"/>
  <c r="K42" i="14"/>
  <c r="E9" i="15"/>
  <c r="D9" i="5"/>
  <c r="K17" i="14"/>
  <c r="D9" i="15" l="1"/>
  <c r="E7" i="5"/>
  <c r="E7" i="15" l="1"/>
  <c r="D7" i="5"/>
  <c r="D7" i="15" l="1"/>
  <c r="E19" i="15"/>
  <c r="D19" i="15" s="1"/>
  <c r="E20" i="15" l="1"/>
  <c r="D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<sst xmlns="http://schemas.openxmlformats.org/spreadsheetml/2006/main" count="952" uniqueCount="315">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</sst>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_Zeitreihen%20(Berechnungen)/BL-Energiebilanzen/Austria_Daten.xlsb"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_internationale_Meldungen/JQ/2019/Prefilled%202018/AUSTRIA_Eurostat_OIL_bez&#252;g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6">
          <cell r="AC6"/>
        </row>
        <row r="7">
          <cell r="AA7" t="str">
            <v>EXPLANATORY NOTES</v>
          </cell>
          <cell r="AB7" t="str">
            <v>NOTES EXPLICATIVES</v>
          </cell>
          <cell r="AC7" t="str">
            <v>ПОЯСНИТЕЛЬНЫЕ ЗАМЕТКИ</v>
          </cell>
        </row>
        <row r="8">
          <cell r="AC8"/>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7">
          <cell r="AC17"/>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0">
          <cell r="AB30"/>
          <cell r="AC30"/>
        </row>
        <row r="31">
          <cell r="AB31"/>
          <cell r="AC31"/>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5">
          <cell r="AB35"/>
          <cell r="AC35"/>
        </row>
        <row r="36">
          <cell r="AB36"/>
          <cell r="AC36"/>
        </row>
        <row r="37">
          <cell r="AB37"/>
          <cell r="AC37"/>
        </row>
        <row r="38">
          <cell r="AA38" t="str">
            <v>Data entry menu:</v>
          </cell>
          <cell r="AB38" t="str">
            <v>Menu d'entrée de données :</v>
          </cell>
          <cell r="AC38" t="str">
            <v>Меню ввода данных:</v>
          </cell>
        </row>
        <row r="39">
          <cell r="AB39"/>
          <cell r="AC39"/>
        </row>
        <row r="40">
          <cell r="AB40"/>
          <cell r="AC40"/>
        </row>
        <row r="41">
          <cell r="AB41"/>
          <cell r="AC41"/>
        </row>
        <row r="42">
          <cell r="AB42"/>
          <cell r="AC42"/>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N112"/>
          <cell r="P112" t="str">
            <v>Australia</v>
          </cell>
          <cell r="Q112" t="str">
            <v>Australie</v>
          </cell>
          <cell r="R112" t="str">
            <v>Australia</v>
          </cell>
        </row>
        <row r="113">
          <cell r="D113">
            <v>2020</v>
          </cell>
          <cell r="G113" t="str">
            <v>France</v>
          </cell>
          <cell r="K113" t="str">
            <v>Autriche</v>
          </cell>
          <cell r="L113" t="str">
            <v>AUSTRIA</v>
          </cell>
          <cell r="M113" t="str">
            <v>AT</v>
          </cell>
          <cell r="N113"/>
          <cell r="P113" t="str">
            <v>Austria</v>
          </cell>
          <cell r="Q113" t="str">
            <v>Autriche</v>
          </cell>
          <cell r="R113" t="str">
            <v>Austria</v>
          </cell>
        </row>
        <row r="114">
          <cell r="D114">
            <v>2019</v>
          </cell>
          <cell r="K114" t="str">
            <v>Belgique</v>
          </cell>
          <cell r="L114" t="str">
            <v>BELGIUM</v>
          </cell>
          <cell r="M114" t="str">
            <v>BE</v>
          </cell>
          <cell r="N114"/>
          <cell r="P114" t="str">
            <v>Belgium</v>
          </cell>
          <cell r="Q114" t="str">
            <v>Belgique</v>
          </cell>
          <cell r="R114" t="str">
            <v>Belgium</v>
          </cell>
        </row>
        <row r="115">
          <cell r="D115">
            <v>2018</v>
          </cell>
          <cell r="K115" t="str">
            <v>Canada</v>
          </cell>
          <cell r="L115" t="str">
            <v>CANADA</v>
          </cell>
          <cell r="M115" t="str">
            <v>CA</v>
          </cell>
          <cell r="N115"/>
          <cell r="P115" t="str">
            <v>Canada</v>
          </cell>
          <cell r="Q115" t="str">
            <v>Canada</v>
          </cell>
          <cell r="R115" t="str">
            <v>Canada</v>
          </cell>
        </row>
        <row r="116">
          <cell r="D116">
            <v>2017</v>
          </cell>
          <cell r="K116" t="str">
            <v>Chili</v>
          </cell>
          <cell r="L116" t="str">
            <v>CHILE</v>
          </cell>
          <cell r="M116" t="str">
            <v>CL</v>
          </cell>
          <cell r="N116"/>
          <cell r="P116" t="str">
            <v>Chile</v>
          </cell>
          <cell r="Q116" t="str">
            <v>Chili</v>
          </cell>
          <cell r="R116" t="str">
            <v>Chile</v>
          </cell>
        </row>
        <row r="117">
          <cell r="D117">
            <v>2016</v>
          </cell>
          <cell r="G117">
            <v>0</v>
          </cell>
          <cell r="K117" t="str">
            <v>République tchèque</v>
          </cell>
          <cell r="L117" t="str">
            <v>CZECH</v>
          </cell>
          <cell r="M117" t="str">
            <v>CZ</v>
          </cell>
          <cell r="N117"/>
          <cell r="P117" t="str">
            <v>Czech Republic</v>
          </cell>
          <cell r="Q117" t="str">
            <v>République tchèque</v>
          </cell>
          <cell r="R117" t="str">
            <v>Czech Republic</v>
          </cell>
        </row>
        <row r="118">
          <cell r="D118">
            <v>2015</v>
          </cell>
          <cell r="K118" t="str">
            <v>Danemark</v>
          </cell>
          <cell r="L118" t="str">
            <v>DENMARK</v>
          </cell>
          <cell r="M118" t="str">
            <v>DK</v>
          </cell>
          <cell r="N118"/>
          <cell r="P118" t="str">
            <v>Denmark</v>
          </cell>
          <cell r="Q118" t="str">
            <v>Danemark</v>
          </cell>
          <cell r="R118" t="str">
            <v>Denmark</v>
          </cell>
        </row>
        <row r="119">
          <cell r="D119">
            <v>2014</v>
          </cell>
          <cell r="G119">
            <v>2</v>
          </cell>
          <cell r="K119" t="str">
            <v>Estonie</v>
          </cell>
          <cell r="L119" t="str">
            <v>ESTONIA</v>
          </cell>
          <cell r="M119" t="str">
            <v>EE</v>
          </cell>
          <cell r="N119"/>
          <cell r="P119" t="str">
            <v>Estonia</v>
          </cell>
          <cell r="Q119" t="str">
            <v>Estonie</v>
          </cell>
          <cell r="R119" t="str">
            <v xml:space="preserve">Эстония </v>
          </cell>
        </row>
        <row r="120">
          <cell r="D120">
            <v>2013</v>
          </cell>
          <cell r="K120" t="str">
            <v>Finlande</v>
          </cell>
          <cell r="L120" t="str">
            <v>FINLAND</v>
          </cell>
          <cell r="M120" t="str">
            <v>FI</v>
          </cell>
          <cell r="N120"/>
          <cell r="P120" t="str">
            <v>Finland</v>
          </cell>
          <cell r="Q120" t="str">
            <v>Finlande</v>
          </cell>
          <cell r="R120" t="str">
            <v>Finland</v>
          </cell>
        </row>
        <row r="121">
          <cell r="D121">
            <v>2012</v>
          </cell>
          <cell r="K121" t="str">
            <v>France</v>
          </cell>
          <cell r="L121" t="str">
            <v>FRANCE</v>
          </cell>
          <cell r="M121" t="str">
            <v>FR</v>
          </cell>
          <cell r="N121"/>
          <cell r="P121" t="str">
            <v>France</v>
          </cell>
          <cell r="Q121" t="str">
            <v>France</v>
          </cell>
          <cell r="R121" t="str">
            <v>France</v>
          </cell>
        </row>
        <row r="122">
          <cell r="D122">
            <v>2011</v>
          </cell>
          <cell r="G122">
            <v>10</v>
          </cell>
          <cell r="K122" t="str">
            <v>Allemagne</v>
          </cell>
          <cell r="L122" t="str">
            <v>GERMANY</v>
          </cell>
          <cell r="M122" t="str">
            <v>DE</v>
          </cell>
          <cell r="N122"/>
          <cell r="P122" t="str">
            <v>Germany</v>
          </cell>
          <cell r="Q122" t="str">
            <v>Allemagne</v>
          </cell>
          <cell r="R122" t="str">
            <v>Germany</v>
          </cell>
        </row>
        <row r="123">
          <cell r="D123">
            <v>2010</v>
          </cell>
          <cell r="K123" t="str">
            <v>Grèce</v>
          </cell>
          <cell r="L123" t="str">
            <v>GREECE</v>
          </cell>
          <cell r="M123" t="str">
            <v>GR</v>
          </cell>
          <cell r="N123"/>
          <cell r="P123" t="str">
            <v>Greece</v>
          </cell>
          <cell r="Q123" t="str">
            <v>Grèce</v>
          </cell>
          <cell r="R123" t="str">
            <v>Greece</v>
          </cell>
        </row>
        <row r="124">
          <cell r="D124">
            <v>2009</v>
          </cell>
          <cell r="K124" t="str">
            <v>Hongrie</v>
          </cell>
          <cell r="L124" t="str">
            <v>HUNGARY</v>
          </cell>
          <cell r="M124" t="str">
            <v>HU</v>
          </cell>
          <cell r="N124"/>
          <cell r="P124" t="str">
            <v>Hungary</v>
          </cell>
          <cell r="Q124" t="str">
            <v>Hongrie</v>
          </cell>
          <cell r="R124" t="str">
            <v>Hungary</v>
          </cell>
        </row>
        <row r="125">
          <cell r="D125">
            <v>2008</v>
          </cell>
          <cell r="K125" t="str">
            <v>Islande</v>
          </cell>
          <cell r="L125" t="str">
            <v>ICELAND</v>
          </cell>
          <cell r="M125" t="str">
            <v>IS</v>
          </cell>
          <cell r="N125"/>
          <cell r="P125" t="str">
            <v>Iceland</v>
          </cell>
          <cell r="Q125" t="str">
            <v>Islande</v>
          </cell>
          <cell r="R125" t="str">
            <v>Iceland</v>
          </cell>
        </row>
        <row r="126">
          <cell r="D126">
            <v>2007</v>
          </cell>
          <cell r="K126" t="str">
            <v>Irlande</v>
          </cell>
          <cell r="L126" t="str">
            <v>IRELAND</v>
          </cell>
          <cell r="M126" t="str">
            <v>IE</v>
          </cell>
          <cell r="N126"/>
          <cell r="P126" t="str">
            <v>Ireland</v>
          </cell>
          <cell r="Q126" t="str">
            <v>Irlande</v>
          </cell>
          <cell r="R126" t="str">
            <v>Ireland</v>
          </cell>
        </row>
        <row r="127">
          <cell r="D127">
            <v>2006</v>
          </cell>
          <cell r="G127">
            <v>2017</v>
          </cell>
          <cell r="K127" t="str">
            <v>Israël</v>
          </cell>
          <cell r="L127" t="str">
            <v>ISRAEL</v>
          </cell>
          <cell r="M127" t="str">
            <v>IL</v>
          </cell>
          <cell r="N127"/>
          <cell r="P127" t="str">
            <v>Israel</v>
          </cell>
          <cell r="Q127" t="str">
            <v>Israël</v>
          </cell>
          <cell r="R127" t="str">
            <v>Израиль</v>
          </cell>
        </row>
        <row r="128">
          <cell r="D128">
            <v>2005</v>
          </cell>
          <cell r="G128">
            <v>5</v>
          </cell>
          <cell r="K128" t="str">
            <v>Italie</v>
          </cell>
          <cell r="L128" t="str">
            <v>ITALY</v>
          </cell>
          <cell r="M128" t="str">
            <v>IT</v>
          </cell>
          <cell r="N128"/>
          <cell r="P128" t="str">
            <v>Italy</v>
          </cell>
          <cell r="Q128" t="str">
            <v>Italie</v>
          </cell>
          <cell r="R128" t="str">
            <v>Italy</v>
          </cell>
        </row>
        <row r="129">
          <cell r="D129">
            <v>2004</v>
          </cell>
          <cell r="G129" t="b">
            <v>0</v>
          </cell>
          <cell r="K129" t="str">
            <v>Japon</v>
          </cell>
          <cell r="L129" t="str">
            <v>JAPAN</v>
          </cell>
          <cell r="M129" t="str">
            <v>JP</v>
          </cell>
          <cell r="N129"/>
          <cell r="P129" t="str">
            <v>Japan</v>
          </cell>
          <cell r="Q129" t="str">
            <v>Japon</v>
          </cell>
          <cell r="R129" t="str">
            <v>Japan</v>
          </cell>
        </row>
        <row r="130">
          <cell r="D130">
            <v>2003</v>
          </cell>
          <cell r="K130" t="str">
            <v>Corée</v>
          </cell>
          <cell r="L130" t="str">
            <v>KOREA</v>
          </cell>
          <cell r="M130" t="str">
            <v>KR</v>
          </cell>
          <cell r="N130"/>
          <cell r="P130" t="str">
            <v>Korea</v>
          </cell>
          <cell r="Q130" t="str">
            <v>Corée</v>
          </cell>
          <cell r="R130" t="str">
            <v>Korea</v>
          </cell>
        </row>
        <row r="131">
          <cell r="D131">
            <v>2002</v>
          </cell>
          <cell r="K131" t="str">
            <v>Lettonie</v>
          </cell>
          <cell r="L131" t="str">
            <v>LATVIA</v>
          </cell>
          <cell r="M131" t="str">
            <v>LV</v>
          </cell>
          <cell r="N131"/>
          <cell r="P131" t="str">
            <v>Latvia</v>
          </cell>
          <cell r="Q131" t="str">
            <v>Lettonie</v>
          </cell>
          <cell r="R131" t="str">
            <v>Латвия</v>
          </cell>
        </row>
        <row r="132">
          <cell r="D132">
            <v>2001</v>
          </cell>
          <cell r="K132" t="str">
            <v>Luxembourg</v>
          </cell>
          <cell r="L132" t="str">
            <v>LUXEMBOU</v>
          </cell>
          <cell r="M132" t="str">
            <v>LU</v>
          </cell>
          <cell r="N132"/>
          <cell r="P132" t="str">
            <v>Luxembourg</v>
          </cell>
          <cell r="Q132" t="str">
            <v>Luxembourg</v>
          </cell>
          <cell r="R132" t="str">
            <v>Luxembourg</v>
          </cell>
        </row>
        <row r="133">
          <cell r="D133">
            <v>2000</v>
          </cell>
          <cell r="K133" t="str">
            <v>Mexique</v>
          </cell>
          <cell r="L133" t="str">
            <v>MEXICO</v>
          </cell>
          <cell r="M133" t="str">
            <v>MX</v>
          </cell>
          <cell r="N133"/>
          <cell r="P133" t="str">
            <v>Mexico</v>
          </cell>
          <cell r="Q133" t="str">
            <v>Mexique</v>
          </cell>
          <cell r="R133" t="str">
            <v>Mexico</v>
          </cell>
        </row>
        <row r="134">
          <cell r="D134">
            <v>1999</v>
          </cell>
          <cell r="G134">
            <v>2017</v>
          </cell>
          <cell r="K134" t="str">
            <v>Pays-Bas</v>
          </cell>
          <cell r="L134" t="str">
            <v>NETHLAND</v>
          </cell>
          <cell r="M134" t="str">
            <v>NL</v>
          </cell>
          <cell r="N134"/>
          <cell r="P134" t="str">
            <v>Netherlands</v>
          </cell>
          <cell r="Q134" t="str">
            <v>Pays-Bas</v>
          </cell>
          <cell r="R134" t="str">
            <v>Netherlands</v>
          </cell>
        </row>
        <row r="135">
          <cell r="D135">
            <v>1998</v>
          </cell>
          <cell r="K135" t="str">
            <v>Nouvelle-Zélande</v>
          </cell>
          <cell r="L135" t="str">
            <v>NZ</v>
          </cell>
          <cell r="M135" t="str">
            <v>NZ</v>
          </cell>
          <cell r="N135"/>
          <cell r="P135" t="str">
            <v>New Zealand</v>
          </cell>
          <cell r="Q135" t="str">
            <v>Nouvelle-Zélande</v>
          </cell>
          <cell r="R135" t="str">
            <v>New Zealand</v>
          </cell>
        </row>
        <row r="136">
          <cell r="D136">
            <v>1997</v>
          </cell>
          <cell r="K136" t="str">
            <v>Norvège</v>
          </cell>
          <cell r="L136" t="str">
            <v>NORWAY</v>
          </cell>
          <cell r="M136" t="str">
            <v>NO</v>
          </cell>
          <cell r="N136"/>
          <cell r="P136" t="str">
            <v>Norway</v>
          </cell>
          <cell r="Q136" t="str">
            <v>Norvège</v>
          </cell>
          <cell r="R136" t="str">
            <v>Norway</v>
          </cell>
        </row>
        <row r="137">
          <cell r="D137">
            <v>1996</v>
          </cell>
          <cell r="K137" t="str">
            <v>Pologne</v>
          </cell>
          <cell r="L137" t="str">
            <v>POLAND</v>
          </cell>
          <cell r="M137" t="str">
            <v>PL</v>
          </cell>
          <cell r="N137"/>
          <cell r="P137" t="str">
            <v>Poland</v>
          </cell>
          <cell r="Q137" t="str">
            <v>Pologne</v>
          </cell>
          <cell r="R137" t="str">
            <v>Poland</v>
          </cell>
        </row>
        <row r="138">
          <cell r="D138">
            <v>1995</v>
          </cell>
          <cell r="K138" t="str">
            <v>Portugal</v>
          </cell>
          <cell r="L138" t="str">
            <v>PORTUGAL</v>
          </cell>
          <cell r="M138" t="str">
            <v>PT</v>
          </cell>
          <cell r="N138"/>
          <cell r="P138" t="str">
            <v>Portugal</v>
          </cell>
          <cell r="Q138" t="str">
            <v>Portugal</v>
          </cell>
          <cell r="R138" t="str">
            <v>Portugal</v>
          </cell>
        </row>
        <row r="139">
          <cell r="D139">
            <v>1994</v>
          </cell>
          <cell r="K139" t="str">
            <v>République slovaque</v>
          </cell>
          <cell r="L139" t="str">
            <v>SLOVAKIA</v>
          </cell>
          <cell r="M139" t="str">
            <v>SK</v>
          </cell>
          <cell r="N139"/>
          <cell r="P139" t="str">
            <v>Slovak Republic</v>
          </cell>
          <cell r="Q139" t="str">
            <v>République slovaque</v>
          </cell>
          <cell r="R139" t="str">
            <v>Slovak Republic</v>
          </cell>
        </row>
        <row r="140">
          <cell r="D140">
            <v>1993</v>
          </cell>
          <cell r="K140" t="str">
            <v>Slovénie</v>
          </cell>
          <cell r="L140" t="str">
            <v>SLOVENIA</v>
          </cell>
          <cell r="M140" t="str">
            <v>SI</v>
          </cell>
          <cell r="N140"/>
          <cell r="P140" t="str">
            <v>Slovenia</v>
          </cell>
          <cell r="Q140" t="str">
            <v>Slovénie</v>
          </cell>
          <cell r="R140" t="str">
            <v>Словения</v>
          </cell>
        </row>
        <row r="141">
          <cell r="D141">
            <v>1992</v>
          </cell>
          <cell r="K141" t="str">
            <v>Espagne</v>
          </cell>
          <cell r="L141" t="str">
            <v>SPAIN</v>
          </cell>
          <cell r="M141" t="str">
            <v>ES</v>
          </cell>
          <cell r="N141"/>
          <cell r="P141" t="str">
            <v>Spain</v>
          </cell>
          <cell r="Q141" t="str">
            <v>Espagne</v>
          </cell>
          <cell r="R141" t="str">
            <v>Spain</v>
          </cell>
        </row>
        <row r="142">
          <cell r="D142">
            <v>1991</v>
          </cell>
          <cell r="K142" t="str">
            <v>Suède</v>
          </cell>
          <cell r="L142" t="str">
            <v>SWEDEN</v>
          </cell>
          <cell r="M142" t="str">
            <v>SE</v>
          </cell>
          <cell r="N142"/>
          <cell r="P142" t="str">
            <v>Sweden</v>
          </cell>
          <cell r="Q142" t="str">
            <v>Suède</v>
          </cell>
          <cell r="R142" t="str">
            <v>Sweden</v>
          </cell>
        </row>
        <row r="143">
          <cell r="D143">
            <v>1990</v>
          </cell>
          <cell r="K143" t="str">
            <v>Suisse</v>
          </cell>
          <cell r="L143" t="str">
            <v>SWITLAND</v>
          </cell>
          <cell r="M143" t="str">
            <v>CH</v>
          </cell>
          <cell r="N143"/>
          <cell r="P143" t="str">
            <v>Switzerland</v>
          </cell>
          <cell r="Q143" t="str">
            <v>Suisse</v>
          </cell>
          <cell r="R143" t="str">
            <v>Switzerland</v>
          </cell>
        </row>
        <row r="144">
          <cell r="K144" t="str">
            <v>Turquie</v>
          </cell>
          <cell r="L144" t="str">
            <v>TURKEY</v>
          </cell>
          <cell r="M144" t="str">
            <v>TR</v>
          </cell>
          <cell r="N144"/>
          <cell r="P144" t="str">
            <v>Turkey</v>
          </cell>
          <cell r="Q144" t="str">
            <v>Turquie</v>
          </cell>
          <cell r="R144" t="str">
            <v>Turkey</v>
          </cell>
        </row>
        <row r="145">
          <cell r="K145" t="str">
            <v>Royaume-Uni</v>
          </cell>
          <cell r="L145" t="str">
            <v>UK</v>
          </cell>
          <cell r="M145" t="str">
            <v>GB</v>
          </cell>
          <cell r="N145"/>
          <cell r="P145" t="str">
            <v>United Kingdom</v>
          </cell>
          <cell r="Q145" t="str">
            <v>Royaume-Uni</v>
          </cell>
          <cell r="R145" t="str">
            <v>United Kingdom</v>
          </cell>
        </row>
        <row r="146">
          <cell r="K146" t="str">
            <v>Etats-Unis</v>
          </cell>
          <cell r="L146" t="str">
            <v>USA</v>
          </cell>
          <cell r="M146" t="str">
            <v>US</v>
          </cell>
          <cell r="N146"/>
          <cell r="P146" t="str">
            <v>United States</v>
          </cell>
          <cell r="Q146" t="str">
            <v>Etats-Unis</v>
          </cell>
          <cell r="R146" t="str">
            <v>United States</v>
          </cell>
        </row>
        <row r="147">
          <cell r="K147" t="str">
            <v>Albanie</v>
          </cell>
          <cell r="L147" t="str">
            <v>ALBANIA</v>
          </cell>
          <cell r="M147" t="str">
            <v>AL</v>
          </cell>
          <cell r="N147"/>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N151"/>
          <cell r="P151" t="str">
            <v>Bosnia and Herzegovina</v>
          </cell>
          <cell r="Q151" t="str">
            <v>Bosnie-Herzégovine</v>
          </cell>
          <cell r="R151" t="str">
            <v>Босния и Герцеговина</v>
          </cell>
        </row>
        <row r="152">
          <cell r="K152" t="str">
            <v>Brésil</v>
          </cell>
          <cell r="L152" t="str">
            <v>BRAZIL</v>
          </cell>
          <cell r="M152" t="str">
            <v>BR</v>
          </cell>
          <cell r="N152"/>
          <cell r="P152" t="str">
            <v>Brazil</v>
          </cell>
          <cell r="Q152" t="str">
            <v>Brésil</v>
          </cell>
          <cell r="R152" t="str">
            <v>Бразилия</v>
          </cell>
        </row>
        <row r="153">
          <cell r="K153" t="str">
            <v>Bulgarie</v>
          </cell>
          <cell r="L153" t="str">
            <v>BULGARIA</v>
          </cell>
          <cell r="M153" t="str">
            <v>BG</v>
          </cell>
          <cell r="N153"/>
          <cell r="P153" t="str">
            <v>Bulgaria</v>
          </cell>
          <cell r="Q153" t="str">
            <v>Bulgarie</v>
          </cell>
          <cell r="R153" t="str">
            <v xml:space="preserve">Болгария             </v>
          </cell>
        </row>
        <row r="154">
          <cell r="K154" t="str">
            <v>Chine</v>
          </cell>
          <cell r="L154" t="str">
            <v>CHINA</v>
          </cell>
          <cell r="M154" t="str">
            <v>CN</v>
          </cell>
          <cell r="N154"/>
          <cell r="P154" t="str">
            <v>China</v>
          </cell>
          <cell r="Q154" t="str">
            <v>Chine</v>
          </cell>
          <cell r="R154" t="str">
            <v>Китай</v>
          </cell>
        </row>
        <row r="155">
          <cell r="K155" t="str">
            <v>Croatie</v>
          </cell>
          <cell r="L155" t="str">
            <v>CROATIA</v>
          </cell>
          <cell r="M155" t="str">
            <v>HR</v>
          </cell>
          <cell r="N155"/>
          <cell r="P155" t="str">
            <v>Croatia</v>
          </cell>
          <cell r="Q155" t="str">
            <v>Croatie</v>
          </cell>
          <cell r="R155" t="str">
            <v>Хорватия</v>
          </cell>
        </row>
        <row r="156">
          <cell r="K156" t="str">
            <v>Chypre</v>
          </cell>
          <cell r="L156" t="str">
            <v>CYPRUS</v>
          </cell>
          <cell r="M156" t="str">
            <v>CY</v>
          </cell>
          <cell r="N156"/>
          <cell r="P156" t="str">
            <v>Cyprus</v>
          </cell>
          <cell r="Q156" t="str">
            <v>Chypre</v>
          </cell>
          <cell r="R156" t="str">
            <v>Кипр</v>
          </cell>
        </row>
        <row r="157">
          <cell r="K157" t="str">
            <v>Ex-République yougoslave de Macédoine</v>
          </cell>
          <cell r="L157" t="str">
            <v>FYROM</v>
          </cell>
          <cell r="M157" t="str">
            <v>MK</v>
          </cell>
          <cell r="N157"/>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N159"/>
          <cell r="P159" t="str">
            <v>India</v>
          </cell>
          <cell r="Q159" t="str">
            <v>Inde</v>
          </cell>
          <cell r="R159" t="str">
            <v>Индия</v>
          </cell>
        </row>
        <row r="160">
          <cell r="K160" t="str">
            <v>Indonésie</v>
          </cell>
          <cell r="L160" t="str">
            <v>INDONESIA</v>
          </cell>
          <cell r="M160" t="str">
            <v>ID</v>
          </cell>
          <cell r="N160"/>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N162"/>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N164"/>
          <cell r="P164" t="str">
            <v>Liechtenstein</v>
          </cell>
          <cell r="Q164" t="str">
            <v>Liechtenstein</v>
          </cell>
          <cell r="R164" t="str">
            <v>Liechtenstein</v>
          </cell>
        </row>
        <row r="165">
          <cell r="K165" t="str">
            <v>Lituanie</v>
          </cell>
          <cell r="L165" t="str">
            <v>LITHUANIA</v>
          </cell>
          <cell r="M165" t="str">
            <v>LT</v>
          </cell>
          <cell r="N165"/>
          <cell r="P165" t="str">
            <v>Lithuania</v>
          </cell>
          <cell r="Q165" t="str">
            <v>Lituanie</v>
          </cell>
          <cell r="R165" t="str">
            <v>Литва</v>
          </cell>
        </row>
        <row r="166">
          <cell r="K166" t="str">
            <v>Malte</v>
          </cell>
          <cell r="L166" t="str">
            <v>MALTA</v>
          </cell>
          <cell r="M166" t="str">
            <v>MT</v>
          </cell>
          <cell r="N166"/>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N168"/>
          <cell r="P168" t="str">
            <v>Montenegro</v>
          </cell>
          <cell r="Q168" t="str">
            <v>Monténégro</v>
          </cell>
          <cell r="R168" t="str">
            <v>Черногория</v>
          </cell>
        </row>
        <row r="169">
          <cell r="K169" t="str">
            <v>Maroc</v>
          </cell>
          <cell r="L169" t="str">
            <v>MOROCCO</v>
          </cell>
          <cell r="M169" t="str">
            <v>MA</v>
          </cell>
          <cell r="N169"/>
          <cell r="P169" t="str">
            <v>Morocco</v>
          </cell>
          <cell r="Q169" t="str">
            <v>Maroc</v>
          </cell>
          <cell r="R169" t="str">
            <v>Марокко</v>
          </cell>
        </row>
        <row r="170">
          <cell r="K170" t="str">
            <v>Roumanie</v>
          </cell>
          <cell r="L170" t="str">
            <v>ROMANIA</v>
          </cell>
          <cell r="M170" t="str">
            <v>RO</v>
          </cell>
          <cell r="N170"/>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N172"/>
          <cell r="P172" t="str">
            <v>Serbia</v>
          </cell>
          <cell r="Q172" t="str">
            <v>Serbie</v>
          </cell>
          <cell r="R172" t="str">
            <v>Сербия</v>
          </cell>
        </row>
        <row r="173">
          <cell r="K173" t="str">
            <v>Statisland</v>
          </cell>
          <cell r="L173" t="str">
            <v>STATISLAND</v>
          </cell>
          <cell r="M173" t="str">
            <v>Q1</v>
          </cell>
          <cell r="N173"/>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N175"/>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H2"/>
          <cell r="AI2"/>
          <cell r="AJ2"/>
          <cell r="AK2"/>
          <cell r="AM2" t="str">
            <v>Other language version</v>
          </cell>
          <cell r="AN2"/>
          <cell r="AO2"/>
          <cell r="AP2"/>
          <cell r="AQ2"/>
          <cell r="AS2" t="str">
            <v>Other language version</v>
          </cell>
          <cell r="AT2"/>
          <cell r="AU2"/>
          <cell r="AV2"/>
          <cell r="AW2"/>
        </row>
        <row r="3">
          <cell r="AG3" t="str">
            <v>Column 1</v>
          </cell>
          <cell r="AH3" t="str">
            <v>Column 2</v>
          </cell>
          <cell r="AI3" t="str">
            <v>Column 3</v>
          </cell>
          <cell r="AJ3" t="str">
            <v>Column 4</v>
          </cell>
          <cell r="AK3" t="str">
            <v>Column 5</v>
          </cell>
          <cell r="AL3"/>
          <cell r="AM3" t="str">
            <v>Column 1</v>
          </cell>
          <cell r="AN3" t="str">
            <v>Column 2</v>
          </cell>
          <cell r="AO3" t="str">
            <v>Column 3</v>
          </cell>
          <cell r="AP3" t="str">
            <v>Column 4</v>
          </cell>
          <cell r="AQ3" t="str">
            <v>Column 5</v>
          </cell>
          <cell r="AR3"/>
          <cell r="AS3" t="str">
            <v>Column 1</v>
          </cell>
          <cell r="AT3" t="str">
            <v>Column 2</v>
          </cell>
          <cell r="AU3" t="str">
            <v>Column 3</v>
          </cell>
          <cell r="AV3" t="str">
            <v>Column 4</v>
          </cell>
          <cell r="AW3" t="str">
            <v>Column 5</v>
          </cell>
        </row>
        <row r="4">
          <cell r="AG4" t="str">
            <v>DATA ENTRY MENU</v>
          </cell>
          <cell r="AH4"/>
          <cell r="AI4"/>
          <cell r="AJ4"/>
          <cell r="AK4"/>
          <cell r="AM4" t="str">
            <v>MENU D'ENTREE DE DONNEES</v>
          </cell>
          <cell r="AN4"/>
          <cell r="AO4"/>
          <cell r="AP4"/>
          <cell r="AQ4"/>
          <cell r="AS4" t="str">
            <v xml:space="preserve">Меню ввода данных </v>
          </cell>
          <cell r="AT4"/>
          <cell r="AU4"/>
          <cell r="AV4"/>
          <cell r="AW4"/>
        </row>
        <row r="5">
          <cell r="AG5" t="str">
            <v>Control the integrity and coherence of your entries:</v>
          </cell>
          <cell r="AH5"/>
          <cell r="AI5" t="str">
            <v>Check data</v>
          </cell>
          <cell r="AJ5"/>
          <cell r="AK5"/>
          <cell r="AM5" t="str">
            <v>Contrôlez l'intégrité et la cohérence des données saisies :</v>
          </cell>
          <cell r="AN5"/>
          <cell r="AO5" t="str">
            <v>Vérification des données</v>
          </cell>
          <cell r="AP5"/>
          <cell r="AQ5"/>
          <cell r="AS5" t="str">
            <v>Контролируйте целостность и согласованность вводимых</v>
          </cell>
          <cell r="AT5"/>
          <cell r="AU5" t="str">
            <v xml:space="preserve">Проверка данных </v>
          </cell>
          <cell r="AV5"/>
          <cell r="AW5"/>
        </row>
        <row r="6">
          <cell r="AG6" t="str">
            <v>Run the "Check data" program.</v>
          </cell>
          <cell r="AH6"/>
          <cell r="AI6"/>
          <cell r="AJ6"/>
          <cell r="AK6"/>
          <cell r="AM6" t="str">
            <v>Lancez le programme de vérification des données.</v>
          </cell>
          <cell r="AN6"/>
          <cell r="AO6"/>
          <cell r="AP6"/>
          <cell r="AQ6"/>
          <cell r="AS6" t="str">
            <v>данных: Используйте программу проверки данных</v>
          </cell>
          <cell r="AT6"/>
          <cell r="AU6"/>
          <cell r="AV6"/>
          <cell r="AW6"/>
        </row>
        <row r="7">
          <cell r="AG7"/>
          <cell r="AH7"/>
          <cell r="AI7"/>
          <cell r="AJ7"/>
          <cell r="AK7"/>
          <cell r="AM7"/>
          <cell r="AN7"/>
          <cell r="AO7"/>
          <cell r="AP7"/>
          <cell r="AQ7"/>
          <cell r="AS7"/>
          <cell r="AT7"/>
          <cell r="AU7"/>
          <cell r="AV7"/>
          <cell r="AW7"/>
        </row>
        <row r="8">
          <cell r="AG8" t="str">
            <v>DATA ENTRY IN TIME SERIES</v>
          </cell>
          <cell r="AH8"/>
          <cell r="AI8"/>
          <cell r="AJ8"/>
          <cell r="AK8"/>
          <cell r="AM8" t="str">
            <v>ENTREE DE DONNEES DANS LES SERIES</v>
          </cell>
          <cell r="AN8"/>
          <cell r="AO8"/>
          <cell r="AP8"/>
          <cell r="AQ8"/>
          <cell r="AS8" t="str">
            <v>Меню ввода данных во временные ряды</v>
          </cell>
          <cell r="AT8"/>
          <cell r="AU8"/>
          <cell r="AV8"/>
          <cell r="AW8"/>
        </row>
        <row r="9">
          <cell r="AG9"/>
          <cell r="AH9"/>
          <cell r="AI9"/>
          <cell r="AJ9"/>
          <cell r="AK9"/>
          <cell r="AM9"/>
          <cell r="AN9"/>
          <cell r="AO9"/>
          <cell r="AP9"/>
          <cell r="AQ9"/>
          <cell r="AS9"/>
          <cell r="AT9"/>
          <cell r="AU9"/>
          <cell r="AV9"/>
          <cell r="AW9"/>
        </row>
        <row r="10">
          <cell r="AG10" t="str">
            <v>1. Supply</v>
          </cell>
          <cell r="AH10" t="str">
            <v>2a. Consumption</v>
          </cell>
          <cell r="AI10" t="str">
            <v>2b. TFC 
Energy Use</v>
          </cell>
          <cell r="AJ10" t="str">
            <v>2b. TFC 
Non-Energy Use</v>
          </cell>
          <cell r="AK10"/>
          <cell r="AM10" t="str">
            <v>1. Approvisionnement</v>
          </cell>
          <cell r="AN10" t="str">
            <v>2a. Consommation</v>
          </cell>
          <cell r="AO10" t="str">
            <v>2b. CFT 
Util. énergétiques</v>
          </cell>
          <cell r="AP10" t="str">
            <v>2b. CFT 
Util. non énergé.</v>
          </cell>
          <cell r="AQ10"/>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cell r="AW10"/>
        </row>
        <row r="11">
          <cell r="AG11"/>
          <cell r="AH11"/>
          <cell r="AI11"/>
          <cell r="AJ11"/>
          <cell r="AK11"/>
          <cell r="AM11"/>
          <cell r="AN11"/>
          <cell r="AO11"/>
          <cell r="AP11"/>
          <cell r="AQ11"/>
          <cell r="AS11"/>
          <cell r="AT11"/>
          <cell r="AU11"/>
          <cell r="AV11"/>
          <cell r="AW11"/>
        </row>
        <row r="12">
          <cell r="AG12" t="str">
            <v>3i. Imports</v>
          </cell>
          <cell r="AH12" t="str">
            <v>3ii. Imports 
of which LNG</v>
          </cell>
          <cell r="AI12" t="str">
            <v>4i. Exports</v>
          </cell>
          <cell r="AJ12" t="str">
            <v>4ii. Exports 
of which LNG</v>
          </cell>
          <cell r="AK12"/>
          <cell r="AL12"/>
          <cell r="AM12" t="str">
            <v>3i. Importations</v>
          </cell>
          <cell r="AN12" t="str">
            <v>3ii. Importations 
de GNL</v>
          </cell>
          <cell r="AO12" t="str">
            <v>4i. Exportations</v>
          </cell>
          <cell r="AP12" t="str">
            <v>4ii. Exportations 
de GNL</v>
          </cell>
          <cell r="AQ12"/>
          <cell r="AR12"/>
          <cell r="AS12" t="str">
            <v>3i. Импорт</v>
          </cell>
          <cell r="AT12" t="str">
            <v>3ii. Импорт СПГ</v>
          </cell>
          <cell r="AU12" t="str">
            <v>4i. Экспорт</v>
          </cell>
          <cell r="AV12" t="str">
            <v>4ii. Экспорт СПГ</v>
          </cell>
          <cell r="AW12"/>
        </row>
        <row r="13">
          <cell r="AG13"/>
          <cell r="AH13"/>
          <cell r="AI13"/>
          <cell r="AJ13"/>
          <cell r="AK13"/>
          <cell r="AM13"/>
          <cell r="AN13"/>
          <cell r="AO13"/>
          <cell r="AP13"/>
          <cell r="AQ13"/>
          <cell r="AS13"/>
          <cell r="AT13"/>
          <cell r="AU13"/>
          <cell r="AV13"/>
          <cell r="AW13"/>
        </row>
        <row r="14">
          <cell r="AG14"/>
          <cell r="AH14"/>
          <cell r="AI14"/>
          <cell r="AJ14"/>
          <cell r="AK14"/>
          <cell r="AL14"/>
          <cell r="AM14"/>
          <cell r="AN14"/>
          <cell r="AO14"/>
          <cell r="AP14"/>
          <cell r="AQ14"/>
          <cell r="AR14"/>
          <cell r="AS14"/>
          <cell r="AT14"/>
          <cell r="AU14"/>
          <cell r="AV14"/>
          <cell r="AW14"/>
        </row>
        <row r="15">
          <cell r="AG15" t="str">
            <v>DATA ENTRY IN FORMS</v>
          </cell>
          <cell r="AH15"/>
          <cell r="AI15"/>
          <cell r="AJ15"/>
          <cell r="AK15"/>
          <cell r="AL15"/>
          <cell r="AM15" t="str">
            <v>ENTREE DE DONNEES DANS LES TABLEAUX</v>
          </cell>
          <cell r="AN15"/>
          <cell r="AO15"/>
          <cell r="AP15"/>
          <cell r="AQ15"/>
          <cell r="AR15"/>
          <cell r="AS15" t="str">
            <v>Меню ввода данных в таблицы</v>
          </cell>
          <cell r="AT15"/>
          <cell r="AU15"/>
          <cell r="AV15"/>
          <cell r="AW15"/>
        </row>
        <row r="16">
          <cell r="AG16"/>
          <cell r="AH16"/>
          <cell r="AI16"/>
          <cell r="AJ16"/>
          <cell r="AK16"/>
          <cell r="AM16"/>
          <cell r="AN16"/>
          <cell r="AO16"/>
          <cell r="AP16"/>
          <cell r="AQ16"/>
          <cell r="AS16"/>
          <cell r="AT16"/>
          <cell r="AU16"/>
          <cell r="AV16"/>
          <cell r="AW16"/>
        </row>
        <row r="17">
          <cell r="AG17" t="str">
            <v xml:space="preserve">Please select the year and click on the form : </v>
          </cell>
          <cell r="AH17"/>
          <cell r="AI17"/>
          <cell r="AJ17"/>
          <cell r="AK17"/>
          <cell r="AL17"/>
          <cell r="AM17" t="str">
            <v xml:space="preserve">Choisissez l'année puis sélectionnez le tableau : </v>
          </cell>
          <cell r="AN17"/>
          <cell r="AO17"/>
          <cell r="AP17"/>
          <cell r="AQ17"/>
          <cell r="AR17"/>
          <cell r="AS17" t="str">
            <v>Пожалуйста выберите год и таблицу:</v>
          </cell>
          <cell r="AT17"/>
          <cell r="AU17"/>
          <cell r="AV17"/>
          <cell r="AW17"/>
        </row>
        <row r="18">
          <cell r="AG18"/>
          <cell r="AH18"/>
          <cell r="AI18"/>
          <cell r="AJ18"/>
          <cell r="AK18"/>
          <cell r="AM18"/>
          <cell r="AN18"/>
          <cell r="AO18"/>
          <cell r="AP18"/>
          <cell r="AQ18"/>
          <cell r="AS18"/>
          <cell r="AT18"/>
          <cell r="AU18"/>
          <cell r="AV18"/>
          <cell r="AW18"/>
        </row>
        <row r="19">
          <cell r="AG19" t="str">
            <v>Table 1</v>
          </cell>
          <cell r="AH19" t="str">
            <v>Table 2a</v>
          </cell>
          <cell r="AI19" t="str">
            <v>Table 2b</v>
          </cell>
          <cell r="AJ19" t="str">
            <v>Table 3</v>
          </cell>
          <cell r="AK19"/>
          <cell r="AM19" t="str">
            <v>Tableau 1</v>
          </cell>
          <cell r="AN19" t="str">
            <v>Tableau 2a</v>
          </cell>
          <cell r="AO19" t="str">
            <v>Tableau 2b</v>
          </cell>
          <cell r="AP19" t="str">
            <v>Tableau 3</v>
          </cell>
          <cell r="AQ19"/>
          <cell r="AS19" t="str">
            <v>Tаблица 1</v>
          </cell>
          <cell r="AT19" t="str">
            <v>Tаблица 2a</v>
          </cell>
          <cell r="AU19" t="str">
            <v>Tаблица 2b</v>
          </cell>
          <cell r="AV19" t="str">
            <v>Tаблица 3</v>
          </cell>
          <cell r="AW19"/>
        </row>
        <row r="20">
          <cell r="AG20"/>
          <cell r="AH20"/>
          <cell r="AI20"/>
          <cell r="AJ20"/>
          <cell r="AK20"/>
          <cell r="AM20"/>
          <cell r="AN20"/>
          <cell r="AO20"/>
          <cell r="AP20"/>
          <cell r="AQ20"/>
          <cell r="AS20"/>
          <cell r="AT20"/>
          <cell r="AU20"/>
          <cell r="AV20"/>
          <cell r="AW20"/>
        </row>
        <row r="21">
          <cell r="AG21" t="str">
            <v>Table 4</v>
          </cell>
          <cell r="AH21" t="str">
            <v>Table 5a</v>
          </cell>
          <cell r="AI21" t="str">
            <v>Table 5b</v>
          </cell>
          <cell r="AJ21" t="str">
            <v>Table 5c</v>
          </cell>
          <cell r="AK21"/>
          <cell r="AM21" t="str">
            <v>Tableau 4</v>
          </cell>
          <cell r="AN21" t="str">
            <v>Tableau 5a</v>
          </cell>
          <cell r="AO21" t="str">
            <v>Tableau 5b</v>
          </cell>
          <cell r="AP21" t="str">
            <v>Tableau 5c</v>
          </cell>
          <cell r="AQ21"/>
          <cell r="AS21" t="str">
            <v>Tаблица 4</v>
          </cell>
          <cell r="AT21" t="str">
            <v>Tаблица 5a</v>
          </cell>
          <cell r="AU21" t="str">
            <v>Tаблица 5b</v>
          </cell>
          <cell r="AV21" t="str">
            <v>Tаблица 5c</v>
          </cell>
          <cell r="AW21"/>
        </row>
        <row r="22">
          <cell r="AG22"/>
          <cell r="AH22"/>
          <cell r="AI22"/>
          <cell r="AJ22"/>
          <cell r="AK22"/>
          <cell r="AM22"/>
          <cell r="AN22"/>
          <cell r="AO22"/>
          <cell r="AP22"/>
          <cell r="AQ22"/>
          <cell r="AS22"/>
          <cell r="AT22"/>
          <cell r="AU22"/>
          <cell r="AV22"/>
          <cell r="AW22"/>
        </row>
        <row r="23">
          <cell r="AG23" t="str">
            <v>Table 6</v>
          </cell>
          <cell r="AH23"/>
          <cell r="AI23"/>
          <cell r="AJ23" t="str">
            <v>Remarks</v>
          </cell>
          <cell r="AK23"/>
          <cell r="AM23" t="str">
            <v>Tableau 6</v>
          </cell>
          <cell r="AN23"/>
          <cell r="AO23"/>
          <cell r="AP23" t="str">
            <v>Remarques</v>
          </cell>
          <cell r="AQ23"/>
          <cell r="AS23" t="str">
            <v>Tаблица 6</v>
          </cell>
          <cell r="AT23"/>
          <cell r="AU23"/>
          <cell r="AV23" t="str">
            <v>Замечания</v>
          </cell>
          <cell r="AW23"/>
        </row>
        <row r="24">
          <cell r="AG24"/>
          <cell r="AH24"/>
          <cell r="AI24"/>
          <cell r="AJ24"/>
          <cell r="AK24"/>
          <cell r="AL24"/>
          <cell r="AM24"/>
          <cell r="AN24"/>
          <cell r="AO24"/>
          <cell r="AP24"/>
          <cell r="AQ24"/>
          <cell r="AR24"/>
          <cell r="AS24"/>
          <cell r="AT24"/>
          <cell r="AU24"/>
          <cell r="AV24"/>
          <cell r="AW24"/>
        </row>
        <row r="25">
          <cell r="AG25" t="str">
            <v>ASCII DATA TRANSFERS</v>
          </cell>
          <cell r="AH25"/>
          <cell r="AI25"/>
          <cell r="AJ25"/>
          <cell r="AK25"/>
          <cell r="AL25"/>
          <cell r="AM25" t="str">
            <v>TRANSFERTS DE DONNEES ASCII</v>
          </cell>
          <cell r="AN25"/>
          <cell r="AO25"/>
          <cell r="AP25"/>
          <cell r="AQ25"/>
          <cell r="AR25"/>
          <cell r="AS25" t="str">
            <v>Передача данных ASCII</v>
          </cell>
          <cell r="AT25"/>
          <cell r="AU25"/>
          <cell r="AV25"/>
          <cell r="AW25"/>
        </row>
        <row r="26">
          <cell r="AG26"/>
          <cell r="AH26"/>
          <cell r="AI26"/>
          <cell r="AJ26"/>
          <cell r="AK26"/>
          <cell r="AM26"/>
          <cell r="AN26"/>
          <cell r="AO26"/>
          <cell r="AP26"/>
          <cell r="AQ26"/>
          <cell r="AS26"/>
          <cell r="AT26"/>
          <cell r="AU26"/>
          <cell r="AV26"/>
          <cell r="AW26"/>
        </row>
        <row r="27">
          <cell r="AE27" t="str">
            <v>Menu</v>
          </cell>
          <cell r="AG27" t="str">
            <v>Import</v>
          </cell>
          <cell r="AH27" t="str">
            <v>Export</v>
          </cell>
          <cell r="AI27"/>
          <cell r="AJ27"/>
          <cell r="AK27" t="str">
            <v>Menu</v>
          </cell>
          <cell r="AM27" t="str">
            <v>Import</v>
          </cell>
          <cell r="AN27" t="str">
            <v>Export</v>
          </cell>
          <cell r="AO27"/>
          <cell r="AP27"/>
          <cell r="AQ27" t="str">
            <v>Menu</v>
          </cell>
          <cell r="AS27" t="str">
            <v>Импорт</v>
          </cell>
          <cell r="AT27" t="str">
            <v>Экспорт</v>
          </cell>
          <cell r="AU27"/>
          <cell r="AV27"/>
          <cell r="AW27" t="str">
            <v>Меню</v>
          </cell>
        </row>
        <row r="28">
          <cell r="AE28" t="str">
            <v>Millions mètres cube</v>
          </cell>
          <cell r="AG28"/>
          <cell r="AH28"/>
          <cell r="AI28"/>
          <cell r="AJ28"/>
          <cell r="AK28" t="str">
            <v>Million cubic metres</v>
          </cell>
          <cell r="AM28"/>
          <cell r="AN28"/>
          <cell r="AO28"/>
          <cell r="AP28"/>
          <cell r="AQ28" t="str">
            <v>Millions mètres cube</v>
          </cell>
          <cell r="AS28"/>
          <cell r="AT28"/>
          <cell r="AU28"/>
          <cell r="AV28"/>
          <cell r="AW28" t="str">
            <v>Миллионы кубических метров</v>
          </cell>
        </row>
        <row r="29">
          <cell r="AE29" t="str">
            <v>Terajoules</v>
          </cell>
          <cell r="AG29"/>
          <cell r="AH29"/>
          <cell r="AI29" t="str">
            <v>Tip : press Ctrl+M to come</v>
          </cell>
          <cell r="AJ29"/>
          <cell r="AK29" t="str">
            <v>Terajoules</v>
          </cell>
          <cell r="AM29"/>
          <cell r="AN29"/>
          <cell r="AO29" t="str">
            <v>Astuce : Appuyez sur Ctrl+M</v>
          </cell>
          <cell r="AP29"/>
          <cell r="AQ29" t="str">
            <v>Terajoules</v>
          </cell>
          <cell r="AS29"/>
          <cell r="AT29"/>
          <cell r="AU29" t="str">
            <v xml:space="preserve">Подсказка: Нажмите Ctrl+M чтобы </v>
          </cell>
          <cell r="AV29"/>
          <cell r="AW29" t="str">
            <v>Тераджоули</v>
          </cell>
        </row>
        <row r="30">
          <cell r="AE30" t="str">
            <v>Pouvoirs calorifiques supérieurs</v>
          </cell>
          <cell r="AG30"/>
          <cell r="AH30"/>
          <cell r="AI30" t="str">
            <v>back to this page from anywhere</v>
          </cell>
          <cell r="AJ30"/>
          <cell r="AK30" t="str">
            <v>Gross Calorific Values</v>
          </cell>
          <cell r="AM30"/>
          <cell r="AN30"/>
          <cell r="AO30" t="str">
            <v>pour revenir à ce menu à tout moment</v>
          </cell>
          <cell r="AP30"/>
          <cell r="AQ30" t="str">
            <v>Pouvoirs calorifiques supérieurs</v>
          </cell>
          <cell r="AS30"/>
          <cell r="AT30"/>
          <cell r="AU30" t="str">
            <v>вернуться к этому меню в любой момент</v>
          </cell>
          <cell r="AV30"/>
          <cell r="AW30" t="str">
            <v>Высшая теплотворная способность (ВТС)</v>
          </cell>
        </row>
        <row r="31">
          <cell r="AG31"/>
          <cell r="AH31"/>
          <cell r="AI31"/>
          <cell r="AJ31"/>
          <cell r="AK31"/>
          <cell r="AM31"/>
          <cell r="AN31"/>
          <cell r="AO31"/>
          <cell r="AP31"/>
          <cell r="AQ31"/>
          <cell r="AS31"/>
          <cell r="AT31"/>
          <cell r="AU31"/>
          <cell r="AV31"/>
          <cell r="AW31"/>
        </row>
      </sheetData>
      <sheetData sheetId="3">
        <row r="1">
          <cell r="AH1" t="str">
            <v>TABLE 1 - SUPPLY OF NATURAL GAS</v>
          </cell>
          <cell r="AI1" t="str">
            <v>APPROVISIONNEMENT EN GAZ NATUREL</v>
          </cell>
          <cell r="AJ1" t="str">
            <v>ПОСТАВКИ ПРИРОДНОГО ГАЗА</v>
          </cell>
        </row>
        <row r="2">
          <cell r="AH2"/>
          <cell r="AI2"/>
          <cell r="AJ2"/>
        </row>
        <row r="3">
          <cell r="AH3"/>
          <cell r="AI3"/>
          <cell r="AJ3"/>
        </row>
        <row r="4">
          <cell r="AH4"/>
          <cell r="AI4"/>
          <cell r="AJ4"/>
        </row>
        <row r="5">
          <cell r="AH5"/>
          <cell r="AI5"/>
          <cell r="AJ5"/>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8">
          <cell r="AH18"/>
          <cell r="AI18"/>
          <cell r="AJ18"/>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4">
          <cell r="AH24"/>
          <cell r="AI24"/>
          <cell r="AJ24"/>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0">
          <cell r="AH30"/>
          <cell r="AI30"/>
          <cell r="AJ30"/>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cell r="AI39"/>
          <cell r="AJ39"/>
        </row>
        <row r="40">
          <cell r="AH40" t="str">
            <v>NCV = Net calorifc value</v>
          </cell>
          <cell r="AI40"/>
          <cell r="AJ40"/>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2">
          <cell r="AE2"/>
          <cell r="AF2"/>
          <cell r="AG2"/>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5">
          <cell r="AE5"/>
          <cell r="AF5"/>
          <cell r="AG5"/>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row r="37">
          <cell r="AE37"/>
          <cell r="AF37"/>
          <cell r="AG37"/>
        </row>
      </sheetData>
      <sheetData sheetId="5">
        <row r="1">
          <cell r="AF1" t="str">
            <v>TABLE 2b - TOTAL FINAL CONSUMPTION BY SECTOR</v>
          </cell>
          <cell r="AG1" t="str">
            <v>CONSOMMATION FINALE TOTALE PAR SECTEUR</v>
          </cell>
          <cell r="AH1" t="str">
            <v>ВНУТРЕННЕЕ ПОТРЕБЛЕНИЕ ПО СЕКТОРАМ</v>
          </cell>
        </row>
        <row r="2">
          <cell r="AF2"/>
          <cell r="AG2"/>
          <cell r="AH2"/>
        </row>
        <row r="3">
          <cell r="AF3" t="str">
            <v>Unit: TJ (GCV)</v>
          </cell>
          <cell r="AG3" t="str">
            <v>Unité: TJ (PCS)</v>
          </cell>
          <cell r="AH3" t="str">
            <v>Единица измерения: ТДж (ВТС)</v>
          </cell>
        </row>
        <row r="4">
          <cell r="AF4"/>
          <cell r="AG4"/>
          <cell r="AH4"/>
        </row>
        <row r="5">
          <cell r="AF5"/>
          <cell r="AG5"/>
          <cell r="AH5"/>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2">
          <cell r="AM2"/>
          <cell r="AN2"/>
          <cell r="AO2"/>
        </row>
        <row r="3">
          <cell r="AM3"/>
          <cell r="AN3"/>
          <cell r="AO3"/>
        </row>
        <row r="4">
          <cell r="AM4" t="str">
            <v>ORIGIN</v>
          </cell>
          <cell r="AN4" t="str">
            <v>ORIGINE</v>
          </cell>
          <cell r="AO4" t="str">
            <v>ПРОИСХОЖДЕНИЕ</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2">
          <cell r="AM2"/>
          <cell r="AN2"/>
          <cell r="AO2"/>
        </row>
        <row r="3">
          <cell r="AM3"/>
          <cell r="AN3"/>
          <cell r="AO3"/>
        </row>
        <row r="4">
          <cell r="AM4" t="str">
            <v>DESTINATION</v>
          </cell>
          <cell r="AN4" t="str">
            <v>DESTINATION</v>
          </cell>
          <cell r="AO4" t="str">
            <v>НАЗНАЧЕНИЯ</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end-2017</v>
          </cell>
          <cell r="AG1" t="str">
            <v>PERIODE : Fin 2017</v>
          </cell>
          <cell r="AH1" t="str">
            <v>ПЕРИОД : Конец 2017</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3">
          <cell r="AF3"/>
          <cell r="AG3"/>
          <cell r="AH3"/>
        </row>
        <row r="4">
          <cell r="AF4"/>
          <cell r="AG4"/>
          <cell r="AH4"/>
        </row>
        <row r="5">
          <cell r="AF5"/>
          <cell r="AG5"/>
          <cell r="AH5"/>
        </row>
        <row r="6">
          <cell r="AF6"/>
          <cell r="AG6"/>
          <cell r="AH6"/>
        </row>
        <row r="7">
          <cell r="AF7"/>
          <cell r="AG7"/>
          <cell r="AH7"/>
        </row>
        <row r="8">
          <cell r="AF8"/>
          <cell r="AG8"/>
          <cell r="AH8"/>
        </row>
        <row r="9">
          <cell r="AF9"/>
          <cell r="AG9"/>
          <cell r="AH9"/>
        </row>
        <row r="10">
          <cell r="AF10"/>
          <cell r="AG10"/>
          <cell r="AH10"/>
        </row>
        <row r="11">
          <cell r="AF11"/>
          <cell r="AG11"/>
          <cell r="AH11"/>
        </row>
        <row r="12">
          <cell r="AF12"/>
          <cell r="AG12"/>
          <cell r="AH12"/>
        </row>
        <row r="13">
          <cell r="AF13"/>
          <cell r="AG13"/>
          <cell r="AH13"/>
        </row>
        <row r="14">
          <cell r="AF14"/>
          <cell r="AG14"/>
          <cell r="AH14"/>
        </row>
        <row r="15">
          <cell r="AF15"/>
          <cell r="AG15"/>
          <cell r="AH15"/>
        </row>
        <row r="16">
          <cell r="AF16"/>
          <cell r="AG16"/>
          <cell r="AH16"/>
        </row>
        <row r="17">
          <cell r="AF17"/>
          <cell r="AG17"/>
          <cell r="AH17"/>
        </row>
        <row r="18">
          <cell r="AF18"/>
          <cell r="AG18"/>
          <cell r="AH18"/>
        </row>
        <row r="19">
          <cell r="AF19"/>
          <cell r="AG19"/>
          <cell r="AH19"/>
        </row>
        <row r="20">
          <cell r="AF20"/>
          <cell r="AG20"/>
          <cell r="AH20"/>
        </row>
        <row r="21">
          <cell r="AF21"/>
          <cell r="AG21"/>
          <cell r="AH21"/>
        </row>
        <row r="22">
          <cell r="AF22"/>
          <cell r="AG22"/>
          <cell r="AH22"/>
        </row>
        <row r="23">
          <cell r="AF23"/>
          <cell r="AG23"/>
          <cell r="AH23"/>
        </row>
        <row r="24">
          <cell r="AF24"/>
          <cell r="AG24"/>
          <cell r="AH24"/>
        </row>
        <row r="25">
          <cell r="AF25"/>
          <cell r="AG25"/>
          <cell r="AH25"/>
        </row>
        <row r="26">
          <cell r="AF26"/>
          <cell r="AG26"/>
          <cell r="AH26"/>
        </row>
        <row r="27">
          <cell r="AF27"/>
          <cell r="AG27"/>
          <cell r="AH27"/>
        </row>
        <row r="28">
          <cell r="AF28"/>
          <cell r="AG28"/>
          <cell r="AH28"/>
        </row>
        <row r="29">
          <cell r="AF29"/>
          <cell r="AG29"/>
          <cell r="AH29"/>
        </row>
        <row r="30">
          <cell r="AF30"/>
          <cell r="AG30"/>
          <cell r="AH30"/>
        </row>
        <row r="31">
          <cell r="AF31"/>
          <cell r="AG31"/>
          <cell r="AH31"/>
        </row>
        <row r="32">
          <cell r="AF32"/>
          <cell r="AG32"/>
          <cell r="AH32"/>
        </row>
        <row r="33">
          <cell r="AF33"/>
          <cell r="AG33"/>
          <cell r="AH33"/>
        </row>
        <row r="34">
          <cell r="AF34"/>
          <cell r="AG34"/>
          <cell r="AH34"/>
        </row>
        <row r="35">
          <cell r="AF35"/>
          <cell r="AG35"/>
          <cell r="AH35"/>
        </row>
        <row r="36">
          <cell r="AF36"/>
          <cell r="AG36"/>
          <cell r="AH36"/>
        </row>
        <row r="37">
          <cell r="AF37"/>
          <cell r="AG37"/>
          <cell r="AH37"/>
        </row>
        <row r="38">
          <cell r="AF38"/>
          <cell r="AG38"/>
          <cell r="AH38"/>
        </row>
        <row r="39">
          <cell r="AF39"/>
          <cell r="AG39"/>
          <cell r="AH39"/>
        </row>
        <row r="40">
          <cell r="AF40"/>
          <cell r="AG40"/>
          <cell r="AH40"/>
        </row>
        <row r="41">
          <cell r="AF41"/>
          <cell r="AG41"/>
          <cell r="AH41"/>
        </row>
        <row r="42">
          <cell r="AF42"/>
          <cell r="AG42"/>
          <cell r="AH42"/>
        </row>
        <row r="43">
          <cell r="AF43"/>
          <cell r="AG43"/>
          <cell r="AH43"/>
        </row>
        <row r="44">
          <cell r="AF44"/>
          <cell r="AG44"/>
          <cell r="AH44"/>
        </row>
        <row r="45">
          <cell r="AF45"/>
          <cell r="AG45"/>
          <cell r="AH45"/>
        </row>
        <row r="46">
          <cell r="AF46"/>
          <cell r="AG46"/>
          <cell r="AH46"/>
        </row>
        <row r="47">
          <cell r="AF47"/>
          <cell r="AG47"/>
          <cell r="AH47"/>
        </row>
        <row r="48">
          <cell r="AF48"/>
          <cell r="AG48"/>
          <cell r="AH48"/>
        </row>
        <row r="49">
          <cell r="AF49"/>
          <cell r="AG49"/>
          <cell r="AH49"/>
        </row>
        <row r="50">
          <cell r="AF50"/>
          <cell r="AG50"/>
          <cell r="AH50"/>
        </row>
        <row r="51">
          <cell r="AF51"/>
          <cell r="AG51"/>
          <cell r="AH51"/>
        </row>
        <row r="52">
          <cell r="AF52"/>
          <cell r="AG52"/>
          <cell r="AH52"/>
        </row>
        <row r="53">
          <cell r="AF53"/>
          <cell r="AG53"/>
          <cell r="AH53"/>
        </row>
        <row r="54">
          <cell r="AF54"/>
          <cell r="AG54"/>
          <cell r="AH54"/>
        </row>
        <row r="55">
          <cell r="AF55"/>
          <cell r="AG55"/>
          <cell r="AH55"/>
        </row>
        <row r="56">
          <cell r="AF56"/>
          <cell r="AG56"/>
          <cell r="AH56"/>
        </row>
        <row r="57">
          <cell r="AF57"/>
          <cell r="AG57"/>
          <cell r="AH57"/>
        </row>
        <row r="58">
          <cell r="AF58"/>
          <cell r="AG58"/>
          <cell r="AH58"/>
        </row>
        <row r="59">
          <cell r="AF59"/>
          <cell r="AG59"/>
          <cell r="AH59"/>
        </row>
        <row r="60">
          <cell r="AF60"/>
          <cell r="AG60"/>
          <cell r="AH60"/>
        </row>
        <row r="61">
          <cell r="AF61"/>
          <cell r="AG61"/>
          <cell r="AH61"/>
        </row>
        <row r="62">
          <cell r="AF62"/>
          <cell r="AG62"/>
          <cell r="AH62"/>
        </row>
        <row r="63">
          <cell r="AF63"/>
          <cell r="AG63"/>
          <cell r="AH63"/>
        </row>
        <row r="64">
          <cell r="AF64"/>
          <cell r="AG64"/>
          <cell r="AH64"/>
        </row>
        <row r="65">
          <cell r="AF65"/>
          <cell r="AG65"/>
          <cell r="AH65"/>
        </row>
        <row r="66">
          <cell r="AF66"/>
          <cell r="AG66"/>
          <cell r="AH66"/>
        </row>
        <row r="67">
          <cell r="AF67"/>
          <cell r="AG67"/>
          <cell r="AH67"/>
        </row>
        <row r="68">
          <cell r="AF68"/>
          <cell r="AG68"/>
          <cell r="AH68"/>
        </row>
        <row r="69">
          <cell r="AF69"/>
          <cell r="AG69"/>
          <cell r="AH69"/>
        </row>
        <row r="70">
          <cell r="AF70"/>
          <cell r="AG70"/>
          <cell r="AH70"/>
        </row>
        <row r="71">
          <cell r="AF71"/>
          <cell r="AG71"/>
          <cell r="AH71"/>
        </row>
        <row r="72">
          <cell r="AF72"/>
          <cell r="AG72"/>
          <cell r="AH72"/>
        </row>
        <row r="73">
          <cell r="AF73"/>
          <cell r="AG73"/>
          <cell r="AH73"/>
        </row>
        <row r="74">
          <cell r="AF74"/>
          <cell r="AG74"/>
          <cell r="AH74"/>
        </row>
        <row r="75">
          <cell r="AF75"/>
          <cell r="AG75"/>
          <cell r="AH75"/>
        </row>
        <row r="76">
          <cell r="AF76"/>
          <cell r="AG76"/>
          <cell r="AH76"/>
        </row>
        <row r="77">
          <cell r="AF77"/>
          <cell r="AG77"/>
          <cell r="AH77"/>
        </row>
        <row r="78">
          <cell r="AF78"/>
          <cell r="AG78"/>
          <cell r="AH78"/>
        </row>
        <row r="79">
          <cell r="AF79"/>
          <cell r="AG79"/>
          <cell r="AH79"/>
        </row>
        <row r="80">
          <cell r="AF80"/>
          <cell r="AG80"/>
          <cell r="AH80"/>
        </row>
        <row r="81">
          <cell r="AF81"/>
          <cell r="AG81"/>
          <cell r="AH81"/>
        </row>
        <row r="82">
          <cell r="AF82"/>
          <cell r="AG82"/>
          <cell r="AH82"/>
        </row>
        <row r="83">
          <cell r="AF83"/>
          <cell r="AG83"/>
          <cell r="AH83"/>
        </row>
        <row r="84">
          <cell r="AF84"/>
          <cell r="AG84"/>
          <cell r="AH84"/>
        </row>
        <row r="85">
          <cell r="AF85"/>
          <cell r="AG85"/>
          <cell r="AH85"/>
        </row>
        <row r="86">
          <cell r="AF86"/>
          <cell r="AG86"/>
          <cell r="AH86"/>
        </row>
        <row r="87">
          <cell r="AF87"/>
          <cell r="AG87"/>
          <cell r="AH87"/>
        </row>
        <row r="88">
          <cell r="AF88"/>
          <cell r="AG88"/>
          <cell r="AH88"/>
        </row>
        <row r="89">
          <cell r="AF89"/>
          <cell r="AG89"/>
          <cell r="AH89"/>
        </row>
        <row r="90">
          <cell r="AF90"/>
          <cell r="AG90"/>
          <cell r="AH90"/>
        </row>
        <row r="91">
          <cell r="AF91"/>
          <cell r="AG91"/>
          <cell r="AH91"/>
        </row>
        <row r="92">
          <cell r="AF92"/>
          <cell r="AG92"/>
          <cell r="AH92"/>
        </row>
        <row r="93">
          <cell r="AF93"/>
          <cell r="AG93"/>
          <cell r="AH93"/>
        </row>
        <row r="94">
          <cell r="AF94"/>
          <cell r="AG94"/>
          <cell r="AH94"/>
        </row>
        <row r="95">
          <cell r="AF95"/>
          <cell r="AG95"/>
          <cell r="AH95"/>
        </row>
        <row r="96">
          <cell r="AF96"/>
          <cell r="AG96"/>
          <cell r="AH96"/>
        </row>
        <row r="97">
          <cell r="AF97"/>
          <cell r="AG97"/>
          <cell r="AH97"/>
        </row>
        <row r="98">
          <cell r="AF98"/>
          <cell r="AG98"/>
          <cell r="AH98"/>
        </row>
        <row r="99">
          <cell r="AF99"/>
          <cell r="AG99"/>
          <cell r="AH99"/>
        </row>
        <row r="100">
          <cell r="AF100"/>
          <cell r="AG100"/>
          <cell r="AH100"/>
        </row>
        <row r="101">
          <cell r="AF101"/>
          <cell r="AG101"/>
          <cell r="AH101"/>
        </row>
        <row r="102">
          <cell r="AF102"/>
          <cell r="AG102"/>
          <cell r="AH102"/>
        </row>
        <row r="103">
          <cell r="AF103"/>
          <cell r="AG103"/>
          <cell r="AH103"/>
        </row>
        <row r="104">
          <cell r="AF104"/>
          <cell r="AG104"/>
          <cell r="AH104"/>
        </row>
        <row r="105">
          <cell r="AF105"/>
          <cell r="AG105"/>
          <cell r="AH105"/>
        </row>
        <row r="106">
          <cell r="AF106" t="str">
            <v>TOTAL</v>
          </cell>
          <cell r="AG106" t="str">
            <v>TOTAL</v>
          </cell>
          <cell r="AH106" t="str">
            <v>ВСЕГО</v>
          </cell>
        </row>
        <row r="107">
          <cell r="AF107"/>
          <cell r="AG107"/>
          <cell r="AH107"/>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09">
          <cell r="AF109"/>
          <cell r="AG109"/>
          <cell r="AH109"/>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end-2017</v>
          </cell>
          <cell r="AJ1" t="str">
            <v>PERIODE : Fin 2017</v>
          </cell>
          <cell r="AK1" t="str">
            <v>ПЕРИОД : Конец 2017</v>
          </cell>
        </row>
        <row r="2">
          <cell r="AI2" t="str">
            <v>TABLE 5b - LNG IMPORT TERMINALS</v>
          </cell>
          <cell r="AJ2" t="str">
            <v>TABLEAU 5b - LNG TERMINAUX D'IMPORTATION</v>
          </cell>
          <cell r="AK2" t="str">
            <v>ТАБЛИЦА 5b – ТЕРМИНАЛЫ ИМПОРТА СПГ</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end-2017</v>
          </cell>
          <cell r="AJ1" t="str">
            <v>PERIODE : Fin 2017</v>
          </cell>
          <cell r="AK1" t="str">
            <v>ПЕРИОД : Конец 2017</v>
          </cell>
        </row>
        <row r="2">
          <cell r="AI2" t="str">
            <v>TABLE 5c - LNG EXPORT TERMINALS</v>
          </cell>
          <cell r="AJ2" t="str">
            <v>TABLEAU 5c - LNG TERMINAUX D'EXPORTATION</v>
          </cell>
          <cell r="AK2" t="str">
            <v>TABLE 5c - LNG EXPORT TERMINALS (waiting for Russian translation)</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end-2017</v>
          </cell>
          <cell r="AI1" t="str">
            <v>PERIODE : Fin 2017</v>
          </cell>
          <cell r="AJ1" t="str">
            <v>ПЕРИОД : Конец 2017</v>
          </cell>
        </row>
        <row r="2">
          <cell r="AH2" t="str">
            <v>TABLE 6 - NETWORK CAPACITY</v>
          </cell>
          <cell r="AI2" t="str">
            <v>TABLEAU 6 - CAPACITE DU RESEAU</v>
          </cell>
          <cell r="AJ2" t="str">
            <v>Таблица 6 - Пропускная способность сети</v>
          </cell>
        </row>
        <row r="3">
          <cell r="AH3"/>
          <cell r="AI3"/>
          <cell r="AJ3"/>
        </row>
        <row r="4">
          <cell r="AH4"/>
          <cell r="AI4"/>
          <cell r="AJ4"/>
        </row>
        <row r="5">
          <cell r="AH5"/>
          <cell r="AI5"/>
          <cell r="AJ5"/>
        </row>
        <row r="6">
          <cell r="AH6"/>
          <cell r="AI6"/>
          <cell r="AJ6"/>
        </row>
        <row r="7">
          <cell r="AH7"/>
          <cell r="AI7"/>
          <cell r="AJ7"/>
        </row>
        <row r="8">
          <cell r="AH8"/>
          <cell r="AI8"/>
          <cell r="AJ8"/>
        </row>
        <row r="9">
          <cell r="AH9"/>
          <cell r="AI9"/>
          <cell r="AJ9"/>
        </row>
        <row r="10">
          <cell r="AH10"/>
          <cell r="AI10"/>
          <cell r="AJ10"/>
        </row>
        <row r="11">
          <cell r="AH11"/>
          <cell r="AI11"/>
          <cell r="AJ11"/>
        </row>
        <row r="12">
          <cell r="AH12"/>
          <cell r="AI12"/>
          <cell r="AJ12"/>
        </row>
        <row r="13">
          <cell r="AH13"/>
          <cell r="AI13"/>
          <cell r="AJ13"/>
        </row>
        <row r="14">
          <cell r="AH14"/>
          <cell r="AI14"/>
          <cell r="AJ14"/>
        </row>
        <row r="15">
          <cell r="AH15"/>
          <cell r="AI15"/>
          <cell r="AJ15"/>
        </row>
        <row r="16">
          <cell r="AH16"/>
          <cell r="AI16"/>
          <cell r="AJ16"/>
        </row>
        <row r="17">
          <cell r="AH17"/>
          <cell r="AI17"/>
          <cell r="AJ17"/>
        </row>
        <row r="18">
          <cell r="AH18"/>
          <cell r="AI18"/>
          <cell r="AJ18"/>
        </row>
        <row r="19">
          <cell r="AH19"/>
          <cell r="AI19"/>
          <cell r="AJ19"/>
        </row>
        <row r="20">
          <cell r="AH20"/>
          <cell r="AI20"/>
          <cell r="AJ20"/>
        </row>
        <row r="21">
          <cell r="AH21"/>
          <cell r="AI21"/>
          <cell r="AJ21"/>
        </row>
        <row r="22">
          <cell r="AH22"/>
          <cell r="AI22"/>
          <cell r="AJ22"/>
        </row>
        <row r="23">
          <cell r="AH23"/>
          <cell r="AI23"/>
          <cell r="AJ23"/>
        </row>
        <row r="24">
          <cell r="AH24"/>
          <cell r="AI24"/>
          <cell r="AJ24"/>
        </row>
        <row r="25">
          <cell r="AH25"/>
          <cell r="AI25"/>
          <cell r="AJ25"/>
        </row>
        <row r="26">
          <cell r="AH26"/>
          <cell r="AI26"/>
          <cell r="AJ26"/>
        </row>
        <row r="27">
          <cell r="AH27"/>
          <cell r="AI27"/>
          <cell r="AJ27"/>
        </row>
        <row r="28">
          <cell r="AH28"/>
          <cell r="AI28"/>
          <cell r="AJ28"/>
        </row>
        <row r="29">
          <cell r="AH29"/>
          <cell r="AI29"/>
          <cell r="AJ29"/>
        </row>
        <row r="30">
          <cell r="AH30"/>
          <cell r="AI30"/>
          <cell r="AJ30"/>
        </row>
        <row r="31">
          <cell r="AH31"/>
          <cell r="AI31"/>
          <cell r="AJ31"/>
        </row>
        <row r="32">
          <cell r="AH32"/>
          <cell r="AI32"/>
          <cell r="AJ32"/>
        </row>
        <row r="33">
          <cell r="AH33"/>
          <cell r="AI33"/>
          <cell r="AJ33"/>
        </row>
        <row r="34">
          <cell r="AH34"/>
          <cell r="AI34"/>
          <cell r="AJ34"/>
        </row>
        <row r="35">
          <cell r="AH35"/>
          <cell r="AI35"/>
          <cell r="AJ35"/>
        </row>
        <row r="36">
          <cell r="AH36"/>
          <cell r="AI36"/>
          <cell r="AJ36"/>
        </row>
        <row r="37">
          <cell r="AH37"/>
          <cell r="AI37"/>
          <cell r="AJ37"/>
        </row>
        <row r="38">
          <cell r="AH38"/>
          <cell r="AI38"/>
          <cell r="AJ38"/>
        </row>
        <row r="39">
          <cell r="AH39"/>
          <cell r="AI39"/>
          <cell r="AJ39"/>
        </row>
        <row r="40">
          <cell r="AH40"/>
          <cell r="AI40"/>
          <cell r="AJ40"/>
        </row>
        <row r="41">
          <cell r="AH41"/>
          <cell r="AI41"/>
          <cell r="AJ41"/>
        </row>
        <row r="42">
          <cell r="AH42"/>
          <cell r="AI42"/>
          <cell r="AJ42"/>
        </row>
        <row r="43">
          <cell r="AH43"/>
          <cell r="AI43"/>
          <cell r="AJ43"/>
        </row>
        <row r="44">
          <cell r="AH44"/>
          <cell r="AI44"/>
          <cell r="AJ44"/>
        </row>
        <row r="45">
          <cell r="AH45"/>
          <cell r="AI45"/>
          <cell r="AJ45"/>
        </row>
        <row r="46">
          <cell r="AH46"/>
          <cell r="AI46"/>
          <cell r="AJ46"/>
        </row>
        <row r="47">
          <cell r="AH47"/>
          <cell r="AI47"/>
          <cell r="AJ47"/>
        </row>
        <row r="48">
          <cell r="AH48"/>
          <cell r="AI48"/>
          <cell r="AJ48"/>
        </row>
        <row r="49">
          <cell r="AH49"/>
          <cell r="AI49"/>
          <cell r="AJ49"/>
        </row>
        <row r="50">
          <cell r="AH50"/>
          <cell r="AI50"/>
          <cell r="AJ50"/>
        </row>
        <row r="51">
          <cell r="AH51"/>
          <cell r="AI51"/>
          <cell r="AJ51"/>
        </row>
        <row r="52">
          <cell r="AH52"/>
          <cell r="AI52"/>
          <cell r="AJ52"/>
        </row>
        <row r="53">
          <cell r="AH53"/>
          <cell r="AI53"/>
          <cell r="AJ53"/>
        </row>
        <row r="54">
          <cell r="AH54"/>
          <cell r="AI54"/>
          <cell r="AJ54"/>
        </row>
        <row r="55">
          <cell r="AH55"/>
          <cell r="AI55"/>
          <cell r="AJ55"/>
        </row>
        <row r="56">
          <cell r="AH56"/>
          <cell r="AI56"/>
          <cell r="AJ56"/>
        </row>
        <row r="57">
          <cell r="AH57"/>
          <cell r="AI57"/>
          <cell r="AJ57"/>
        </row>
        <row r="58">
          <cell r="AH58"/>
          <cell r="AI58"/>
          <cell r="AJ58"/>
        </row>
        <row r="59">
          <cell r="AH59"/>
          <cell r="AI59"/>
          <cell r="AJ59"/>
        </row>
        <row r="60">
          <cell r="AH60"/>
          <cell r="AI60"/>
          <cell r="AJ60"/>
        </row>
        <row r="61">
          <cell r="AH61"/>
          <cell r="AI61"/>
          <cell r="AJ61"/>
        </row>
        <row r="62">
          <cell r="AH62"/>
          <cell r="AI62"/>
          <cell r="AJ62"/>
        </row>
        <row r="63">
          <cell r="AH63"/>
          <cell r="AI63"/>
          <cell r="AJ63"/>
        </row>
        <row r="64">
          <cell r="AH64"/>
          <cell r="AI64"/>
          <cell r="AJ64"/>
        </row>
        <row r="65">
          <cell r="AH65"/>
          <cell r="AI65"/>
          <cell r="AJ65"/>
        </row>
        <row r="66">
          <cell r="AH66"/>
          <cell r="AI66"/>
          <cell r="AJ66"/>
        </row>
        <row r="67">
          <cell r="AH67"/>
          <cell r="AI67"/>
          <cell r="AJ67"/>
        </row>
        <row r="68">
          <cell r="AH68"/>
          <cell r="AI68"/>
          <cell r="AJ68"/>
        </row>
        <row r="69">
          <cell r="AH69"/>
          <cell r="AI69"/>
          <cell r="AJ69"/>
        </row>
        <row r="70">
          <cell r="AH70"/>
          <cell r="AI70"/>
          <cell r="AJ70"/>
        </row>
        <row r="71">
          <cell r="AH71"/>
          <cell r="AI71"/>
          <cell r="AJ71"/>
        </row>
        <row r="72">
          <cell r="AH72"/>
          <cell r="AI72"/>
          <cell r="AJ72"/>
        </row>
        <row r="73">
          <cell r="AH73"/>
          <cell r="AI73"/>
          <cell r="AJ73"/>
        </row>
        <row r="74">
          <cell r="AH74"/>
          <cell r="AI74"/>
          <cell r="AJ74"/>
        </row>
        <row r="75">
          <cell r="AH75"/>
          <cell r="AI75"/>
          <cell r="AJ75"/>
        </row>
        <row r="76">
          <cell r="AH76"/>
          <cell r="AI76"/>
          <cell r="AJ76"/>
        </row>
        <row r="77">
          <cell r="AH77"/>
          <cell r="AI77"/>
          <cell r="AJ77"/>
        </row>
        <row r="78">
          <cell r="AH78"/>
          <cell r="AI78"/>
          <cell r="AJ78"/>
        </row>
        <row r="79">
          <cell r="AH79"/>
          <cell r="AI79"/>
          <cell r="AJ79"/>
        </row>
        <row r="80">
          <cell r="AH80"/>
          <cell r="AI80"/>
          <cell r="AJ80"/>
        </row>
        <row r="81">
          <cell r="AH81"/>
          <cell r="AI81"/>
          <cell r="AJ81"/>
        </row>
        <row r="82">
          <cell r="AH82"/>
          <cell r="AI82"/>
          <cell r="AJ82"/>
        </row>
        <row r="83">
          <cell r="AH83"/>
          <cell r="AI83"/>
          <cell r="AJ83"/>
        </row>
        <row r="84">
          <cell r="AH84"/>
          <cell r="AI84"/>
          <cell r="AJ84"/>
        </row>
        <row r="85">
          <cell r="AH85"/>
          <cell r="AI85"/>
          <cell r="AJ85"/>
        </row>
        <row r="86">
          <cell r="AH86"/>
          <cell r="AI86"/>
          <cell r="AJ86"/>
        </row>
        <row r="87">
          <cell r="AH87"/>
          <cell r="AI87"/>
          <cell r="AJ87"/>
        </row>
        <row r="88">
          <cell r="AH88"/>
          <cell r="AI88"/>
          <cell r="AJ88"/>
        </row>
        <row r="89">
          <cell r="AH89"/>
          <cell r="AI89"/>
          <cell r="AJ89"/>
        </row>
        <row r="90">
          <cell r="AH90"/>
          <cell r="AI90"/>
          <cell r="AJ90"/>
        </row>
        <row r="91">
          <cell r="AH91"/>
          <cell r="AI91"/>
          <cell r="AJ91"/>
        </row>
        <row r="92">
          <cell r="AH92"/>
          <cell r="AI92"/>
          <cell r="AJ92"/>
        </row>
        <row r="93">
          <cell r="AH93"/>
          <cell r="AI93"/>
          <cell r="AJ93"/>
        </row>
        <row r="94">
          <cell r="AH94"/>
          <cell r="AI94"/>
          <cell r="AJ94"/>
        </row>
        <row r="95">
          <cell r="AH95"/>
          <cell r="AI95"/>
          <cell r="AJ95"/>
        </row>
        <row r="96">
          <cell r="AH96"/>
          <cell r="AI96"/>
          <cell r="AJ96"/>
        </row>
        <row r="97">
          <cell r="AH97"/>
          <cell r="AI97"/>
          <cell r="AJ97"/>
        </row>
        <row r="98">
          <cell r="AH98"/>
          <cell r="AI98"/>
          <cell r="AJ98"/>
        </row>
        <row r="99">
          <cell r="AH99"/>
          <cell r="AI99"/>
          <cell r="AJ99"/>
        </row>
        <row r="100">
          <cell r="AH100"/>
          <cell r="AI100"/>
          <cell r="AJ100"/>
        </row>
        <row r="101">
          <cell r="AH101"/>
          <cell r="AI101"/>
          <cell r="AJ101"/>
        </row>
        <row r="102">
          <cell r="AH102"/>
          <cell r="AI102"/>
          <cell r="AJ102"/>
        </row>
        <row r="103">
          <cell r="AH103"/>
          <cell r="AI103"/>
          <cell r="AJ103"/>
        </row>
        <row r="104">
          <cell r="AH104"/>
          <cell r="AI104"/>
          <cell r="AJ104"/>
        </row>
        <row r="105">
          <cell r="AH105"/>
          <cell r="AI105"/>
          <cell r="AJ105"/>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2">
          <cell r="DJ2"/>
          <cell r="DK2"/>
          <cell r="DL2"/>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0">
          <cell r="DJ30"/>
          <cell r="DK30"/>
          <cell r="DL30"/>
        </row>
        <row r="31">
          <cell r="DJ31"/>
          <cell r="DK31"/>
          <cell r="DL31"/>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59">
          <cell r="DJ59"/>
          <cell r="DK59"/>
          <cell r="DL59"/>
        </row>
        <row r="60">
          <cell r="DJ60"/>
          <cell r="DK60"/>
          <cell r="DL60"/>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88">
          <cell r="DJ88"/>
          <cell r="DK88"/>
          <cell r="DL88"/>
        </row>
        <row r="89">
          <cell r="DJ89"/>
          <cell r="DK89"/>
          <cell r="DL89"/>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7">
          <cell r="DJ117"/>
          <cell r="DK117"/>
          <cell r="DL117"/>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2">
          <cell r="DF2"/>
          <cell r="DG2"/>
          <cell r="DH2"/>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2">
          <cell r="DJ2"/>
          <cell r="DK2"/>
          <cell r="DL2"/>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2">
          <cell r="DJ2"/>
          <cell r="DK2"/>
          <cell r="DL2"/>
        </row>
        <row r="3">
          <cell r="DJ3" t="str">
            <v>Million cubic meters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2">
          <cell r="DJ2"/>
          <cell r="DK2"/>
          <cell r="DL2"/>
        </row>
        <row r="3">
          <cell r="DJ3" t="str">
            <v>Million cubic metres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cell r="DK167"/>
          <cell r="DL167"/>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cell r="DK335"/>
          <cell r="DL335"/>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2">
          <cell r="DJ2"/>
          <cell r="DK2"/>
          <cell r="DL2"/>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2">
          <cell r="DL2"/>
        </row>
        <row r="3">
          <cell r="DJ3" t="str">
            <v>Million cubic metres</v>
          </cell>
          <cell r="DK3" t="str">
            <v>Millions mètres cube</v>
          </cell>
          <cell r="DL3" t="str">
            <v>Миллионы кубических метров</v>
          </cell>
        </row>
        <row r="167">
          <cell r="DJ167"/>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row r="336">
          <cell r="DK336"/>
        </row>
        <row r="337">
          <cell r="DK337"/>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kblatt"/>
      <sheetName val="Grundbegriffe"/>
      <sheetName val="Klassifikation"/>
      <sheetName val="Kokskohle"/>
      <sheetName val="Anthrazit"/>
      <sheetName val="Steinkohlen-Briketts"/>
      <sheetName val="Sonstige Steinkohle"/>
      <sheetName val="Steinkohle"/>
      <sheetName val="Subbituminöse Kohle"/>
      <sheetName val="Sonstige Braunkohle"/>
      <sheetName val="Braunkohle"/>
      <sheetName val="Braunkohlen-Briketts"/>
      <sheetName val="Brenntorf"/>
      <sheetName val="Koks"/>
      <sheetName val="Rohöl"/>
      <sheetName val="NGL"/>
      <sheetName val="Erdöl"/>
      <sheetName val="Steinkohleteer"/>
      <sheetName val="Benzol"/>
      <sheetName val="Feedstocks"/>
      <sheetName val="Sonstiger Raffinerieeinsatz"/>
      <sheetName val="Motorbenzin"/>
      <sheetName val="Industriebenzin"/>
      <sheetName val="Flugbenzin"/>
      <sheetName val="Benzin"/>
      <sheetName val="Flugturbinenkraftstoff"/>
      <sheetName val="Sonstiges Petroleum"/>
      <sheetName val="Petroleum"/>
      <sheetName val="Diesel"/>
      <sheetName val="Gasöl für Heizzwecke"/>
      <sheetName val="Heizöl&lt;1%"/>
      <sheetName val="Heizöl&gt;1%"/>
      <sheetName val="Heizöl"/>
      <sheetName val="Flüssiggas"/>
      <sheetName val="Naphta"/>
      <sheetName val="Bitumen"/>
      <sheetName val="Schmiermittel"/>
      <sheetName val="Petrolkoks"/>
      <sheetName val="Sonstige"/>
      <sheetName val="Sonstige Prod. d. Erdölverarb."/>
      <sheetName val="Raffinerie-Restgas"/>
      <sheetName val="Mischgas"/>
      <sheetName val="Erdgas"/>
      <sheetName val="Generatorgas"/>
      <sheetName val="Tiegelgas"/>
      <sheetName val="Hochofengas"/>
      <sheetName val="Gichtgas"/>
      <sheetName val="Kokereigas"/>
      <sheetName val="Industrieabfall"/>
      <sheetName val="Hausmüll nicht erneuerbar"/>
      <sheetName val="Brennbare Abfälle"/>
      <sheetName val="Scheitholz"/>
      <sheetName val="Hausmüll Bioanteil"/>
      <sheetName val="Pellets+Holzbriketts"/>
      <sheetName val="Holzabfall"/>
      <sheetName val="Holzkohle"/>
      <sheetName val="Ablaugen"/>
      <sheetName val="Deponiegas"/>
      <sheetName val="Klärgas"/>
      <sheetName val="Biogas"/>
      <sheetName val="Bioethanol"/>
      <sheetName val="Biodiesel"/>
      <sheetName val="Sonst. Biogene flüssig"/>
      <sheetName val="Sonst. Biogene fest"/>
      <sheetName val="Biogene Brenn- u. Treibstoffe"/>
      <sheetName val="Geothermie"/>
      <sheetName val="Umgebungswärme"/>
      <sheetName val="Solarwärme"/>
      <sheetName val="Reaktionswärme"/>
      <sheetName val="Umgebungswärme etc."/>
      <sheetName val="WK&lt;=1MW"/>
      <sheetName val="WK&lt;=10MW"/>
      <sheetName val="WK&gt;10MW"/>
      <sheetName val="Wasserkraft"/>
      <sheetName val="Wind"/>
      <sheetName val="Photovoltaik"/>
      <sheetName val="Wind und Photovoltaik"/>
      <sheetName val="Fernwärme"/>
      <sheetName val="Elektrische Energie"/>
      <sheetName val="KOHLE"/>
      <sheetName val="ÖL"/>
      <sheetName val="GAS"/>
      <sheetName val="ERNEUERBARE"/>
      <sheetName val="ABFÄLLE"/>
      <sheetName val="Gesamtenergiebilanz"/>
      <sheetName val="Wirkungsgrade"/>
      <sheetName val="Erneuerbare EU-Richtlinie"/>
      <sheetName val="checkFormal"/>
      <sheetName val="Erneuerbare_SHAR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ow r="222">
          <cell r="AP222">
            <v>2570.7165031448549</v>
          </cell>
          <cell r="AQ222">
            <v>1670.128287946648</v>
          </cell>
          <cell r="AR222">
            <v>1756.9985830132446</v>
          </cell>
          <cell r="AS222">
            <v>1331.597900754186</v>
          </cell>
          <cell r="AT222">
            <v>1133.7910847992805</v>
          </cell>
          <cell r="AU222">
            <v>895.12021014270601</v>
          </cell>
          <cell r="AV222">
            <v>860.00528774529778</v>
          </cell>
          <cell r="AW222">
            <v>928.14217076994396</v>
          </cell>
          <cell r="AX222">
            <v>828.05402318314577</v>
          </cell>
        </row>
      </sheetData>
      <sheetData sheetId="80">
        <row r="222">
          <cell r="AP222">
            <v>55880.613079580355</v>
          </cell>
          <cell r="AQ222">
            <v>48338.446624728</v>
          </cell>
          <cell r="AR222">
            <v>44005.813280148352</v>
          </cell>
          <cell r="AS222">
            <v>47326.516100611567</v>
          </cell>
          <cell r="AT222">
            <v>41461.594254566764</v>
          </cell>
          <cell r="AU222">
            <v>43194.773198959789</v>
          </cell>
          <cell r="AV222">
            <v>42845.338423911664</v>
          </cell>
          <cell r="AW222">
            <v>43371.648942716696</v>
          </cell>
          <cell r="AX222">
            <v>39077.198461097425</v>
          </cell>
        </row>
      </sheetData>
      <sheetData sheetId="81"/>
      <sheetData sheetId="82"/>
      <sheetData sheetId="83"/>
      <sheetData sheetId="84"/>
      <sheetData sheetId="85"/>
      <sheetData sheetId="86"/>
      <sheetData sheetId="87"/>
      <sheetData sheetId="8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a"/>
      <sheetName val="Table3b"/>
      <sheetName val="Table3"/>
      <sheetName val="Table4"/>
      <sheetName val="Table5"/>
      <sheetName val="Table 6 (kt)"/>
      <sheetName val="Table 6 (Bbl)"/>
      <sheetName val="Remarks"/>
      <sheetName val="Parameter_mapping"/>
      <sheetName val="Parameters"/>
      <sheetName val="Parameters_table6"/>
      <sheetName val="Crude oil"/>
      <sheetName val="Natural gas liquids"/>
      <sheetName val="Refinery feedstocks"/>
      <sheetName val="Additives-oxygenates"/>
      <sheetName val="Of which biofuels"/>
      <sheetName val="Other hydrocarbons"/>
      <sheetName val="Total - crngfeed"/>
      <sheetName val="Refinery gas"/>
      <sheetName val="Ethane"/>
      <sheetName val="LPG"/>
      <sheetName val="Naphtha"/>
      <sheetName val="Total motor gasoline"/>
      <sheetName val="Biogasoline"/>
      <sheetName val="Non biogasoline"/>
      <sheetName val="Aviation gasoline"/>
      <sheetName val="Gasoline type jet fuel"/>
      <sheetName val="Kerosene type jet fuel"/>
      <sheetName val="Bio jet kerosene"/>
      <sheetName val="Non-bio jet kerosene"/>
      <sheetName val="Other kerosene"/>
      <sheetName val="Road diesel"/>
      <sheetName val="Heating and other gasoil"/>
      <sheetName val="Gas-Diesel Oil"/>
      <sheetName val="Biodiesel"/>
      <sheetName val="Non-bio gasdiesel oil"/>
      <sheetName val="Total fuel oil"/>
      <sheetName val="Fuel oil - low sulphur"/>
      <sheetName val="Fuel oil - high sulphur"/>
      <sheetName val="White spirit SBP"/>
      <sheetName val="Lubricants"/>
      <sheetName val="Bitumen"/>
      <sheetName val="Paraffin wax"/>
      <sheetName val="Petroleum coke"/>
      <sheetName val="Other products"/>
      <sheetName val="Total products"/>
      <sheetName val="2018-Errors"/>
      <sheetName val="2008-Errors"/>
      <sheetName val="2007-Errors"/>
      <sheetName val="2005-Erro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32">
          <cell r="Y32">
            <v>46000</v>
          </cell>
          <cell r="Z32">
            <v>46000</v>
          </cell>
          <cell r="AA32">
            <v>46120</v>
          </cell>
          <cell r="AB32">
            <v>46000</v>
          </cell>
          <cell r="AC32">
            <v>46120</v>
          </cell>
          <cell r="AD32">
            <v>46120</v>
          </cell>
          <cell r="AE32">
            <v>46120</v>
          </cell>
          <cell r="AF32">
            <v>46120</v>
          </cell>
          <cell r="AG32">
            <v>46120</v>
          </cell>
        </row>
      </sheetData>
      <sheetData sheetId="27"/>
      <sheetData sheetId="28"/>
      <sheetData sheetId="29">
        <row r="11">
          <cell r="U11">
            <v>9.32</v>
          </cell>
        </row>
      </sheetData>
      <sheetData sheetId="30"/>
      <sheetData sheetId="31"/>
      <sheetData sheetId="32"/>
      <sheetData sheetId="33"/>
      <sheetData sheetId="34"/>
      <sheetData sheetId="35"/>
      <sheetData sheetId="36"/>
      <sheetData sheetId="37"/>
      <sheetData sheetId="38">
        <row r="32">
          <cell r="Y32">
            <v>42800</v>
          </cell>
          <cell r="Z32">
            <v>42800</v>
          </cell>
          <cell r="AA32">
            <v>42790.445</v>
          </cell>
          <cell r="AB32">
            <v>42788</v>
          </cell>
          <cell r="AC32">
            <v>42940</v>
          </cell>
          <cell r="AD32">
            <v>42940.004999999997</v>
          </cell>
          <cell r="AE32">
            <v>42803.993000000002</v>
          </cell>
          <cell r="AF32">
            <v>42804</v>
          </cell>
          <cell r="AG32">
            <v>42804</v>
          </cell>
        </row>
      </sheetData>
      <sheetData sheetId="39">
        <row r="92">
          <cell r="Y92">
            <v>1240.9880000000001</v>
          </cell>
        </row>
      </sheetData>
      <sheetData sheetId="40"/>
      <sheetData sheetId="41"/>
      <sheetData sheetId="42"/>
      <sheetData sheetId="43"/>
      <sheetData sheetId="44"/>
      <sheetData sheetId="45"/>
      <sheetData sheetId="46"/>
      <sheetData sheetId="47"/>
      <sheetData sheetId="48"/>
      <sheetData sheetId="49"/>
      <sheetData sheetId="50"/>
      <sheetData sheetId="51">
        <row r="198">
          <cell r="Y198">
            <v>1304.585</v>
          </cell>
        </row>
      </sheetData>
      <sheetData sheetId="52"/>
      <sheetData sheetId="53"/>
      <sheetData sheetId="54"/>
      <sheetData sheetId="5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D15" sqref="D15"/>
    </sheetView>
  </sheetViews>
  <sheetFormatPr defaultColWidth="9.140625"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47</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K9" sqref="K9"/>
    </sheetView>
  </sheetViews>
  <sheetFormatPr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0" t="s">
        <v>0</v>
      </c>
      <c r="B1" s="171"/>
      <c r="C1" s="20"/>
      <c r="D1" s="1"/>
      <c r="E1" s="2"/>
      <c r="F1" s="2"/>
      <c r="G1" s="2"/>
      <c r="H1" s="2"/>
      <c r="I1" s="2"/>
      <c r="J1" s="2"/>
      <c r="K1" s="2"/>
      <c r="L1" s="2"/>
      <c r="M1" s="2"/>
      <c r="N1" s="2"/>
      <c r="O1" s="2"/>
    </row>
    <row r="2" spans="1:134" ht="18" customHeight="1" x14ac:dyDescent="0.25">
      <c r="A2" s="172"/>
      <c r="B2" s="173"/>
      <c r="C2" s="1"/>
      <c r="D2" s="1"/>
      <c r="E2" s="5"/>
      <c r="F2" s="3"/>
      <c r="G2" s="3"/>
      <c r="H2" s="3"/>
      <c r="I2" s="3"/>
      <c r="J2" s="3"/>
      <c r="K2" s="3"/>
      <c r="L2" s="3"/>
      <c r="M2" s="3"/>
      <c r="N2" s="3"/>
      <c r="O2" s="3"/>
    </row>
    <row r="3" spans="1:134" ht="18" customHeight="1" x14ac:dyDescent="0.3">
      <c r="A3" s="174" t="s">
        <v>12</v>
      </c>
      <c r="B3" s="175"/>
      <c r="C3" s="1"/>
      <c r="D3" s="1"/>
      <c r="E3" s="5"/>
      <c r="F3" s="3"/>
      <c r="G3" s="3"/>
      <c r="H3" s="3"/>
      <c r="I3" s="3"/>
      <c r="J3" s="3"/>
      <c r="K3" s="3"/>
      <c r="L3" s="3"/>
      <c r="M3" s="3"/>
      <c r="N3" s="3"/>
      <c r="O3" s="3"/>
      <c r="DS3" s="4" t="s">
        <v>229</v>
      </c>
    </row>
    <row r="4" spans="1:134" ht="18" customHeight="1" x14ac:dyDescent="0.25">
      <c r="A4" s="176"/>
      <c r="B4" s="173"/>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7" t="s">
        <v>3</v>
      </c>
      <c r="B5" s="178"/>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80"/>
      <c r="C6" s="47"/>
      <c r="D6" s="48"/>
      <c r="E6" s="49"/>
      <c r="F6" s="49"/>
      <c r="G6" s="49"/>
      <c r="H6" s="49"/>
      <c r="I6" s="49"/>
      <c r="J6" s="49"/>
      <c r="K6" s="49"/>
      <c r="L6" s="49"/>
      <c r="M6" s="49"/>
      <c r="N6" s="49"/>
      <c r="O6" s="49"/>
      <c r="DS6" s="4" t="str">
        <f>VLOOKUP(Cover!$D$15, Country_list!$B$3:$C$44, 2, 0)</f>
        <v>AT</v>
      </c>
      <c r="DV6" s="4" t="s">
        <v>298</v>
      </c>
    </row>
    <row r="7" spans="1:134" ht="24" customHeight="1" x14ac:dyDescent="0.2">
      <c r="A7" s="182" t="s">
        <v>15</v>
      </c>
      <c r="B7" s="183"/>
      <c r="C7" s="45"/>
      <c r="D7" s="15"/>
      <c r="E7" s="46"/>
      <c r="F7" s="46"/>
      <c r="G7" s="46"/>
      <c r="H7" s="46"/>
      <c r="I7" s="46"/>
      <c r="J7" s="46"/>
      <c r="K7" s="46"/>
      <c r="L7" s="46"/>
      <c r="M7" s="46"/>
      <c r="N7" s="46"/>
      <c r="O7" s="46"/>
    </row>
    <row r="8" spans="1:134" ht="24" customHeight="1" x14ac:dyDescent="0.2">
      <c r="A8" s="182" t="s">
        <v>29</v>
      </c>
      <c r="B8" s="183"/>
      <c r="C8" s="45"/>
      <c r="D8" s="15"/>
      <c r="E8" s="46"/>
      <c r="F8" s="46"/>
      <c r="G8" s="46"/>
      <c r="H8" s="46"/>
      <c r="I8" s="46"/>
      <c r="J8" s="46"/>
      <c r="K8" s="46"/>
      <c r="L8" s="46"/>
      <c r="M8" s="46"/>
      <c r="N8" s="46"/>
      <c r="O8" s="46"/>
    </row>
    <row r="9" spans="1:134" ht="24" customHeight="1" x14ac:dyDescent="0.2">
      <c r="A9" s="182" t="s">
        <v>156</v>
      </c>
      <c r="B9" s="183"/>
      <c r="C9" s="9" t="s">
        <v>132</v>
      </c>
      <c r="D9" s="93">
        <f>[4]KOHLE!AP$222/('1a_SpaceHeating'!D9+'1c_WaterHeating'!D9+'1d_Cooking'!D9)*1000</f>
        <v>25530.49401287943</v>
      </c>
      <c r="E9" s="93">
        <f>[4]KOHLE!AQ$222/('1a_SpaceHeating'!E9+'1c_WaterHeating'!E9+'1d_Cooking'!E9)*1000</f>
        <v>25448.410555656854</v>
      </c>
      <c r="F9" s="93">
        <f>[4]KOHLE!AR$222/('1a_SpaceHeating'!F9+'1c_WaterHeating'!F9+'1d_Cooking'!F9)*1000</f>
        <v>25740.551774345055</v>
      </c>
      <c r="G9" s="93">
        <f>[4]KOHLE!AS$222/('1a_SpaceHeating'!G9+'1c_WaterHeating'!G9+'1d_Cooking'!G9)*1000</f>
        <v>25240.691120520623</v>
      </c>
      <c r="H9" s="93">
        <f>[4]KOHLE!AT$222/('1a_SpaceHeating'!H9+'1c_WaterHeating'!H9+'1d_Cooking'!H9)*1000</f>
        <v>25690.324355907836</v>
      </c>
      <c r="I9" s="93">
        <f>[4]KOHLE!AU$222/('1a_SpaceHeating'!I9+'1c_WaterHeating'!I9+'1d_Cooking'!I9)*1000</f>
        <v>25015.236568837321</v>
      </c>
      <c r="J9" s="93">
        <f>[4]KOHLE!AV$222/('1a_SpaceHeating'!J9+'1c_WaterHeating'!J9+'1d_Cooking'!J9)*1000</f>
        <v>25745.578006984128</v>
      </c>
      <c r="K9" s="93">
        <f>[4]KOHLE!AW$222/('1a_SpaceHeating'!K9+'1c_WaterHeating'!K9+'1d_Cooking'!K9)*1000</f>
        <v>24827.256868444896</v>
      </c>
      <c r="L9" s="93">
        <f>[4]KOHLE!AX$222/('1a_SpaceHeating'!L9+'1c_WaterHeating'!L9+'1d_Cooking'!L9)*1000</f>
        <v>24723.934766008177</v>
      </c>
      <c r="M9" s="94"/>
      <c r="N9" s="94"/>
      <c r="O9" s="94"/>
      <c r="DT9" s="4" t="s">
        <v>279</v>
      </c>
      <c r="EB9" s="4" t="s">
        <v>300</v>
      </c>
      <c r="ED9" s="4" t="s">
        <v>301</v>
      </c>
    </row>
    <row r="10" spans="1:134" ht="24" customHeight="1" x14ac:dyDescent="0.2">
      <c r="A10" s="182" t="s">
        <v>20</v>
      </c>
      <c r="B10" s="183"/>
      <c r="C10" s="9" t="s">
        <v>132</v>
      </c>
      <c r="D10" s="93">
        <f>[4]ÖL!AP$222/('1a_SpaceHeating'!D10+'1c_WaterHeating'!D10+'1d_Cooking'!D10)*1000</f>
        <v>42834.014709336952</v>
      </c>
      <c r="E10" s="93">
        <f>[4]ÖL!AQ$222/('1a_SpaceHeating'!E10+'1c_WaterHeating'!E10+'1d_Cooking'!E10)*1000</f>
        <v>42840.547767529824</v>
      </c>
      <c r="F10" s="93">
        <f>[4]ÖL!AR$222/('1a_SpaceHeating'!F10+'1c_WaterHeating'!F10+'1d_Cooking'!F10)*1000</f>
        <v>42851.062838769205</v>
      </c>
      <c r="G10" s="93">
        <f>[4]ÖL!AS$222/('1a_SpaceHeating'!G10+'1c_WaterHeating'!G10+'1d_Cooking'!G10)*1000</f>
        <v>42858.826326667142</v>
      </c>
      <c r="H10" s="93">
        <f>[4]ÖL!AT$222/('1a_SpaceHeating'!H10+'1c_WaterHeating'!H10+'1d_Cooking'!H10)*1000</f>
        <v>43013.656004165052</v>
      </c>
      <c r="I10" s="93">
        <f>[4]ÖL!AU$222/('1a_SpaceHeating'!I10+'1c_WaterHeating'!I10+'1d_Cooking'!I10)*1000</f>
        <v>43011.415534536063</v>
      </c>
      <c r="J10" s="93">
        <f>[4]ÖL!AV$222/('1a_SpaceHeating'!J10+'1c_WaterHeating'!J10+'1d_Cooking'!J10)*1000</f>
        <v>42877.582365850787</v>
      </c>
      <c r="K10" s="93">
        <f>[4]ÖL!AW$222/('1a_SpaceHeating'!K10+'1c_WaterHeating'!K10+'1d_Cooking'!K10)*1000</f>
        <v>42892.369604753185</v>
      </c>
      <c r="L10" s="93">
        <f>[4]ÖL!AX$222/('1a_SpaceHeating'!L10+'1c_WaterHeating'!L10+'1d_Cooking'!L10)*1000</f>
        <v>42895.121659525117</v>
      </c>
      <c r="M10" s="94"/>
      <c r="N10" s="94"/>
      <c r="O10" s="94"/>
      <c r="DT10" s="4" t="s">
        <v>280</v>
      </c>
      <c r="EB10" s="4" t="s">
        <v>300</v>
      </c>
      <c r="ED10" s="4" t="s">
        <v>301</v>
      </c>
    </row>
    <row r="11" spans="1:134" s="13" customFormat="1" ht="15" customHeight="1" x14ac:dyDescent="0.2">
      <c r="A11" s="181" t="s">
        <v>18</v>
      </c>
      <c r="B11" s="110" t="s">
        <v>21</v>
      </c>
      <c r="C11" s="111" t="s">
        <v>132</v>
      </c>
      <c r="D11" s="115">
        <f>[5]LPG!Y$32</f>
        <v>46000</v>
      </c>
      <c r="E11" s="115">
        <f>[5]LPG!Z$32</f>
        <v>46000</v>
      </c>
      <c r="F11" s="115">
        <f>[5]LPG!AA$32</f>
        <v>46120</v>
      </c>
      <c r="G11" s="115">
        <f>[5]LPG!AB$32</f>
        <v>46000</v>
      </c>
      <c r="H11" s="115">
        <f>[5]LPG!AC$32</f>
        <v>46120</v>
      </c>
      <c r="I11" s="115">
        <f>[5]LPG!AD$32</f>
        <v>46120</v>
      </c>
      <c r="J11" s="115">
        <f>[5]LPG!AE$32</f>
        <v>46120</v>
      </c>
      <c r="K11" s="115">
        <f>[5]LPG!AF$32</f>
        <v>46120</v>
      </c>
      <c r="L11" s="115">
        <f>[5]LPG!AG$32</f>
        <v>46120</v>
      </c>
      <c r="M11" s="116"/>
      <c r="N11" s="116"/>
      <c r="O11" s="116"/>
      <c r="DT11" s="13" t="s">
        <v>281</v>
      </c>
      <c r="EB11" s="13" t="s">
        <v>300</v>
      </c>
      <c r="ED11" s="13" t="s">
        <v>301</v>
      </c>
    </row>
    <row r="12" spans="1:134" s="13" customFormat="1" ht="15" customHeight="1" x14ac:dyDescent="0.2">
      <c r="A12" s="181"/>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81"/>
      <c r="B13" s="110" t="s">
        <v>23</v>
      </c>
      <c r="C13" s="111" t="s">
        <v>132</v>
      </c>
      <c r="D13" s="115">
        <f>'[5]Heating and other gasoil'!Y$32</f>
        <v>42800</v>
      </c>
      <c r="E13" s="115">
        <f>'[5]Heating and other gasoil'!Z$32</f>
        <v>42800</v>
      </c>
      <c r="F13" s="115">
        <f>'[5]Heating and other gasoil'!AA$32</f>
        <v>42790.445</v>
      </c>
      <c r="G13" s="115">
        <f>'[5]Heating and other gasoil'!AB$32</f>
        <v>42788</v>
      </c>
      <c r="H13" s="115">
        <f>'[5]Heating and other gasoil'!AC$32</f>
        <v>42940</v>
      </c>
      <c r="I13" s="115">
        <f>'[5]Heating and other gasoil'!AD$32</f>
        <v>42940.004999999997</v>
      </c>
      <c r="J13" s="115">
        <f>'[5]Heating and other gasoil'!AE$32</f>
        <v>42803.993000000002</v>
      </c>
      <c r="K13" s="115">
        <f>'[5]Heating and other gasoil'!AF$32</f>
        <v>42804</v>
      </c>
      <c r="L13" s="115">
        <f>'[5]Heating and other gasoil'!AG$32</f>
        <v>42804</v>
      </c>
      <c r="M13" s="115"/>
      <c r="N13" s="115"/>
      <c r="O13" s="115"/>
      <c r="DT13" s="13" t="s">
        <v>283</v>
      </c>
      <c r="EB13" s="13" t="s">
        <v>300</v>
      </c>
      <c r="ED13" s="13" t="s">
        <v>301</v>
      </c>
    </row>
    <row r="14" spans="1:134" ht="24" customHeight="1" x14ac:dyDescent="0.2">
      <c r="A14" s="182" t="s">
        <v>24</v>
      </c>
      <c r="B14" s="183"/>
      <c r="C14" s="45"/>
      <c r="D14" s="15"/>
      <c r="E14" s="46"/>
      <c r="F14" s="46"/>
      <c r="G14" s="46"/>
      <c r="H14" s="46"/>
      <c r="I14" s="46"/>
      <c r="J14" s="46"/>
      <c r="K14" s="46"/>
      <c r="L14" s="46"/>
      <c r="M14" s="46"/>
      <c r="N14" s="46"/>
      <c r="O14" s="46"/>
    </row>
    <row r="15" spans="1:134" s="13" customFormat="1" ht="15" customHeight="1" x14ac:dyDescent="0.2">
      <c r="A15" s="181" t="s">
        <v>18</v>
      </c>
      <c r="B15" s="110" t="s">
        <v>26</v>
      </c>
      <c r="C15" s="14"/>
      <c r="D15" s="15"/>
      <c r="E15" s="12"/>
      <c r="F15" s="12"/>
      <c r="G15" s="12"/>
      <c r="H15" s="12"/>
      <c r="I15" s="12"/>
      <c r="J15" s="12"/>
      <c r="K15" s="12"/>
      <c r="L15" s="12"/>
      <c r="M15" s="12"/>
      <c r="N15" s="12"/>
      <c r="O15" s="12"/>
    </row>
    <row r="16" spans="1:134" s="13" customFormat="1" ht="15" customHeight="1" x14ac:dyDescent="0.2">
      <c r="A16" s="181"/>
      <c r="B16" s="110" t="s">
        <v>27</v>
      </c>
      <c r="C16" s="14"/>
      <c r="D16" s="15"/>
      <c r="E16" s="12"/>
      <c r="F16" s="12"/>
      <c r="G16" s="12"/>
      <c r="H16" s="12"/>
      <c r="I16" s="12"/>
      <c r="J16" s="12"/>
      <c r="K16" s="12"/>
      <c r="L16" s="12"/>
      <c r="M16" s="12"/>
      <c r="N16" s="12"/>
      <c r="O16" s="12"/>
    </row>
    <row r="17" spans="1:15" s="13" customFormat="1" ht="15" customHeight="1" x14ac:dyDescent="0.2">
      <c r="A17" s="181"/>
      <c r="B17" s="110" t="s">
        <v>28</v>
      </c>
      <c r="C17" s="14"/>
      <c r="D17" s="15"/>
      <c r="E17" s="12"/>
      <c r="F17" s="12"/>
      <c r="G17" s="12"/>
      <c r="H17" s="12"/>
      <c r="I17" s="12"/>
      <c r="J17" s="12"/>
      <c r="K17" s="12"/>
      <c r="L17" s="12"/>
      <c r="M17" s="12"/>
      <c r="N17" s="12"/>
      <c r="O17" s="12"/>
    </row>
    <row r="18" spans="1:15" s="13" customFormat="1" ht="15" customHeight="1" x14ac:dyDescent="0.2">
      <c r="A18" s="181"/>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5" sqref="D15:D18"/>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Austria</v>
      </c>
      <c r="D2" s="1"/>
      <c r="E2" s="5"/>
      <c r="F2" s="3"/>
      <c r="G2" s="3"/>
      <c r="H2" s="3"/>
      <c r="I2" s="3"/>
      <c r="J2" s="3"/>
      <c r="K2" s="3"/>
    </row>
    <row r="3" spans="1:11" ht="18" customHeight="1" x14ac:dyDescent="0.25">
      <c r="A3" s="190" t="s">
        <v>2</v>
      </c>
      <c r="B3" s="192"/>
      <c r="C3" s="114">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14</v>
      </c>
      <c r="D6" s="120">
        <f ca="1">SUM(E6:J6)</f>
        <v>17711.332999999999</v>
      </c>
      <c r="E6" s="121">
        <f ca="1">INDIRECT(ADDRESS(ROW(K6),$C$3 -2010 + 4,,,"1a_SpaceHeating"))</f>
        <v>2482.3922438501731</v>
      </c>
      <c r="F6" s="121">
        <f ca="1">INDIRECT(ADDRESS(ROW(K6),$C$3-2010+4,,,"1b_SpaceCooling"))</f>
        <v>7.8544352710320142</v>
      </c>
      <c r="G6" s="121">
        <f ca="1">INDIRECT(ADDRESS(ROW(K6),$C$3-2010+4,,,"1c_WaterHeating"))</f>
        <v>3197.7796171153959</v>
      </c>
      <c r="H6" s="121">
        <f ca="1">INDIRECT(ADDRESS(ROW(K6),$C$3-2010+4,,,"1d_Cooking"))</f>
        <v>1826.9433169354204</v>
      </c>
      <c r="I6" s="121">
        <f ca="1">INDIRECT(ADDRESS(ROW(K6),$C$3-2010+4,,,"1e_LightingAndAppliances"))</f>
        <v>7815.5858674405663</v>
      </c>
      <c r="J6" s="121">
        <f ca="1">INDIRECT(ADDRESS(ROW(K6),$C$3-2010+4,,,"1f_OtherEndUses"))</f>
        <v>2380.7775193874131</v>
      </c>
      <c r="K6" s="122"/>
    </row>
    <row r="7" spans="1:11" ht="24" customHeight="1" x14ac:dyDescent="0.25">
      <c r="A7" s="185" t="s">
        <v>15</v>
      </c>
      <c r="B7" s="186"/>
      <c r="C7" s="109" t="s">
        <v>16</v>
      </c>
      <c r="D7" s="123">
        <f t="shared" ref="D7:D16" ca="1" si="0">SUM(E7:J7)</f>
        <v>32007.09</v>
      </c>
      <c r="E7" s="124">
        <f t="shared" ref="E7:E16" ca="1" si="1">INDIRECT(ADDRESS(ROW(K7),$C$3 -2010 + 4,,,"1a_SpaceHeating"))</f>
        <v>27262.293173621027</v>
      </c>
      <c r="F7" s="125"/>
      <c r="G7" s="124">
        <f t="shared" ref="G7:G16" ca="1" si="2">INDIRECT(ADDRESS(ROW(K7),$C$3-2010+4,,,"1c_WaterHeating"))</f>
        <v>4744.7968263789735</v>
      </c>
      <c r="H7" s="124">
        <f t="shared" ref="H7:H16" ca="1" si="3">INDIRECT(ADDRESS(ROW(K7),$C$3-2010+4,,,"1d_Cooking"))</f>
        <v>0</v>
      </c>
      <c r="I7" s="125"/>
      <c r="J7" s="124">
        <f t="shared" ref="J7:J17" ca="1" si="4">INDIRECT(ADDRESS(ROW(K7),$C$3-2010+4,,,"1f_OtherEndUses"))</f>
        <v>0</v>
      </c>
      <c r="K7" s="125"/>
    </row>
    <row r="8" spans="1:11" ht="24" customHeight="1" x14ac:dyDescent="0.25">
      <c r="A8" s="185" t="s">
        <v>29</v>
      </c>
      <c r="B8" s="186"/>
      <c r="C8" s="109" t="s">
        <v>17</v>
      </c>
      <c r="D8" s="123">
        <f t="shared" ca="1" si="0"/>
        <v>62861.21</v>
      </c>
      <c r="E8" s="124">
        <f t="shared" ca="1" si="1"/>
        <v>54592.958170043246</v>
      </c>
      <c r="F8" s="125"/>
      <c r="G8" s="124">
        <f t="shared" ca="1" si="2"/>
        <v>7883.5077343834118</v>
      </c>
      <c r="H8" s="124">
        <f t="shared" ca="1" si="3"/>
        <v>384.74409557333883</v>
      </c>
      <c r="I8" s="125"/>
      <c r="J8" s="124">
        <f t="shared" ca="1" si="4"/>
        <v>0</v>
      </c>
      <c r="K8" s="125"/>
    </row>
    <row r="9" spans="1:11" ht="24" customHeight="1" x14ac:dyDescent="0.25">
      <c r="A9" s="185" t="s">
        <v>156</v>
      </c>
      <c r="B9" s="186"/>
      <c r="C9" s="109" t="s">
        <v>19</v>
      </c>
      <c r="D9" s="123">
        <f t="shared" ca="1" si="0"/>
        <v>33.491999999999997</v>
      </c>
      <c r="E9" s="124">
        <f t="shared" ca="1" si="1"/>
        <v>31.461918592742599</v>
      </c>
      <c r="F9" s="125"/>
      <c r="G9" s="124">
        <f t="shared" ca="1" si="2"/>
        <v>1.9333860176175934</v>
      </c>
      <c r="H9" s="124">
        <f t="shared" ca="1" si="3"/>
        <v>9.6695389639806839E-2</v>
      </c>
      <c r="I9" s="125"/>
      <c r="J9" s="124">
        <f t="shared" ca="1" si="4"/>
        <v>0</v>
      </c>
      <c r="K9" s="126">
        <f ca="1">INDIRECT(ADDRESS(ROW(K9),$C$3-2010+4,,,"Calorific_Values"))</f>
        <v>24723.934766008177</v>
      </c>
    </row>
    <row r="10" spans="1:11" ht="24" customHeight="1" x14ac:dyDescent="0.25">
      <c r="A10" s="185" t="s">
        <v>42</v>
      </c>
      <c r="B10" s="186"/>
      <c r="C10" s="109" t="s">
        <v>19</v>
      </c>
      <c r="D10" s="123">
        <f t="shared" ca="1" si="0"/>
        <v>910.99400000000003</v>
      </c>
      <c r="E10" s="124">
        <f t="shared" ca="1" si="1"/>
        <v>813.62975832968903</v>
      </c>
      <c r="F10" s="125"/>
      <c r="G10" s="124">
        <f t="shared" ca="1" si="2"/>
        <v>96.903150274493768</v>
      </c>
      <c r="H10" s="124">
        <f t="shared" ca="1" si="3"/>
        <v>0.46109139581716546</v>
      </c>
      <c r="I10" s="125"/>
      <c r="J10" s="124">
        <f t="shared" ca="1" si="4"/>
        <v>0</v>
      </c>
      <c r="K10" s="126">
        <f ca="1">INDIRECT(ADDRESS(ROW(K10),$C$3-2010+4,,,"Calorific_Values"))</f>
        <v>42895.121659525117</v>
      </c>
    </row>
    <row r="11" spans="1:11" s="34" customFormat="1" ht="15" customHeight="1" x14ac:dyDescent="0.25">
      <c r="A11" s="184" t="s">
        <v>18</v>
      </c>
      <c r="B11" s="10" t="s">
        <v>21</v>
      </c>
      <c r="C11" s="11" t="s">
        <v>19</v>
      </c>
      <c r="D11" s="127">
        <f t="shared" ca="1" si="0"/>
        <v>26.742000000000001</v>
      </c>
      <c r="E11" s="128">
        <f t="shared" ca="1" si="1"/>
        <v>23.547105230456399</v>
      </c>
      <c r="F11" s="129"/>
      <c r="G11" s="128">
        <f t="shared" ca="1" si="2"/>
        <v>2.7338033737264364</v>
      </c>
      <c r="H11" s="128">
        <f t="shared" ca="1" si="3"/>
        <v>0.46109139581716546</v>
      </c>
      <c r="I11" s="129"/>
      <c r="J11" s="128">
        <f t="shared" ca="1" si="4"/>
        <v>0</v>
      </c>
      <c r="K11" s="130">
        <f t="shared" ref="K11:K13" ca="1" si="5">INDIRECT(ADDRESS(ROW(K11),$C$3-2010+4,,,"Calorific_Values"))</f>
        <v>46120</v>
      </c>
    </row>
    <row r="12" spans="1:11" s="34" customFormat="1" ht="15" customHeight="1" x14ac:dyDescent="0.25">
      <c r="A12" s="18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4"/>
      <c r="B13" s="10" t="s">
        <v>23</v>
      </c>
      <c r="C13" s="11" t="s">
        <v>19</v>
      </c>
      <c r="D13" s="127">
        <f t="shared" ca="1" si="0"/>
        <v>884.11400000000003</v>
      </c>
      <c r="E13" s="128">
        <f t="shared" ca="1" si="1"/>
        <v>789.94465309923271</v>
      </c>
      <c r="F13" s="129"/>
      <c r="G13" s="128">
        <f t="shared" ca="1" si="2"/>
        <v>94.169346900767337</v>
      </c>
      <c r="H13" s="128">
        <f t="shared" ca="1" si="3"/>
        <v>0</v>
      </c>
      <c r="I13" s="129"/>
      <c r="J13" s="128">
        <f t="shared" ca="1" si="4"/>
        <v>0</v>
      </c>
      <c r="K13" s="130">
        <f t="shared" ca="1" si="5"/>
        <v>42804</v>
      </c>
    </row>
    <row r="14" spans="1:11" ht="24" customHeight="1" x14ac:dyDescent="0.25">
      <c r="A14" s="185" t="s">
        <v>43</v>
      </c>
      <c r="B14" s="186"/>
      <c r="C14" s="109" t="s">
        <v>16</v>
      </c>
      <c r="D14" s="123">
        <f t="shared" ca="1" si="0"/>
        <v>79862.842834606665</v>
      </c>
      <c r="E14" s="124">
        <f t="shared" ca="1" si="1"/>
        <v>66742.353799731252</v>
      </c>
      <c r="F14" s="125"/>
      <c r="G14" s="124">
        <f t="shared" ca="1" si="2"/>
        <v>12836.266543231068</v>
      </c>
      <c r="H14" s="124">
        <f t="shared" ca="1" si="3"/>
        <v>284.2224916443418</v>
      </c>
      <c r="I14" s="125"/>
      <c r="J14" s="124">
        <f t="shared" ca="1" si="4"/>
        <v>0</v>
      </c>
      <c r="K14" s="125"/>
    </row>
    <row r="15" spans="1:11" s="34" customFormat="1" ht="15" customHeight="1" x14ac:dyDescent="0.25">
      <c r="A15" s="184" t="s">
        <v>18</v>
      </c>
      <c r="B15" s="10" t="s">
        <v>26</v>
      </c>
      <c r="C15" s="11" t="s">
        <v>16</v>
      </c>
      <c r="D15" s="127">
        <f t="shared" ca="1" si="0"/>
        <v>4643.0010000000002</v>
      </c>
      <c r="E15" s="128">
        <f t="shared" ca="1" si="1"/>
        <v>1326.8851030472388</v>
      </c>
      <c r="F15" s="129"/>
      <c r="G15" s="128">
        <f t="shared" ca="1" si="2"/>
        <v>3316.1158969527614</v>
      </c>
      <c r="H15" s="128">
        <f t="shared" ca="1" si="3"/>
        <v>0</v>
      </c>
      <c r="I15" s="129"/>
      <c r="J15" s="128">
        <f t="shared" ca="1" si="4"/>
        <v>0</v>
      </c>
      <c r="K15" s="129"/>
    </row>
    <row r="16" spans="1:11" s="34" customFormat="1" ht="15" customHeight="1" x14ac:dyDescent="0.25">
      <c r="A16" s="184"/>
      <c r="B16" s="10" t="s">
        <v>27</v>
      </c>
      <c r="C16" s="11" t="s">
        <v>16</v>
      </c>
      <c r="D16" s="127">
        <f t="shared" ca="1" si="0"/>
        <v>67689.259000000005</v>
      </c>
      <c r="E16" s="128">
        <f t="shared" ca="1" si="1"/>
        <v>61157.969240686092</v>
      </c>
      <c r="F16" s="129"/>
      <c r="G16" s="128">
        <f t="shared" ca="1" si="2"/>
        <v>6248.0622214761597</v>
      </c>
      <c r="H16" s="128">
        <f t="shared" ca="1" si="3"/>
        <v>283.22753783775102</v>
      </c>
      <c r="I16" s="129"/>
      <c r="J16" s="128">
        <f t="shared" ca="1" si="4"/>
        <v>0</v>
      </c>
      <c r="K16" s="129"/>
    </row>
    <row r="17" spans="1:11" s="34" customFormat="1" ht="15" customHeight="1" x14ac:dyDescent="0.25">
      <c r="A17" s="184"/>
      <c r="B17" s="10" t="s">
        <v>28</v>
      </c>
      <c r="C17" s="11" t="s">
        <v>16</v>
      </c>
      <c r="D17" s="127">
        <f t="shared" ref="D17" ca="1" si="6">SUM(E17:J17)</f>
        <v>162.56</v>
      </c>
      <c r="E17" s="128">
        <f t="shared" ref="E17" ca="1" si="7">INDIRECT(ADDRESS(ROW(K17),$C$3 -2010 + 4,,,"1a_SpaceHeating"))</f>
        <v>141.17818095009991</v>
      </c>
      <c r="F17" s="129"/>
      <c r="G17" s="128">
        <f t="shared" ref="G17" ca="1" si="8">INDIRECT(ADDRESS(ROW(K17),$C$3-2010+4,,,"1c_WaterHeating"))</f>
        <v>20.386865243309305</v>
      </c>
      <c r="H17" s="128">
        <f t="shared" ref="H17" ca="1" si="9">INDIRECT(ADDRESS(ROW(K17),$C$3-2010+4,,,"1d_Cooking"))</f>
        <v>0.99495380659077282</v>
      </c>
      <c r="I17" s="129"/>
      <c r="J17" s="128">
        <f t="shared" ca="1" si="4"/>
        <v>0</v>
      </c>
      <c r="K17" s="129"/>
    </row>
    <row r="18" spans="1:11" s="34" customFormat="1" ht="15" customHeight="1" x14ac:dyDescent="0.25">
      <c r="A18" s="184"/>
      <c r="B18" s="34" t="s">
        <v>184</v>
      </c>
      <c r="C18" s="11" t="s">
        <v>16</v>
      </c>
      <c r="D18" s="127">
        <f ca="1">SUM(E18:J18)</f>
        <v>7115.8010000000004</v>
      </c>
      <c r="E18" s="128">
        <f ca="1">INDIRECT(ADDRESS(ROW(K18),$C$3 -2010 + 4,,,"1a_SpaceHeating"))</f>
        <v>3864.0994404411631</v>
      </c>
      <c r="F18" s="129"/>
      <c r="G18" s="128">
        <f ca="1">INDIRECT(ADDRESS(ROW(K18),$C$3-2010+4,,,"1c_WaterHeating"))</f>
        <v>3251.7015595588373</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23" sqref="E23"/>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0" t="s">
        <v>0</v>
      </c>
      <c r="B1" s="189"/>
      <c r="C1" s="31"/>
      <c r="D1" s="1"/>
      <c r="E1" s="2"/>
      <c r="F1" s="2"/>
      <c r="G1" s="2"/>
      <c r="H1" s="2"/>
      <c r="I1" s="2"/>
      <c r="J1" s="2"/>
      <c r="K1" s="3"/>
    </row>
    <row r="2" spans="1:11" ht="18" customHeight="1" x14ac:dyDescent="0.25">
      <c r="A2" s="190" t="s">
        <v>1</v>
      </c>
      <c r="B2" s="191"/>
      <c r="C2" s="1" t="str">
        <f>Cover!D15</f>
        <v>Austria</v>
      </c>
      <c r="D2" s="1"/>
      <c r="E2" s="5"/>
      <c r="F2" s="3"/>
      <c r="G2" s="3"/>
      <c r="H2" s="3"/>
      <c r="I2" s="3"/>
      <c r="J2" s="3"/>
      <c r="K2" s="3"/>
    </row>
    <row r="3" spans="1:11" ht="18" customHeight="1" x14ac:dyDescent="0.25">
      <c r="A3" s="190" t="s">
        <v>2</v>
      </c>
      <c r="B3" s="191"/>
      <c r="C3" s="1">
        <f>Table1_Totals!C3</f>
        <v>2018</v>
      </c>
      <c r="D3" s="1"/>
      <c r="E3" s="5"/>
      <c r="F3" s="3"/>
      <c r="G3" s="3"/>
      <c r="H3" s="3"/>
      <c r="I3" s="3"/>
      <c r="J3" s="3"/>
      <c r="K3" s="3"/>
    </row>
    <row r="4" spans="1:11" ht="18" customHeight="1" x14ac:dyDescent="0.25">
      <c r="A4" s="193"/>
      <c r="B4" s="194"/>
      <c r="C4" s="31"/>
      <c r="D4" s="1"/>
      <c r="E4" s="5"/>
      <c r="F4" s="3"/>
      <c r="G4" s="3"/>
      <c r="H4" s="3"/>
      <c r="I4" s="3"/>
      <c r="J4" s="3"/>
      <c r="K4" s="3"/>
    </row>
    <row r="5" spans="1:11" ht="37.5" customHeight="1" x14ac:dyDescent="0.25">
      <c r="A5" s="177" t="s">
        <v>3</v>
      </c>
      <c r="B5" s="195"/>
      <c r="C5" s="6" t="s">
        <v>4</v>
      </c>
      <c r="D5" s="7" t="s">
        <v>5</v>
      </c>
      <c r="E5" s="6" t="s">
        <v>6</v>
      </c>
      <c r="F5" s="6" t="s">
        <v>7</v>
      </c>
      <c r="G5" s="6" t="s">
        <v>8</v>
      </c>
      <c r="H5" s="6" t="s">
        <v>9</v>
      </c>
      <c r="I5" s="6" t="s">
        <v>10</v>
      </c>
      <c r="J5" s="6" t="s">
        <v>11</v>
      </c>
      <c r="K5" s="7" t="s">
        <v>12</v>
      </c>
    </row>
    <row r="6" spans="1:11" ht="24" customHeight="1" x14ac:dyDescent="0.25">
      <c r="A6" s="187" t="s">
        <v>13</v>
      </c>
      <c r="B6" s="188"/>
      <c r="C6" s="108" t="s">
        <v>16</v>
      </c>
      <c r="D6" s="120">
        <f ca="1">SUM(E6:J6)</f>
        <v>63760.798800000004</v>
      </c>
      <c r="E6" s="121">
        <f ca="1">Table1_Totals!E6*3.6</f>
        <v>8936.6120778606237</v>
      </c>
      <c r="F6" s="121">
        <f ca="1">Table1_Totals!F6*3.6</f>
        <v>28.275966975715253</v>
      </c>
      <c r="G6" s="121">
        <f ca="1">Table1_Totals!G6*3.6</f>
        <v>11512.006621615426</v>
      </c>
      <c r="H6" s="121">
        <f ca="1">Table1_Totals!H6*3.6</f>
        <v>6576.9959409675139</v>
      </c>
      <c r="I6" s="121">
        <f ca="1">Table1_Totals!I6*3.6</f>
        <v>28136.109122786038</v>
      </c>
      <c r="J6" s="121">
        <f ca="1">Table1_Totals!J6*3.6</f>
        <v>8570.799069794688</v>
      </c>
      <c r="K6" s="122"/>
    </row>
    <row r="7" spans="1:11" ht="24" customHeight="1" x14ac:dyDescent="0.25">
      <c r="A7" s="185" t="s">
        <v>15</v>
      </c>
      <c r="B7" s="186"/>
      <c r="C7" s="109" t="s">
        <v>16</v>
      </c>
      <c r="D7" s="123">
        <f t="shared" ref="D7:D18" ca="1" si="0">SUM(E7:J7)</f>
        <v>32007.09</v>
      </c>
      <c r="E7" s="124">
        <f ca="1">Table1_Totals!E7</f>
        <v>27262.293173621027</v>
      </c>
      <c r="F7" s="125"/>
      <c r="G7" s="124">
        <f ca="1">Table1_Totals!G7</f>
        <v>4744.7968263789735</v>
      </c>
      <c r="H7" s="124">
        <f ca="1">Table1_Totals!H7</f>
        <v>0</v>
      </c>
      <c r="I7" s="125"/>
      <c r="J7" s="124">
        <f ca="1">Table1_Totals!J7</f>
        <v>0</v>
      </c>
      <c r="K7" s="125"/>
    </row>
    <row r="8" spans="1:11" ht="24" customHeight="1" x14ac:dyDescent="0.25">
      <c r="A8" s="185" t="s">
        <v>29</v>
      </c>
      <c r="B8" s="186"/>
      <c r="C8" s="109" t="s">
        <v>16</v>
      </c>
      <c r="D8" s="123">
        <f t="shared" ca="1" si="0"/>
        <v>56575.089000000007</v>
      </c>
      <c r="E8" s="124">
        <f ca="1">Table1_Totals!E8*0.9</f>
        <v>49133.662353038926</v>
      </c>
      <c r="F8" s="125"/>
      <c r="G8" s="124">
        <f ca="1">Table1_Totals!G8*0.9</f>
        <v>7095.1569609450708</v>
      </c>
      <c r="H8" s="124">
        <f ca="1">Table1_Totals!H8*0.9</f>
        <v>346.26968601600493</v>
      </c>
      <c r="I8" s="125"/>
      <c r="J8" s="124">
        <f ca="1">Table1_Totals!J8*0.9</f>
        <v>0</v>
      </c>
      <c r="K8" s="125"/>
    </row>
    <row r="9" spans="1:11" ht="24" customHeight="1" x14ac:dyDescent="0.25">
      <c r="A9" s="185" t="s">
        <v>156</v>
      </c>
      <c r="B9" s="186"/>
      <c r="C9" s="109" t="s">
        <v>16</v>
      </c>
      <c r="D9" s="123">
        <f t="shared" ca="1" si="0"/>
        <v>828.05402318314589</v>
      </c>
      <c r="E9" s="124">
        <f ca="1">IF(Table1_Totals!E9&lt;&gt;0,IF(Table1_Totals!$K9&lt;&gt;0,Table1_Totals!E9*Table1_Totals!$K9/1000,"Please check CV"),"0,000")</f>
        <v>777.86242290042787</v>
      </c>
      <c r="F9" s="125"/>
      <c r="G9" s="124">
        <f ca="1">IF(Table1_Totals!G9&lt;&gt;0,IF(Table1_Totals!$K9&lt;&gt;0,Table1_Totals!G9*Table1_Totals!$K$9/1000,"Please check CV"),"0,000")</f>
        <v>47.800909777089714</v>
      </c>
      <c r="H9" s="124">
        <f ca="1">IF(Table1_Totals!H9&lt;&gt;0,IF(Table1_Totals!$K9&lt;&gt;0,Table1_Totals!H9*Table1_Totals!$K$9/1000,"Please check CV"),"0,000")</f>
        <v>2.390690505628327</v>
      </c>
      <c r="I9" s="125"/>
      <c r="J9" s="124" t="str">
        <f ca="1">IF(Table1_Totals!J9&lt;&gt;0,IF(Table1_Totals!$K9&lt;&gt;0,Table1_Totals!J9*Table1_Totals!$K$9/1000,"Please check CV"),"0,000")</f>
        <v>0,000</v>
      </c>
      <c r="K9" s="126">
        <f ca="1">Table1_Totals!K9</f>
        <v>24723.934766008177</v>
      </c>
    </row>
    <row r="10" spans="1:11" ht="24" customHeight="1" x14ac:dyDescent="0.25">
      <c r="A10" s="185" t="s">
        <v>42</v>
      </c>
      <c r="B10" s="186"/>
      <c r="C10" s="109" t="s">
        <v>16</v>
      </c>
      <c r="D10" s="123">
        <f t="shared" ca="1" si="0"/>
        <v>39077.198461097425</v>
      </c>
      <c r="E10" s="124">
        <f ca="1">IF(Table1_Totals!E10&lt;&gt;0,IF(Table1_Totals!$K10&lt;&gt;0,Table1_Totals!E10*Table1_Totals!$K10/1000,"Please check CV"),"0,000")</f>
        <v>34900.747469362032</v>
      </c>
      <c r="F10" s="125"/>
      <c r="G10" s="124">
        <f ca="1">IF(Table1_Totals!G10&lt;&gt;0,IF(Table1_Totals!$K10&lt;&gt;0,Table1_Totals!G10*Table1_Totals!$K10/1000,"Please check CV"),"0,000")</f>
        <v>4156.6724202156547</v>
      </c>
      <c r="H10" s="124">
        <f ca="1">IF(Table1_Totals!H10&lt;&gt;0,IF(Table1_Totals!$K10&lt;&gt;0,Table1_Totals!H10*Table1_Totals!$K10/1000,"Please check CV"),"0,000")</f>
        <v>19.778571519737564</v>
      </c>
      <c r="I10" s="125"/>
      <c r="J10" s="124" t="str">
        <f ca="1">IF(Table1_Totals!J10&lt;&gt;0,IF(Table1_Totals!$K10&lt;&gt;0,Table1_Totals!J10*Table1_Totals!$K10/1000,"Please check CV"),"0,000")</f>
        <v>0,000</v>
      </c>
      <c r="K10" s="126">
        <f ca="1">Table1_Totals!K10</f>
        <v>42895.121659525117</v>
      </c>
    </row>
    <row r="11" spans="1:11" s="34" customFormat="1" ht="15" customHeight="1" x14ac:dyDescent="0.25">
      <c r="A11" s="184" t="s">
        <v>18</v>
      </c>
      <c r="B11" s="10" t="s">
        <v>21</v>
      </c>
      <c r="C11" s="11" t="s">
        <v>16</v>
      </c>
      <c r="D11" s="127">
        <f t="shared" ca="1" si="0"/>
        <v>1233.34104</v>
      </c>
      <c r="E11" s="128">
        <f ca="1">IF(Table1_Totals!E11&lt;&gt;0,IF(Table1_Totals!$K11&lt;&gt;0,Table1_Totals!E11*Table1_Totals!$K11/1000,"Please check CV"),"0,000")</f>
        <v>1085.992493228649</v>
      </c>
      <c r="F11" s="129"/>
      <c r="G11" s="128">
        <f ca="1">IF(Table1_Totals!G11&lt;&gt;0,IF(Table1_Totals!$K11&lt;&gt;0,Table1_Totals!G11*Table1_Totals!$K11/1000,"Please check CV"),"0,000")</f>
        <v>126.08301159626326</v>
      </c>
      <c r="H11" s="128">
        <f ca="1">IF(Table1_Totals!H11&lt;&gt;0,IF(Table1_Totals!$K11&lt;&gt;0,Table1_Totals!H11*Table1_Totals!$K11/1000,"Please check CV"),"0,000")</f>
        <v>21.265535175087674</v>
      </c>
      <c r="I11" s="129"/>
      <c r="J11" s="128" t="str">
        <f ca="1">IF(Table1_Totals!J11&lt;&gt;0,IF(Table1_Totals!$K11&lt;&gt;0,Table1_Totals!J11*Table1_Totals!$K11/1000,"Please check CV"),"0,000")</f>
        <v>0,000</v>
      </c>
      <c r="K11" s="130">
        <f ca="1">Table1_Totals!K11</f>
        <v>46120</v>
      </c>
    </row>
    <row r="12" spans="1:11" s="34" customFormat="1" ht="15" customHeight="1" x14ac:dyDescent="0.25">
      <c r="A12" s="18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4"/>
      <c r="B13" s="10" t="s">
        <v>23</v>
      </c>
      <c r="C13" s="11" t="s">
        <v>16</v>
      </c>
      <c r="D13" s="127">
        <f t="shared" ca="1" si="0"/>
        <v>37843.615656000002</v>
      </c>
      <c r="E13" s="128">
        <f ca="1">IF(Table1_Totals!E13&lt;&gt;0,IF(Table1_Totals!$K13&lt;&gt;0,Table1_Totals!E13*Table1_Totals!$K13/1000,"Please check CV"),"0,000")</f>
        <v>33812.790931259558</v>
      </c>
      <c r="F13" s="129"/>
      <c r="G13" s="128">
        <f ca="1">IF(Table1_Totals!G13&lt;&gt;0,IF(Table1_Totals!$K13&lt;&gt;0,Table1_Totals!G13*Table1_Totals!$K13/1000,"Please check CV"),"0,000")</f>
        <v>4030.8247247404452</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42804</v>
      </c>
    </row>
    <row r="14" spans="1:11" ht="24" customHeight="1" x14ac:dyDescent="0.25">
      <c r="A14" s="185" t="s">
        <v>43</v>
      </c>
      <c r="B14" s="186"/>
      <c r="C14" s="109" t="s">
        <v>16</v>
      </c>
      <c r="D14" s="123">
        <f t="shared" ca="1" si="0"/>
        <v>79862.842834606665</v>
      </c>
      <c r="E14" s="124">
        <f ca="1">Table1_Totals!E14</f>
        <v>66742.353799731252</v>
      </c>
      <c r="F14" s="125"/>
      <c r="G14" s="124">
        <f ca="1">Table1_Totals!G14</f>
        <v>12836.266543231068</v>
      </c>
      <c r="H14" s="124">
        <f ca="1">Table1_Totals!H14</f>
        <v>284.2224916443418</v>
      </c>
      <c r="I14" s="125"/>
      <c r="J14" s="124">
        <f ca="1">Table1_Totals!J14</f>
        <v>0</v>
      </c>
      <c r="K14" s="125"/>
    </row>
    <row r="15" spans="1:11" s="34" customFormat="1" ht="15" customHeight="1" x14ac:dyDescent="0.25">
      <c r="A15" s="184" t="s">
        <v>18</v>
      </c>
      <c r="B15" s="10" t="s">
        <v>26</v>
      </c>
      <c r="C15" s="11" t="s">
        <v>16</v>
      </c>
      <c r="D15" s="127">
        <f t="shared" ca="1" si="0"/>
        <v>4643.0010000000002</v>
      </c>
      <c r="E15" s="128">
        <f ca="1">Table1_Totals!E15</f>
        <v>1326.8851030472388</v>
      </c>
      <c r="F15" s="129"/>
      <c r="G15" s="128">
        <f ca="1">Table1_Totals!G15</f>
        <v>3316.1158969527614</v>
      </c>
      <c r="H15" s="128">
        <f ca="1">Table1_Totals!H15</f>
        <v>0</v>
      </c>
      <c r="I15" s="129"/>
      <c r="J15" s="128">
        <f ca="1">Table1_Totals!J15</f>
        <v>0</v>
      </c>
      <c r="K15" s="129"/>
    </row>
    <row r="16" spans="1:11" s="34" customFormat="1" ht="15" customHeight="1" x14ac:dyDescent="0.25">
      <c r="A16" s="184"/>
      <c r="B16" s="10" t="s">
        <v>27</v>
      </c>
      <c r="C16" s="11" t="s">
        <v>16</v>
      </c>
      <c r="D16" s="127">
        <f t="shared" ca="1" si="0"/>
        <v>67689.259000000005</v>
      </c>
      <c r="E16" s="128">
        <f ca="1">Table1_Totals!E16</f>
        <v>61157.969240686092</v>
      </c>
      <c r="F16" s="129"/>
      <c r="G16" s="128">
        <f ca="1">Table1_Totals!G16</f>
        <v>6248.0622214761597</v>
      </c>
      <c r="H16" s="128">
        <f ca="1">Table1_Totals!H16</f>
        <v>283.22753783775102</v>
      </c>
      <c r="I16" s="129"/>
      <c r="J16" s="128">
        <f ca="1">Table1_Totals!J16</f>
        <v>0</v>
      </c>
      <c r="K16" s="129"/>
    </row>
    <row r="17" spans="1:11" s="34" customFormat="1" ht="15" customHeight="1" x14ac:dyDescent="0.25">
      <c r="A17" s="184"/>
      <c r="B17" s="10" t="s">
        <v>28</v>
      </c>
      <c r="C17" s="11"/>
      <c r="D17" s="127">
        <f t="shared" ref="D17" ca="1" si="1">SUM(E17:J17)</f>
        <v>162.56</v>
      </c>
      <c r="E17" s="128">
        <f ca="1">Table1_Totals!E17</f>
        <v>141.17818095009991</v>
      </c>
      <c r="F17" s="129"/>
      <c r="G17" s="128">
        <f ca="1">Table1_Totals!G17</f>
        <v>20.386865243309305</v>
      </c>
      <c r="H17" s="128">
        <f ca="1">Table1_Totals!H17</f>
        <v>0.99495380659077282</v>
      </c>
      <c r="I17" s="129"/>
      <c r="J17" s="128">
        <f ca="1">Table1_Totals!J17</f>
        <v>0</v>
      </c>
      <c r="K17" s="129"/>
    </row>
    <row r="18" spans="1:11" s="34" customFormat="1" ht="15" customHeight="1" x14ac:dyDescent="0.25">
      <c r="A18" s="184"/>
      <c r="B18" s="34" t="s">
        <v>184</v>
      </c>
      <c r="C18" s="11" t="s">
        <v>16</v>
      </c>
      <c r="D18" s="127">
        <f t="shared" ca="1" si="0"/>
        <v>7115.8010000000004</v>
      </c>
      <c r="E18" s="128">
        <f ca="1">Table1_Totals!E18</f>
        <v>3864.0994404411631</v>
      </c>
      <c r="F18" s="129"/>
      <c r="G18" s="128">
        <f ca="1">Table1_Totals!G18</f>
        <v>3251.7015595588373</v>
      </c>
      <c r="H18" s="128">
        <f ca="1">Table1_Totals!H18</f>
        <v>0</v>
      </c>
      <c r="I18" s="129"/>
      <c r="J18" s="128">
        <f ca="1">Table1_Totals!J18</f>
        <v>0</v>
      </c>
      <c r="K18" s="129"/>
    </row>
    <row r="19" spans="1:11" ht="24" customHeight="1" x14ac:dyDescent="0.25">
      <c r="A19" s="185" t="s">
        <v>171</v>
      </c>
      <c r="B19" s="186"/>
      <c r="C19" s="109" t="s">
        <v>16</v>
      </c>
      <c r="D19" s="123">
        <f t="shared" ref="D19" ca="1" si="2">SUM(E19:J19)</f>
        <v>272111.07311888726</v>
      </c>
      <c r="E19" s="124">
        <f ca="1">SUM(E6:E10,E14)</f>
        <v>187753.53129651429</v>
      </c>
      <c r="F19" s="124">
        <f t="shared" ref="F19:J19" ca="1" si="3">SUM(F6:F10,F14)</f>
        <v>28.275966975715253</v>
      </c>
      <c r="G19" s="124">
        <f t="shared" ca="1" si="3"/>
        <v>40392.700282163278</v>
      </c>
      <c r="H19" s="124">
        <f t="shared" ca="1" si="3"/>
        <v>7229.6573806532269</v>
      </c>
      <c r="I19" s="124">
        <f t="shared" ca="1" si="3"/>
        <v>28136.109122786038</v>
      </c>
      <c r="J19" s="124">
        <f t="shared" ca="1" si="3"/>
        <v>8570.799069794688</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L7" sqref="L7"/>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v>2529.7366621561141</v>
      </c>
      <c r="E6" s="59">
        <v>2539.5118149777413</v>
      </c>
      <c r="F6" s="59">
        <v>2737.033000271555</v>
      </c>
      <c r="G6" s="59">
        <v>2739.9758252527636</v>
      </c>
      <c r="H6" s="59">
        <v>2580.3229463294479</v>
      </c>
      <c r="I6" s="59">
        <v>2550.4001262529587</v>
      </c>
      <c r="J6" s="59">
        <v>2506.1336766483587</v>
      </c>
      <c r="K6" s="60">
        <v>2520.1605900022141</v>
      </c>
      <c r="L6" s="60">
        <v>2482.3922438501731</v>
      </c>
      <c r="M6" s="60"/>
      <c r="N6" s="60"/>
      <c r="O6" s="60"/>
      <c r="DS6" s="4" t="str">
        <f>VLOOKUP(Cover!$D$15, Country_list!$B$3:$C$44, 2, 0)</f>
        <v>AT</v>
      </c>
      <c r="DT6" s="33" t="s">
        <v>289</v>
      </c>
      <c r="DV6" s="33" t="s">
        <v>302</v>
      </c>
      <c r="EB6" s="33" t="s">
        <v>291</v>
      </c>
      <c r="ED6" s="33" t="s">
        <v>294</v>
      </c>
    </row>
    <row r="7" spans="1:134" ht="24" customHeight="1" x14ac:dyDescent="0.25">
      <c r="A7" s="182" t="s">
        <v>15</v>
      </c>
      <c r="B7" s="199"/>
      <c r="C7" s="9" t="s">
        <v>25</v>
      </c>
      <c r="D7" s="58">
        <v>21046.300657838914</v>
      </c>
      <c r="E7" s="58">
        <v>20528.251150310371</v>
      </c>
      <c r="F7" s="58">
        <v>23273.463528518208</v>
      </c>
      <c r="G7" s="58">
        <v>26785.59262532858</v>
      </c>
      <c r="H7" s="58">
        <v>24213.602603678119</v>
      </c>
      <c r="I7" s="58">
        <v>26753.890437285387</v>
      </c>
      <c r="J7" s="58">
        <v>27805.407322905619</v>
      </c>
      <c r="K7" s="58">
        <v>29707.645805816621</v>
      </c>
      <c r="L7" s="58">
        <v>27262.293173621027</v>
      </c>
      <c r="M7" s="58"/>
      <c r="N7" s="58"/>
      <c r="O7" s="58"/>
      <c r="DT7" s="33" t="s">
        <v>290</v>
      </c>
      <c r="EB7" s="33" t="s">
        <v>291</v>
      </c>
      <c r="ED7" s="33" t="s">
        <v>295</v>
      </c>
    </row>
    <row r="8" spans="1:134" ht="24" customHeight="1" x14ac:dyDescent="0.25">
      <c r="A8" s="182" t="s">
        <v>29</v>
      </c>
      <c r="B8" s="199"/>
      <c r="C8" s="9" t="s">
        <v>17</v>
      </c>
      <c r="D8" s="58">
        <v>63852.363884944971</v>
      </c>
      <c r="E8" s="58">
        <v>55330.242170185687</v>
      </c>
      <c r="F8" s="58">
        <v>56628.514683531444</v>
      </c>
      <c r="G8" s="58">
        <v>57626.651447365744</v>
      </c>
      <c r="H8" s="58">
        <v>48525.737788527666</v>
      </c>
      <c r="I8" s="58">
        <v>54067.522584923412</v>
      </c>
      <c r="J8" s="58">
        <v>60842.998692528148</v>
      </c>
      <c r="K8" s="58">
        <v>59883.098747951553</v>
      </c>
      <c r="L8" s="58">
        <v>54592.958170043246</v>
      </c>
      <c r="M8" s="58"/>
      <c r="N8" s="58"/>
      <c r="O8" s="58"/>
      <c r="DT8" s="33" t="s">
        <v>231</v>
      </c>
      <c r="EB8" s="33" t="s">
        <v>291</v>
      </c>
      <c r="ED8" s="33" t="s">
        <v>296</v>
      </c>
    </row>
    <row r="9" spans="1:134" ht="24" customHeight="1" x14ac:dyDescent="0.25">
      <c r="A9" s="182" t="s">
        <v>156</v>
      </c>
      <c r="B9" s="199"/>
      <c r="C9" s="9" t="s">
        <v>19</v>
      </c>
      <c r="D9" s="58">
        <v>93.544390760943458</v>
      </c>
      <c r="E9" s="58">
        <v>60.028708501149829</v>
      </c>
      <c r="F9" s="58">
        <v>64.532085961254751</v>
      </c>
      <c r="G9" s="58">
        <v>49.147375039331664</v>
      </c>
      <c r="H9" s="58">
        <v>40.255475000733881</v>
      </c>
      <c r="I9" s="58">
        <v>32.827601764442669</v>
      </c>
      <c r="J9" s="58">
        <v>31.362230740132425</v>
      </c>
      <c r="K9" s="58">
        <v>35.118009216263268</v>
      </c>
      <c r="L9" s="58">
        <v>31.461918592742599</v>
      </c>
      <c r="M9" s="58"/>
      <c r="N9" s="58"/>
      <c r="O9" s="58"/>
      <c r="DT9" s="33" t="s">
        <v>279</v>
      </c>
      <c r="EB9" s="33" t="s">
        <v>292</v>
      </c>
      <c r="ED9" s="33" t="s">
        <v>293</v>
      </c>
    </row>
    <row r="10" spans="1:134" ht="24" customHeight="1" x14ac:dyDescent="0.25">
      <c r="A10" s="182" t="s">
        <v>20</v>
      </c>
      <c r="B10" s="199"/>
      <c r="C10" s="9" t="s">
        <v>19</v>
      </c>
      <c r="D10" s="58">
        <v>1159.3608203059821</v>
      </c>
      <c r="E10" s="58">
        <v>989.53987366651211</v>
      </c>
      <c r="F10" s="58">
        <v>909.87703149296919</v>
      </c>
      <c r="G10" s="58">
        <v>981.88229883233657</v>
      </c>
      <c r="H10" s="58">
        <v>845.27404314433147</v>
      </c>
      <c r="I10" s="58">
        <v>891.52113011255244</v>
      </c>
      <c r="J10" s="58">
        <v>891.72454228384515</v>
      </c>
      <c r="K10" s="58">
        <v>903.11358613974687</v>
      </c>
      <c r="L10" s="58">
        <v>813.62975832968903</v>
      </c>
      <c r="M10" s="58"/>
      <c r="N10" s="58"/>
      <c r="O10" s="58"/>
      <c r="DT10" s="139" t="s">
        <v>280</v>
      </c>
      <c r="EB10" s="33" t="s">
        <v>292</v>
      </c>
      <c r="ED10" s="33" t="s">
        <v>293</v>
      </c>
    </row>
    <row r="11" spans="1:134" s="34" customFormat="1" ht="15" customHeight="1" x14ac:dyDescent="0.25">
      <c r="A11" s="181" t="s">
        <v>18</v>
      </c>
      <c r="B11" s="110" t="s">
        <v>21</v>
      </c>
      <c r="C11" s="111" t="s">
        <v>19</v>
      </c>
      <c r="D11" s="113">
        <v>28.89367480624799</v>
      </c>
      <c r="E11" s="113">
        <v>19.1195692130776</v>
      </c>
      <c r="F11" s="113">
        <v>20.339837299321552</v>
      </c>
      <c r="G11" s="113">
        <v>24.709041276193652</v>
      </c>
      <c r="H11" s="113">
        <v>20.387895093149275</v>
      </c>
      <c r="I11" s="113">
        <v>20.526764883150271</v>
      </c>
      <c r="J11" s="113">
        <v>21.136699787209992</v>
      </c>
      <c r="K11" s="113">
        <v>25.599618217226045</v>
      </c>
      <c r="L11" s="113">
        <v>23.547105230456399</v>
      </c>
      <c r="M11" s="113"/>
      <c r="N11" s="113"/>
      <c r="O11" s="113"/>
      <c r="DT11" s="34" t="s">
        <v>281</v>
      </c>
      <c r="EB11" s="34" t="s">
        <v>292</v>
      </c>
      <c r="ED11" s="34" t="s">
        <v>293</v>
      </c>
    </row>
    <row r="12" spans="1:134" s="34" customFormat="1" ht="15" customHeight="1" x14ac:dyDescent="0.25">
      <c r="A12" s="181"/>
      <c r="B12" s="110" t="s">
        <v>22</v>
      </c>
      <c r="C12" s="111" t="s">
        <v>19</v>
      </c>
      <c r="D12" s="112">
        <v>0</v>
      </c>
      <c r="E12" s="112">
        <v>0</v>
      </c>
      <c r="F12" s="112">
        <v>0</v>
      </c>
      <c r="G12" s="112">
        <v>0</v>
      </c>
      <c r="H12" s="112">
        <v>0</v>
      </c>
      <c r="I12" s="112">
        <v>0</v>
      </c>
      <c r="J12" s="112">
        <v>0</v>
      </c>
      <c r="K12" s="112">
        <v>0</v>
      </c>
      <c r="L12" s="112">
        <v>0</v>
      </c>
      <c r="M12" s="113"/>
      <c r="N12" s="113"/>
      <c r="O12" s="113"/>
      <c r="DT12" s="34" t="s">
        <v>282</v>
      </c>
      <c r="EB12" s="34" t="s">
        <v>292</v>
      </c>
      <c r="ED12" s="34" t="s">
        <v>293</v>
      </c>
    </row>
    <row r="13" spans="1:134" s="34" customFormat="1" ht="15" customHeight="1" x14ac:dyDescent="0.25">
      <c r="A13" s="181"/>
      <c r="B13" s="110" t="s">
        <v>23</v>
      </c>
      <c r="C13" s="111" t="s">
        <v>19</v>
      </c>
      <c r="D13" s="113">
        <v>1103.2599817103089</v>
      </c>
      <c r="E13" s="113">
        <v>959.11944601674986</v>
      </c>
      <c r="F13" s="113">
        <v>883.39298299221264</v>
      </c>
      <c r="G13" s="113">
        <v>953.06879751603856</v>
      </c>
      <c r="H13" s="113">
        <v>824.73414805118227</v>
      </c>
      <c r="I13" s="113">
        <v>870.8503652294022</v>
      </c>
      <c r="J13" s="113">
        <v>870.42484249663516</v>
      </c>
      <c r="K13" s="113">
        <v>877.33396792252097</v>
      </c>
      <c r="L13" s="113">
        <v>789.94465309923271</v>
      </c>
      <c r="M13" s="113"/>
      <c r="N13" s="113"/>
      <c r="O13" s="113"/>
      <c r="DT13" s="34" t="s">
        <v>283</v>
      </c>
      <c r="EB13" s="34" t="s">
        <v>292</v>
      </c>
      <c r="ED13" s="34" t="s">
        <v>293</v>
      </c>
    </row>
    <row r="14" spans="1:134" ht="24" customHeight="1" x14ac:dyDescent="0.25">
      <c r="A14" s="182" t="s">
        <v>24</v>
      </c>
      <c r="B14" s="199"/>
      <c r="C14" s="9" t="s">
        <v>25</v>
      </c>
      <c r="D14" s="61">
        <v>71047.204663209661</v>
      </c>
      <c r="E14" s="61">
        <v>66733.084576823327</v>
      </c>
      <c r="F14" s="61">
        <v>70655.734167572096</v>
      </c>
      <c r="G14" s="61">
        <v>74122.584334347252</v>
      </c>
      <c r="H14" s="61">
        <v>63979.73369049438</v>
      </c>
      <c r="I14" s="61">
        <v>69014.412157011015</v>
      </c>
      <c r="J14" s="61">
        <v>71549.226511052533</v>
      </c>
      <c r="K14" s="61">
        <v>72452.637726366913</v>
      </c>
      <c r="L14" s="61">
        <v>66742.353799731252</v>
      </c>
      <c r="M14" s="58"/>
      <c r="N14" s="58"/>
      <c r="O14" s="58"/>
      <c r="DT14" s="139" t="s">
        <v>284</v>
      </c>
      <c r="EB14" s="33" t="s">
        <v>291</v>
      </c>
      <c r="ED14" s="33" t="s">
        <v>295</v>
      </c>
    </row>
    <row r="15" spans="1:134" s="34" customFormat="1" ht="15" customHeight="1" x14ac:dyDescent="0.25">
      <c r="A15" s="181" t="s">
        <v>18</v>
      </c>
      <c r="B15" s="110" t="s">
        <v>26</v>
      </c>
      <c r="C15" s="111" t="s">
        <v>25</v>
      </c>
      <c r="D15" s="113">
        <v>1484.458098151435</v>
      </c>
      <c r="E15" s="113">
        <v>1275.6445687431888</v>
      </c>
      <c r="F15" s="113">
        <v>1208.9476791437169</v>
      </c>
      <c r="G15" s="113">
        <v>1360.387728688464</v>
      </c>
      <c r="H15" s="113">
        <v>1360.0543894680022</v>
      </c>
      <c r="I15" s="113">
        <v>1519.4808635589775</v>
      </c>
      <c r="J15" s="113">
        <v>1603.867899497116</v>
      </c>
      <c r="K15" s="113">
        <v>1455.3914541651561</v>
      </c>
      <c r="L15" s="113">
        <v>1326.8851030472388</v>
      </c>
      <c r="M15" s="113"/>
      <c r="N15" s="113"/>
      <c r="O15" s="113"/>
      <c r="DT15" s="34" t="s">
        <v>285</v>
      </c>
      <c r="EB15" s="34" t="s">
        <v>291</v>
      </c>
      <c r="ED15" s="34" t="s">
        <v>295</v>
      </c>
    </row>
    <row r="16" spans="1:134" s="34" customFormat="1" ht="15" customHeight="1" x14ac:dyDescent="0.25">
      <c r="A16" s="181"/>
      <c r="B16" s="110" t="s">
        <v>27</v>
      </c>
      <c r="C16" s="111" t="s">
        <v>25</v>
      </c>
      <c r="D16" s="113">
        <v>67449.309028846881</v>
      </c>
      <c r="E16" s="113">
        <v>63484.899440383866</v>
      </c>
      <c r="F16" s="113">
        <v>67312.035011501517</v>
      </c>
      <c r="G16" s="113">
        <v>70254.906975278733</v>
      </c>
      <c r="H16" s="113">
        <v>60266.761424121221</v>
      </c>
      <c r="I16" s="113">
        <v>64059.712088409273</v>
      </c>
      <c r="J16" s="113">
        <v>66275.693132960951</v>
      </c>
      <c r="K16" s="113">
        <v>67215.190753432122</v>
      </c>
      <c r="L16" s="113">
        <v>61157.969240686092</v>
      </c>
      <c r="M16" s="113"/>
      <c r="N16" s="113"/>
      <c r="O16" s="113"/>
      <c r="DT16" s="34" t="s">
        <v>286</v>
      </c>
      <c r="EB16" s="34" t="s">
        <v>291</v>
      </c>
      <c r="ED16" s="34" t="s">
        <v>295</v>
      </c>
    </row>
    <row r="17" spans="1:134" s="34" customFormat="1" ht="15" customHeight="1" x14ac:dyDescent="0.25">
      <c r="A17" s="181"/>
      <c r="B17" s="110" t="s">
        <v>28</v>
      </c>
      <c r="C17" s="111" t="s">
        <v>25</v>
      </c>
      <c r="D17" s="112">
        <v>5.9063025189659415</v>
      </c>
      <c r="E17" s="112">
        <v>18.767064739195153</v>
      </c>
      <c r="F17" s="112">
        <v>22.885426572379426</v>
      </c>
      <c r="G17" s="112">
        <v>38.14153716134723</v>
      </c>
      <c r="H17" s="112">
        <v>55.935805682637266</v>
      </c>
      <c r="I17" s="112">
        <v>85.605482495418016</v>
      </c>
      <c r="J17" s="112">
        <v>120.49371990600733</v>
      </c>
      <c r="K17" s="112">
        <v>186.63671354435272</v>
      </c>
      <c r="L17" s="112">
        <v>141.17818095009991</v>
      </c>
      <c r="M17" s="112"/>
      <c r="N17" s="112"/>
      <c r="O17" s="112"/>
      <c r="DT17" s="34" t="s">
        <v>287</v>
      </c>
      <c r="EB17" s="34" t="s">
        <v>291</v>
      </c>
      <c r="ED17" s="34" t="s">
        <v>295</v>
      </c>
    </row>
    <row r="18" spans="1:134" s="34" customFormat="1" ht="15" customHeight="1" x14ac:dyDescent="0.25">
      <c r="A18" s="181"/>
      <c r="B18" s="110" t="s">
        <v>184</v>
      </c>
      <c r="C18" s="111" t="s">
        <v>25</v>
      </c>
      <c r="D18" s="112">
        <v>1884.8794688193282</v>
      </c>
      <c r="E18" s="112">
        <v>1746.7875891474157</v>
      </c>
      <c r="F18" s="112">
        <v>1873.6142701153356</v>
      </c>
      <c r="G18" s="112">
        <v>2256.1492224059266</v>
      </c>
      <c r="H18" s="112">
        <v>2096.970989425537</v>
      </c>
      <c r="I18" s="112">
        <v>3095.5315143071393</v>
      </c>
      <c r="J18" s="112">
        <v>3281.1685283412612</v>
      </c>
      <c r="K18" s="112">
        <v>3370.9106802017645</v>
      </c>
      <c r="L18" s="112">
        <v>3864.0994404411631</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L6" sqref="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31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79"/>
      <c r="C6" s="8" t="s">
        <v>14</v>
      </c>
      <c r="D6" s="59">
        <v>5.9329568171195559</v>
      </c>
      <c r="E6" s="59">
        <v>6.978583773789123</v>
      </c>
      <c r="F6" s="59">
        <v>9.5040953038952924</v>
      </c>
      <c r="G6" s="59">
        <v>8.6206986325735873</v>
      </c>
      <c r="H6" s="59">
        <v>7.6790847054960478</v>
      </c>
      <c r="I6" s="59">
        <v>7.142887372925685</v>
      </c>
      <c r="J6" s="59">
        <v>6.099657355971039</v>
      </c>
      <c r="K6" s="59">
        <v>7.9739365427911597</v>
      </c>
      <c r="L6" s="60">
        <v>7.8544352710320142</v>
      </c>
      <c r="M6" s="60"/>
      <c r="N6" s="60"/>
      <c r="O6" s="60"/>
      <c r="DS6" s="4" t="str">
        <f>VLOOKUP(Cover!$D$15, Country_list!$B$3:$C$44, 2, 0)</f>
        <v>AT</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D6" sqref="D6:L1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8</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v>3270.4351051072076</v>
      </c>
      <c r="E6" s="59">
        <v>3183.9281877166063</v>
      </c>
      <c r="F6" s="59">
        <v>3239.3595656142675</v>
      </c>
      <c r="G6" s="59">
        <v>3332.8953357117789</v>
      </c>
      <c r="H6" s="59">
        <v>3182.964397102282</v>
      </c>
      <c r="I6" s="59">
        <v>3191.1135912586001</v>
      </c>
      <c r="J6" s="59">
        <v>3228.3629667335863</v>
      </c>
      <c r="K6" s="60">
        <v>3246.4322213911146</v>
      </c>
      <c r="L6" s="60">
        <v>3197.7796171153959</v>
      </c>
      <c r="M6" s="60"/>
      <c r="N6" s="60"/>
      <c r="O6" s="60"/>
      <c r="DS6" s="4" t="str">
        <f>VLOOKUP(Cover!$D$15, Country_list!$B$3:$C$44, 2, 0)</f>
        <v>AT</v>
      </c>
      <c r="DT6" s="33" t="s">
        <v>289</v>
      </c>
      <c r="DV6" s="33" t="s">
        <v>304</v>
      </c>
      <c r="EB6" s="33" t="s">
        <v>291</v>
      </c>
      <c r="ED6" s="33" t="s">
        <v>294</v>
      </c>
    </row>
    <row r="7" spans="1:134" ht="24" customHeight="1" x14ac:dyDescent="0.25">
      <c r="A7" s="182" t="s">
        <v>15</v>
      </c>
      <c r="B7" s="199"/>
      <c r="C7" s="9" t="s">
        <v>25</v>
      </c>
      <c r="D7" s="61">
        <v>3942.332342161088</v>
      </c>
      <c r="E7" s="61">
        <v>3964.0108496896282</v>
      </c>
      <c r="F7" s="61">
        <v>4121.9364714817912</v>
      </c>
      <c r="G7" s="61">
        <v>4399.7343746714196</v>
      </c>
      <c r="H7" s="61">
        <v>4653.7953963218833</v>
      </c>
      <c r="I7" s="61">
        <v>4722.3635627146159</v>
      </c>
      <c r="J7" s="61">
        <v>4853.2006770943808</v>
      </c>
      <c r="K7" s="58">
        <v>4841.3791941833806</v>
      </c>
      <c r="L7" s="58">
        <v>4744.7968263789735</v>
      </c>
      <c r="M7" s="58"/>
      <c r="N7" s="58"/>
      <c r="O7" s="58"/>
      <c r="DT7" s="33" t="s">
        <v>290</v>
      </c>
      <c r="EB7" s="33" t="s">
        <v>291</v>
      </c>
      <c r="ED7" s="33" t="s">
        <v>295</v>
      </c>
    </row>
    <row r="8" spans="1:134" ht="24" customHeight="1" x14ac:dyDescent="0.25">
      <c r="A8" s="182" t="s">
        <v>29</v>
      </c>
      <c r="B8" s="199"/>
      <c r="C8" s="9" t="s">
        <v>17</v>
      </c>
      <c r="D8" s="61">
        <v>8325.5614518495804</v>
      </c>
      <c r="E8" s="61">
        <v>8705.7653450948364</v>
      </c>
      <c r="F8" s="61">
        <v>8658.9049302220556</v>
      </c>
      <c r="G8" s="61">
        <v>8365.9232690622048</v>
      </c>
      <c r="H8" s="61">
        <v>8684.4194711278778</v>
      </c>
      <c r="I8" s="61">
        <v>8298.6374542954836</v>
      </c>
      <c r="J8" s="61">
        <v>8062.6995199917819</v>
      </c>
      <c r="K8" s="61">
        <v>8043.9799045210284</v>
      </c>
      <c r="L8" s="58">
        <v>7883.5077343834118</v>
      </c>
      <c r="M8" s="58"/>
      <c r="N8" s="58"/>
      <c r="O8" s="58"/>
      <c r="DT8" s="33" t="s">
        <v>231</v>
      </c>
      <c r="EB8" s="33" t="s">
        <v>291</v>
      </c>
      <c r="ED8" s="33" t="s">
        <v>296</v>
      </c>
    </row>
    <row r="9" spans="1:134" ht="24" customHeight="1" x14ac:dyDescent="0.25">
      <c r="A9" s="182" t="s">
        <v>156</v>
      </c>
      <c r="B9" s="199"/>
      <c r="C9" s="9" t="s">
        <v>19</v>
      </c>
      <c r="D9" s="58">
        <v>6.9262929044005617</v>
      </c>
      <c r="E9" s="58">
        <v>5.3457645016549833</v>
      </c>
      <c r="F9" s="58">
        <v>3.4574202433968226</v>
      </c>
      <c r="G9" s="58">
        <v>3.4600688074722972</v>
      </c>
      <c r="H9" s="58">
        <v>3.8066162847736509</v>
      </c>
      <c r="I9" s="58">
        <v>2.8749827528370169</v>
      </c>
      <c r="J9" s="58">
        <v>1.9449508236037989</v>
      </c>
      <c r="K9" s="58">
        <v>2.1580587269382576</v>
      </c>
      <c r="L9" s="58">
        <v>1.9333860176175934</v>
      </c>
      <c r="M9" s="58"/>
      <c r="N9" s="58"/>
      <c r="O9" s="58"/>
      <c r="DT9" s="33" t="s">
        <v>279</v>
      </c>
      <c r="EB9" s="33" t="s">
        <v>292</v>
      </c>
      <c r="ED9" s="33" t="s">
        <v>293</v>
      </c>
    </row>
    <row r="10" spans="1:134" ht="24" customHeight="1" x14ac:dyDescent="0.25">
      <c r="A10" s="182" t="s">
        <v>20</v>
      </c>
      <c r="B10" s="199"/>
      <c r="C10" s="9" t="s">
        <v>19</v>
      </c>
      <c r="D10" s="61">
        <v>144.69610089529345</v>
      </c>
      <c r="E10" s="58">
        <v>138.33794361994376</v>
      </c>
      <c r="F10" s="58">
        <v>116.77309207760729</v>
      </c>
      <c r="G10" s="58">
        <v>122.13593290659068</v>
      </c>
      <c r="H10" s="58">
        <v>118.40315427526751</v>
      </c>
      <c r="I10" s="58">
        <v>112.38582630474913</v>
      </c>
      <c r="J10" s="58">
        <v>107.10395264037172</v>
      </c>
      <c r="K10" s="58">
        <v>107.55913085409823</v>
      </c>
      <c r="L10" s="58">
        <v>96.903150274493768</v>
      </c>
      <c r="M10" s="58"/>
      <c r="N10" s="58"/>
      <c r="O10" s="58"/>
      <c r="DT10" s="139" t="s">
        <v>280</v>
      </c>
      <c r="EB10" s="33" t="s">
        <v>292</v>
      </c>
      <c r="ED10" s="33" t="s">
        <v>293</v>
      </c>
    </row>
    <row r="11" spans="1:134" s="34" customFormat="1" ht="15" customHeight="1" x14ac:dyDescent="0.25">
      <c r="A11" s="181" t="s">
        <v>18</v>
      </c>
      <c r="B11" s="110" t="s">
        <v>21</v>
      </c>
      <c r="C11" s="111" t="s">
        <v>19</v>
      </c>
      <c r="D11" s="113">
        <v>3.5932463950275686</v>
      </c>
      <c r="E11" s="113">
        <v>4.1302480733781701</v>
      </c>
      <c r="F11" s="113">
        <v>3.9792862712549231</v>
      </c>
      <c r="G11" s="113">
        <v>2.9651904627337164</v>
      </c>
      <c r="H11" s="113">
        <v>3.1533023264497038</v>
      </c>
      <c r="I11" s="113">
        <v>3.1531915341513561</v>
      </c>
      <c r="J11" s="113">
        <v>2.4817951370068942</v>
      </c>
      <c r="K11" s="113">
        <v>2.9720987766191267</v>
      </c>
      <c r="L11" s="113">
        <v>2.7338033737264364</v>
      </c>
      <c r="M11" s="113"/>
      <c r="N11" s="113"/>
      <c r="O11" s="113"/>
      <c r="DT11" s="34" t="s">
        <v>281</v>
      </c>
      <c r="EB11" s="34" t="s">
        <v>292</v>
      </c>
      <c r="ED11" s="34" t="s">
        <v>293</v>
      </c>
    </row>
    <row r="12" spans="1:134" s="34" customFormat="1" ht="15" customHeight="1" x14ac:dyDescent="0.25">
      <c r="A12" s="181"/>
      <c r="B12" s="110" t="s">
        <v>22</v>
      </c>
      <c r="C12" s="111" t="s">
        <v>19</v>
      </c>
      <c r="D12" s="112">
        <v>0</v>
      </c>
      <c r="E12" s="112">
        <v>0</v>
      </c>
      <c r="F12" s="112">
        <v>0</v>
      </c>
      <c r="G12" s="112">
        <v>0</v>
      </c>
      <c r="H12" s="112">
        <v>0</v>
      </c>
      <c r="I12" s="112">
        <v>0</v>
      </c>
      <c r="J12" s="112">
        <v>0</v>
      </c>
      <c r="K12" s="112">
        <v>0</v>
      </c>
      <c r="L12" s="112">
        <v>0</v>
      </c>
      <c r="M12" s="113"/>
      <c r="N12" s="113"/>
      <c r="O12" s="113"/>
      <c r="DT12" s="34" t="s">
        <v>282</v>
      </c>
      <c r="EB12" s="34" t="s">
        <v>292</v>
      </c>
      <c r="ED12" s="34" t="s">
        <v>293</v>
      </c>
    </row>
    <row r="13" spans="1:134" s="34" customFormat="1" ht="15" customHeight="1" x14ac:dyDescent="0.25">
      <c r="A13" s="181"/>
      <c r="B13" s="110" t="s">
        <v>23</v>
      </c>
      <c r="C13" s="111" t="s">
        <v>19</v>
      </c>
      <c r="D13" s="113">
        <v>137.72801828969119</v>
      </c>
      <c r="E13" s="113">
        <v>132.69355398325021</v>
      </c>
      <c r="F13" s="113">
        <v>112.20701700778737</v>
      </c>
      <c r="G13" s="113">
        <v>118.70820248396153</v>
      </c>
      <c r="H13" s="113">
        <v>115.24985194881781</v>
      </c>
      <c r="I13" s="113">
        <v>109.23263477059777</v>
      </c>
      <c r="J13" s="113">
        <v>104.62215750336482</v>
      </c>
      <c r="K13" s="113">
        <v>104.58703207747911</v>
      </c>
      <c r="L13" s="113">
        <v>94.169346900767337</v>
      </c>
      <c r="M13" s="113"/>
      <c r="N13" s="113"/>
      <c r="O13" s="113"/>
      <c r="DT13" s="34" t="s">
        <v>283</v>
      </c>
      <c r="EB13" s="34" t="s">
        <v>292</v>
      </c>
      <c r="ED13" s="34" t="s">
        <v>293</v>
      </c>
    </row>
    <row r="14" spans="1:134" ht="24" customHeight="1" x14ac:dyDescent="0.25">
      <c r="A14" s="182" t="s">
        <v>24</v>
      </c>
      <c r="B14" s="199"/>
      <c r="C14" s="9" t="s">
        <v>25</v>
      </c>
      <c r="D14" s="61">
        <v>12114.425802451209</v>
      </c>
      <c r="E14" s="61">
        <v>12568.289399959918</v>
      </c>
      <c r="F14" s="61">
        <v>13183.405726740348</v>
      </c>
      <c r="G14" s="61">
        <v>13347.578789680529</v>
      </c>
      <c r="H14" s="61">
        <v>13945.064371203664</v>
      </c>
      <c r="I14" s="61">
        <v>13902.648843372805</v>
      </c>
      <c r="J14" s="61">
        <v>13546.136565696797</v>
      </c>
      <c r="K14" s="61">
        <v>13365.905633937784</v>
      </c>
      <c r="L14" s="61">
        <v>12836.266543231068</v>
      </c>
      <c r="M14" s="58"/>
      <c r="N14" s="58"/>
      <c r="O14" s="58"/>
      <c r="DT14" s="139" t="s">
        <v>284</v>
      </c>
      <c r="EB14" s="33" t="s">
        <v>291</v>
      </c>
      <c r="ED14" s="33" t="s">
        <v>295</v>
      </c>
    </row>
    <row r="15" spans="1:134" s="34" customFormat="1" ht="15" customHeight="1" x14ac:dyDescent="0.25">
      <c r="A15" s="181" t="s">
        <v>18</v>
      </c>
      <c r="B15" s="110" t="s">
        <v>26</v>
      </c>
      <c r="C15" s="111" t="s">
        <v>25</v>
      </c>
      <c r="D15" s="112">
        <v>3106.8839018485646</v>
      </c>
      <c r="E15" s="113">
        <v>3041.7164312568111</v>
      </c>
      <c r="F15" s="113">
        <v>3308.4503208562833</v>
      </c>
      <c r="G15" s="113">
        <v>3631.1582713115363</v>
      </c>
      <c r="H15" s="113">
        <v>3541.8136105319982</v>
      </c>
      <c r="I15" s="113">
        <v>3815.6571364410224</v>
      </c>
      <c r="J15" s="113">
        <v>3885.8931005028844</v>
      </c>
      <c r="K15" s="113">
        <v>3637.2755458348443</v>
      </c>
      <c r="L15" s="113">
        <v>3316.1158969527614</v>
      </c>
      <c r="M15" s="113"/>
      <c r="N15" s="113"/>
      <c r="O15" s="113"/>
      <c r="DT15" s="34" t="s">
        <v>285</v>
      </c>
      <c r="EB15" s="34" t="s">
        <v>291</v>
      </c>
      <c r="ED15" s="34" t="s">
        <v>295</v>
      </c>
    </row>
    <row r="16" spans="1:134" s="34" customFormat="1" ht="15" customHeight="1" x14ac:dyDescent="0.25">
      <c r="A16" s="181"/>
      <c r="B16" s="110" t="s">
        <v>27</v>
      </c>
      <c r="C16" s="111" t="s">
        <v>25</v>
      </c>
      <c r="D16" s="112">
        <v>7328.8752603518769</v>
      </c>
      <c r="E16" s="113">
        <v>7607.700712256009</v>
      </c>
      <c r="F16" s="113">
        <v>7811.1813305886089</v>
      </c>
      <c r="G16" s="113">
        <v>7795.4875602301281</v>
      </c>
      <c r="H16" s="113">
        <v>8106.9921861750117</v>
      </c>
      <c r="I16" s="113">
        <v>7441.9119311556069</v>
      </c>
      <c r="J16" s="113">
        <v>6863.0775909001104</v>
      </c>
      <c r="K16" s="113">
        <v>6866.8842224480895</v>
      </c>
      <c r="L16" s="113">
        <v>6248.0622214761597</v>
      </c>
      <c r="M16" s="113"/>
      <c r="N16" s="113"/>
      <c r="O16" s="113"/>
      <c r="DT16" s="34" t="s">
        <v>286</v>
      </c>
      <c r="EB16" s="34" t="s">
        <v>291</v>
      </c>
      <c r="ED16" s="34" t="s">
        <v>295</v>
      </c>
    </row>
    <row r="17" spans="1:134" s="34" customFormat="1" ht="15" customHeight="1" x14ac:dyDescent="0.25">
      <c r="A17" s="181"/>
      <c r="B17" s="110" t="s">
        <v>28</v>
      </c>
      <c r="C17" s="111" t="s">
        <v>25</v>
      </c>
      <c r="D17" s="112">
        <v>0.77010907009597696</v>
      </c>
      <c r="E17" s="112">
        <v>2.952845594514196</v>
      </c>
      <c r="F17" s="112">
        <v>3.4993454107924928</v>
      </c>
      <c r="G17" s="112">
        <v>5.5371805447929079</v>
      </c>
      <c r="H17" s="112">
        <v>10.010563922190691</v>
      </c>
      <c r="I17" s="112">
        <v>13.139290083315339</v>
      </c>
      <c r="J17" s="112">
        <v>15.967402635062685</v>
      </c>
      <c r="K17" s="112">
        <v>25.070545856613279</v>
      </c>
      <c r="L17" s="112">
        <v>20.386865243309305</v>
      </c>
      <c r="M17" s="112"/>
      <c r="N17" s="112"/>
      <c r="O17" s="112"/>
      <c r="DT17" s="34" t="s">
        <v>287</v>
      </c>
      <c r="EB17" s="34" t="s">
        <v>291</v>
      </c>
      <c r="ED17" s="34" t="s">
        <v>295</v>
      </c>
    </row>
    <row r="18" spans="1:134" s="34" customFormat="1" ht="15" customHeight="1" x14ac:dyDescent="0.25">
      <c r="A18" s="181"/>
      <c r="B18" s="110" t="s">
        <v>185</v>
      </c>
      <c r="C18" s="111" t="s">
        <v>25</v>
      </c>
      <c r="D18" s="112">
        <v>1677.8965311806714</v>
      </c>
      <c r="E18" s="112">
        <v>1915.9194108525837</v>
      </c>
      <c r="F18" s="112">
        <v>2060.2747298846652</v>
      </c>
      <c r="G18" s="112">
        <v>1915.395777594073</v>
      </c>
      <c r="H18" s="112">
        <v>2286.248010574463</v>
      </c>
      <c r="I18" s="112">
        <v>2631.94048569286</v>
      </c>
      <c r="J18" s="112">
        <v>2781.1984716587394</v>
      </c>
      <c r="K18" s="112">
        <v>2836.6753197982357</v>
      </c>
      <c r="L18" s="112">
        <v>3251.7015595588373</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pageSetUpPr fitToPage="1"/>
  </sheetPr>
  <dimension ref="A1:ED19"/>
  <sheetViews>
    <sheetView showGridLines="0" zoomScale="90" zoomScaleNormal="90" workbookViewId="0">
      <pane xSplit="3" topLeftCell="D1" activePane="topRight" state="frozen"/>
      <selection activeCell="DS1" sqref="DS1:ED1048576"/>
      <selection pane="topRight" activeCell="J8" sqref="J8"/>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9</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198"/>
      <c r="C6" s="8" t="s">
        <v>14</v>
      </c>
      <c r="D6" s="59">
        <v>1699.0959413130765</v>
      </c>
      <c r="E6" s="60">
        <v>1658.5584974486494</v>
      </c>
      <c r="F6" s="60">
        <v>1696.2408775890756</v>
      </c>
      <c r="G6" s="60">
        <v>1798.071984243991</v>
      </c>
      <c r="H6" s="60">
        <v>1742.4657570887593</v>
      </c>
      <c r="I6" s="60">
        <v>1772.3007664299009</v>
      </c>
      <c r="J6" s="60">
        <v>1844.4160801913365</v>
      </c>
      <c r="K6" s="60">
        <v>1854.7393381988268</v>
      </c>
      <c r="L6" s="60">
        <v>1826.9433169354204</v>
      </c>
      <c r="M6" s="60"/>
      <c r="N6" s="60"/>
      <c r="O6" s="60"/>
      <c r="DS6" s="4" t="str">
        <f>VLOOKUP(Cover!$D$15, Country_list!$B$3:$C$44, 2, 0)</f>
        <v>AT</v>
      </c>
      <c r="DT6" s="33" t="s">
        <v>289</v>
      </c>
      <c r="DV6" s="33" t="s">
        <v>305</v>
      </c>
      <c r="EB6" s="33" t="s">
        <v>291</v>
      </c>
      <c r="ED6" s="33" t="s">
        <v>294</v>
      </c>
    </row>
    <row r="7" spans="1:134" ht="24" customHeight="1" x14ac:dyDescent="0.25">
      <c r="A7" s="182" t="s">
        <v>15</v>
      </c>
      <c r="B7" s="199"/>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2" t="s">
        <v>29</v>
      </c>
      <c r="B8" s="199"/>
      <c r="C8" s="9" t="s">
        <v>17</v>
      </c>
      <c r="D8" s="61">
        <v>536.09466320545232</v>
      </c>
      <c r="E8" s="61">
        <v>539.79648471947348</v>
      </c>
      <c r="F8" s="61">
        <v>512.77238624649726</v>
      </c>
      <c r="G8" s="61">
        <v>500.52228357204928</v>
      </c>
      <c r="H8" s="61">
        <v>488.96374034445836</v>
      </c>
      <c r="I8" s="61">
        <v>461.20396078110207</v>
      </c>
      <c r="J8" s="61">
        <v>435.70778748007217</v>
      </c>
      <c r="K8" s="58">
        <v>424.406347527413</v>
      </c>
      <c r="L8" s="58">
        <v>384.74409557333883</v>
      </c>
      <c r="M8" s="58"/>
      <c r="N8" s="58"/>
      <c r="O8" s="58"/>
      <c r="DT8" s="33" t="s">
        <v>231</v>
      </c>
      <c r="EB8" s="33" t="s">
        <v>291</v>
      </c>
      <c r="ED8" s="33" t="s">
        <v>296</v>
      </c>
    </row>
    <row r="9" spans="1:134" ht="24" customHeight="1" x14ac:dyDescent="0.25">
      <c r="A9" s="182" t="s">
        <v>156</v>
      </c>
      <c r="B9" s="199"/>
      <c r="C9" s="9" t="s">
        <v>19</v>
      </c>
      <c r="D9" s="58">
        <v>0.22131633465597256</v>
      </c>
      <c r="E9" s="58">
        <v>0.25352699719518662</v>
      </c>
      <c r="F9" s="58">
        <v>0.26849379534841744</v>
      </c>
      <c r="G9" s="58">
        <v>0.14855615319604284</v>
      </c>
      <c r="H9" s="58">
        <v>7.0908714492459224E-2</v>
      </c>
      <c r="I9" s="58">
        <v>8.0415482720320439E-2</v>
      </c>
      <c r="J9" s="58">
        <v>9.6818436263775995E-2</v>
      </c>
      <c r="K9" s="58">
        <v>0.10793205679847544</v>
      </c>
      <c r="L9" s="58">
        <v>9.6695389639806839E-2</v>
      </c>
      <c r="M9" s="58"/>
      <c r="N9" s="58"/>
      <c r="O9" s="58"/>
      <c r="DT9" s="33" t="s">
        <v>279</v>
      </c>
      <c r="EB9" s="33" t="s">
        <v>292</v>
      </c>
      <c r="ED9" s="33" t="s">
        <v>293</v>
      </c>
    </row>
    <row r="10" spans="1:134" ht="24" customHeight="1" x14ac:dyDescent="0.25">
      <c r="A10" s="182" t="s">
        <v>20</v>
      </c>
      <c r="B10" s="199"/>
      <c r="C10" s="9" t="s">
        <v>19</v>
      </c>
      <c r="D10" s="58">
        <v>0.52807879872443864</v>
      </c>
      <c r="E10" s="58">
        <v>0.45618271354422851</v>
      </c>
      <c r="F10" s="58">
        <v>0.2978764294235261</v>
      </c>
      <c r="G10" s="58">
        <v>0.22376826107263145</v>
      </c>
      <c r="H10" s="58">
        <v>0.23980258040102045</v>
      </c>
      <c r="I10" s="58">
        <v>0.35604358269837105</v>
      </c>
      <c r="J10" s="58">
        <v>0.41950507578311491</v>
      </c>
      <c r="K10" s="58">
        <v>0.50128300615482946</v>
      </c>
      <c r="L10" s="58">
        <v>0.46109139581716546</v>
      </c>
      <c r="M10" s="58"/>
      <c r="N10" s="58"/>
      <c r="O10" s="58"/>
      <c r="DT10" s="139" t="s">
        <v>280</v>
      </c>
      <c r="EB10" s="33" t="s">
        <v>292</v>
      </c>
      <c r="ED10" s="33" t="s">
        <v>293</v>
      </c>
    </row>
    <row r="11" spans="1:134" s="34" customFormat="1" ht="15" customHeight="1" x14ac:dyDescent="0.25">
      <c r="A11" s="181" t="s">
        <v>18</v>
      </c>
      <c r="B11" s="110" t="s">
        <v>21</v>
      </c>
      <c r="C11" s="111" t="s">
        <v>19</v>
      </c>
      <c r="D11" s="112">
        <v>0.52807879872443864</v>
      </c>
      <c r="E11" s="113">
        <v>0.45618271354422851</v>
      </c>
      <c r="F11" s="113">
        <v>0.2978764294235261</v>
      </c>
      <c r="G11" s="113">
        <v>0.22376826107263145</v>
      </c>
      <c r="H11" s="113">
        <v>0.23980258040102045</v>
      </c>
      <c r="I11" s="113">
        <v>0.35604358269837105</v>
      </c>
      <c r="J11" s="113">
        <v>0.41950507578311491</v>
      </c>
      <c r="K11" s="113">
        <v>0.50128300615482946</v>
      </c>
      <c r="L11" s="113">
        <v>0.46109139581716546</v>
      </c>
      <c r="M11" s="113"/>
      <c r="N11" s="113"/>
      <c r="O11" s="113"/>
      <c r="DT11" s="34" t="s">
        <v>281</v>
      </c>
      <c r="EB11" s="34" t="s">
        <v>292</v>
      </c>
      <c r="ED11" s="34" t="s">
        <v>293</v>
      </c>
    </row>
    <row r="12" spans="1:134" s="34" customFormat="1" ht="15" customHeight="1" x14ac:dyDescent="0.25">
      <c r="A12" s="181"/>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1"/>
      <c r="B13" s="110" t="s">
        <v>23</v>
      </c>
      <c r="C13" s="111" t="s">
        <v>19</v>
      </c>
      <c r="D13" s="112">
        <v>0</v>
      </c>
      <c r="E13" s="112">
        <v>0</v>
      </c>
      <c r="F13" s="112">
        <v>0</v>
      </c>
      <c r="G13" s="112">
        <v>0</v>
      </c>
      <c r="H13" s="112">
        <v>0</v>
      </c>
      <c r="I13" s="112">
        <v>0</v>
      </c>
      <c r="J13" s="112">
        <v>0</v>
      </c>
      <c r="K13" s="112">
        <v>0</v>
      </c>
      <c r="L13" s="112">
        <v>0</v>
      </c>
      <c r="M13" s="113"/>
      <c r="N13" s="113"/>
      <c r="O13" s="113"/>
      <c r="DT13" s="34" t="s">
        <v>283</v>
      </c>
      <c r="EB13" s="34" t="s">
        <v>292</v>
      </c>
      <c r="ED13" s="34" t="s">
        <v>293</v>
      </c>
    </row>
    <row r="14" spans="1:134" ht="24" customHeight="1" x14ac:dyDescent="0.25">
      <c r="A14" s="182" t="s">
        <v>24</v>
      </c>
      <c r="B14" s="199"/>
      <c r="C14" s="9" t="s">
        <v>25</v>
      </c>
      <c r="D14" s="61">
        <v>374.24329921216719</v>
      </c>
      <c r="E14" s="58">
        <v>411.63393702642128</v>
      </c>
      <c r="F14" s="58">
        <v>446.30188592670277</v>
      </c>
      <c r="G14" s="58">
        <v>438.72674678498953</v>
      </c>
      <c r="H14" s="58">
        <v>430.00502009894581</v>
      </c>
      <c r="I14" s="58">
        <v>367.08920785638378</v>
      </c>
      <c r="J14" s="58">
        <v>311.47915359787794</v>
      </c>
      <c r="K14" s="58">
        <v>312.6017647188313</v>
      </c>
      <c r="L14" s="58">
        <v>284.2224916443418</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v>374.19371080122909</v>
      </c>
      <c r="E16" s="113">
        <v>411.45084736013064</v>
      </c>
      <c r="F16" s="113">
        <v>446.09465790987468</v>
      </c>
      <c r="G16" s="113">
        <v>438.3954644911297</v>
      </c>
      <c r="H16" s="113">
        <v>429.44138970377378</v>
      </c>
      <c r="I16" s="113">
        <v>366.35898043511713</v>
      </c>
      <c r="J16" s="113">
        <v>310.61627613894797</v>
      </c>
      <c r="K16" s="113">
        <v>311.27902411979727</v>
      </c>
      <c r="L16" s="113">
        <v>283.22753783775102</v>
      </c>
      <c r="M16" s="113"/>
      <c r="N16" s="113"/>
      <c r="O16" s="113"/>
      <c r="DT16" s="34" t="s">
        <v>286</v>
      </c>
      <c r="EB16" s="34" t="s">
        <v>291</v>
      </c>
      <c r="ED16" s="34" t="s">
        <v>295</v>
      </c>
    </row>
    <row r="17" spans="1:134" s="34" customFormat="1" ht="15" customHeight="1" x14ac:dyDescent="0.25">
      <c r="A17" s="204"/>
      <c r="B17" s="110" t="s">
        <v>28</v>
      </c>
      <c r="C17" s="111" t="s">
        <v>25</v>
      </c>
      <c r="D17" s="112">
        <v>4.9588410938081431E-2</v>
      </c>
      <c r="E17" s="113">
        <v>0.18308966629065321</v>
      </c>
      <c r="F17" s="113">
        <v>0.2072280168280794</v>
      </c>
      <c r="G17" s="113">
        <v>0.33128229385985575</v>
      </c>
      <c r="H17" s="113">
        <v>0.56363039517205005</v>
      </c>
      <c r="I17" s="113">
        <v>0.73022742126663354</v>
      </c>
      <c r="J17" s="113">
        <v>0.86287745892999967</v>
      </c>
      <c r="K17" s="113">
        <v>1.3227405990340193</v>
      </c>
      <c r="L17" s="113">
        <v>0.99495380659077282</v>
      </c>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10</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v>8165.6989714098954</v>
      </c>
      <c r="E6" s="63">
        <v>7982.2915911044911</v>
      </c>
      <c r="F6" s="63">
        <v>8186.4015358736197</v>
      </c>
      <c r="G6" s="63">
        <v>8330.6697365064319</v>
      </c>
      <c r="H6" s="63">
        <v>7911.8538747693983</v>
      </c>
      <c r="I6" s="63">
        <v>7887.8882443581297</v>
      </c>
      <c r="J6" s="63">
        <v>7890.3336060825868</v>
      </c>
      <c r="K6" s="63">
        <v>7934.4960651153178</v>
      </c>
      <c r="L6" s="63">
        <v>7815.5858674405663</v>
      </c>
      <c r="M6" s="63"/>
      <c r="N6" s="63"/>
      <c r="O6" s="63"/>
      <c r="DS6" s="4" t="str">
        <f>VLOOKUP(Cover!$D$15, Country_list!$B$3:$C$44, 2, 0)</f>
        <v>AT</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6" sqref="D6:L6"/>
    </sheetView>
  </sheetViews>
  <sheetFormatPr defaultColWidth="9.140625"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0" t="s">
        <v>0</v>
      </c>
      <c r="B1" s="196"/>
      <c r="C1" s="31"/>
      <c r="D1" s="1"/>
      <c r="E1" s="2"/>
      <c r="F1" s="2"/>
      <c r="G1" s="2"/>
      <c r="H1" s="2"/>
      <c r="I1" s="2"/>
      <c r="J1" s="2"/>
      <c r="K1" s="2"/>
      <c r="L1" s="2"/>
      <c r="M1" s="2"/>
      <c r="N1" s="2"/>
      <c r="O1" s="2"/>
    </row>
    <row r="2" spans="1:134" ht="18" customHeight="1" x14ac:dyDescent="0.25">
      <c r="A2" s="172"/>
      <c r="B2" s="194"/>
      <c r="C2" s="1"/>
      <c r="D2" s="1"/>
      <c r="E2" s="5"/>
      <c r="F2" s="3"/>
      <c r="G2" s="3"/>
      <c r="H2" s="3"/>
      <c r="I2" s="3"/>
      <c r="J2" s="3"/>
      <c r="K2" s="3"/>
      <c r="L2" s="3"/>
      <c r="M2" s="3"/>
      <c r="N2" s="3"/>
      <c r="O2" s="3"/>
    </row>
    <row r="3" spans="1:134" ht="18" customHeight="1" x14ac:dyDescent="0.25">
      <c r="A3" s="174" t="s">
        <v>11</v>
      </c>
      <c r="B3" s="197"/>
      <c r="C3" s="1"/>
      <c r="D3" s="1"/>
      <c r="E3" s="5"/>
      <c r="F3" s="3"/>
      <c r="G3" s="3"/>
      <c r="H3" s="3"/>
      <c r="I3" s="3"/>
      <c r="J3" s="3"/>
      <c r="K3" s="3"/>
      <c r="L3" s="3"/>
      <c r="M3" s="3"/>
      <c r="N3" s="3"/>
      <c r="O3" s="3"/>
      <c r="DS3" s="33" t="s">
        <v>229</v>
      </c>
    </row>
    <row r="4" spans="1:134" ht="18" customHeight="1" x14ac:dyDescent="0.25">
      <c r="A4" s="193"/>
      <c r="B4" s="194"/>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7" t="s">
        <v>3</v>
      </c>
      <c r="B5" s="195"/>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9" t="s">
        <v>13</v>
      </c>
      <c r="B6" s="208"/>
      <c r="C6" s="8" t="s">
        <v>14</v>
      </c>
      <c r="D6" s="59">
        <v>1986.5933631965845</v>
      </c>
      <c r="E6" s="59">
        <v>1902.3703249787213</v>
      </c>
      <c r="F6" s="59">
        <v>1682.3439253475881</v>
      </c>
      <c r="G6" s="59">
        <v>1438.9304196524608</v>
      </c>
      <c r="H6" s="59">
        <v>1279.5379400046168</v>
      </c>
      <c r="I6" s="59">
        <v>1853.6663843274855</v>
      </c>
      <c r="J6" s="59">
        <v>2405.3770129881623</v>
      </c>
      <c r="K6" s="59">
        <v>2416.9998487497342</v>
      </c>
      <c r="L6" s="59">
        <v>2380.7775193874131</v>
      </c>
      <c r="M6" s="60"/>
      <c r="N6" s="60"/>
      <c r="O6" s="60"/>
      <c r="DS6" s="4" t="str">
        <f>VLOOKUP(Cover!$D$15, Country_list!$B$3:$C$44, 2, 0)</f>
        <v>AT</v>
      </c>
      <c r="DT6" s="33" t="s">
        <v>289</v>
      </c>
      <c r="DV6" s="33" t="s">
        <v>307</v>
      </c>
      <c r="EB6" s="33" t="s">
        <v>291</v>
      </c>
      <c r="ED6" s="33" t="s">
        <v>294</v>
      </c>
    </row>
    <row r="7" spans="1:134" ht="24" customHeight="1" x14ac:dyDescent="0.25">
      <c r="A7" s="182" t="s">
        <v>15</v>
      </c>
      <c r="B7" s="209"/>
      <c r="C7" s="9" t="s">
        <v>25</v>
      </c>
      <c r="D7" s="61"/>
      <c r="E7" s="58"/>
      <c r="F7" s="58"/>
      <c r="G7" s="58"/>
      <c r="H7" s="58"/>
      <c r="I7" s="58"/>
      <c r="J7" s="58"/>
      <c r="K7" s="58"/>
      <c r="L7" s="58"/>
      <c r="M7" s="58"/>
      <c r="N7" s="58"/>
      <c r="O7" s="58"/>
      <c r="DT7" s="33" t="s">
        <v>290</v>
      </c>
      <c r="EB7" s="33" t="s">
        <v>291</v>
      </c>
      <c r="ED7" s="33" t="s">
        <v>295</v>
      </c>
    </row>
    <row r="8" spans="1:134" ht="24" customHeight="1" x14ac:dyDescent="0.25">
      <c r="A8" s="182" t="s">
        <v>29</v>
      </c>
      <c r="B8" s="209"/>
      <c r="C8" s="9" t="s">
        <v>17</v>
      </c>
      <c r="D8" s="61"/>
      <c r="E8" s="58"/>
      <c r="F8" s="58"/>
      <c r="G8" s="58"/>
      <c r="H8" s="58"/>
      <c r="I8" s="58"/>
      <c r="J8" s="58"/>
      <c r="K8" s="58"/>
      <c r="L8" s="58"/>
      <c r="M8" s="58"/>
      <c r="N8" s="58"/>
      <c r="O8" s="58"/>
      <c r="DT8" s="33" t="s">
        <v>231</v>
      </c>
      <c r="EB8" s="33" t="s">
        <v>291</v>
      </c>
      <c r="ED8" s="33" t="s">
        <v>296</v>
      </c>
    </row>
    <row r="9" spans="1:134" ht="24" customHeight="1" x14ac:dyDescent="0.25">
      <c r="A9" s="182" t="s">
        <v>156</v>
      </c>
      <c r="B9" s="199"/>
      <c r="C9" s="9" t="s">
        <v>19</v>
      </c>
      <c r="D9" s="61"/>
      <c r="E9" s="58"/>
      <c r="F9" s="58"/>
      <c r="G9" s="58"/>
      <c r="H9" s="58"/>
      <c r="I9" s="58"/>
      <c r="J9" s="58"/>
      <c r="K9" s="58"/>
      <c r="L9" s="58"/>
      <c r="M9" s="58"/>
      <c r="N9" s="58"/>
      <c r="O9" s="58"/>
      <c r="DT9" s="33" t="s">
        <v>279</v>
      </c>
      <c r="EB9" s="33" t="s">
        <v>292</v>
      </c>
      <c r="ED9" s="33" t="s">
        <v>293</v>
      </c>
    </row>
    <row r="10" spans="1:134" ht="24" customHeight="1" x14ac:dyDescent="0.25">
      <c r="A10" s="182" t="s">
        <v>20</v>
      </c>
      <c r="B10" s="199"/>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1"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1"/>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1"/>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2" t="s">
        <v>24</v>
      </c>
      <c r="B14" s="199"/>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election activeCell="L45" sqref="L45"/>
    </sheetView>
  </sheetViews>
  <sheetFormatPr defaultColWidth="9.140625"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2020-01-30T14:26:38Z</dcterms:modified>
  <cp:category>Annual questionnaires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-257942347</vt:i4>
  </property>
  <property fmtid="{D5CDD505-2E9C-101B-9397-08002B2CF9AE}" pid="3" name="_NewReviewCycle">
    <vt:lpwstr/>
  </property>
  <property fmtid="{D5CDD505-2E9C-101B-9397-08002B2CF9AE}" pid="4" name="_EmailSubject">
    <vt:lpwstr>Some files sent by EWA for ENERGY are corrupted</vt:lpwstr>
  </property>
  <property fmtid="{D5CDD505-2E9C-101B-9397-08002B2CF9AE}" pid="5" name="_AuthorEmail">
    <vt:lpwstr>energie@statistik.gv.at</vt:lpwstr>
  </property>
  <property fmtid="{D5CDD505-2E9C-101B-9397-08002B2CF9AE}" pid="6" name="_AuthorEmailDisplayName">
    <vt:lpwstr>ENERGIE</vt:lpwstr>
  </property>
  <property fmtid="{D5CDD505-2E9C-101B-9397-08002B2CF9AE}" pid="7" name="_ReviewingToolsShownOnce">
    <vt:lpwstr/>
  </property>
</Properties>
</file>