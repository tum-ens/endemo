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drawings/drawing14.xml" ContentType="application/vnd.openxmlformats-officedocument.drawing+xml"/>
  <Override PartName="/xl/ctrlProps/ctrlProp25.xml" ContentType="application/vnd.ms-excel.controlproperties+xml"/>
  <Override PartName="/xl/drawings/drawing15.xml" ContentType="application/vnd.openxmlformats-officedocument.drawing+xml"/>
  <Override PartName="/xl/ctrlProps/ctrlProp26.xml" ContentType="application/vnd.ms-excel.controlproperties+xml"/>
  <Override PartName="/xl/drawings/drawing16.xml" ContentType="application/vnd.openxmlformats-officedocument.drawing+xml"/>
  <Override PartName="/xl/ctrlProps/ctrlProp27.xml" ContentType="application/vnd.ms-excel.controlproperties+xml"/>
  <Override PartName="/xl/drawings/drawing17.xml" ContentType="application/vnd.openxmlformats-officedocument.drawing+xml"/>
  <Override PartName="/xl/ctrlProps/ctrlProp28.xml" ContentType="application/vnd.ms-excel.controlproperties+xml"/>
  <Override PartName="/xl/drawings/drawing18.xml" ContentType="application/vnd.openxmlformats-officedocument.drawing+xml"/>
  <Override PartName="/xl/ctrlProps/ctrlProp29.xml" ContentType="application/vnd.ms-excel.controlproperties+xml"/>
  <Override PartName="/xl/drawings/drawing19.xml" ContentType="application/vnd.openxmlformats-officedocument.drawing+xml"/>
  <Override PartName="/xl/ctrlProps/ctrlProp3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H:\Projekte\endemo\input\households\energy_consumption_households\"/>
    </mc:Choice>
  </mc:AlternateContent>
  <xr:revisionPtr revIDLastSave="0" documentId="13_ncr:1_{FF2305D2-2F14-44B1-BE9A-ACCA1816D8D2}" xr6:coauthVersionLast="47" xr6:coauthVersionMax="47" xr10:uidLastSave="{00000000-0000-0000-0000-000000000000}"/>
  <bookViews>
    <workbookView xWindow="-120" yWindow="-120" windowWidth="29040" windowHeight="17640" tabRatio="872" firstSheet="8" activeTab="10" xr2:uid="{00000000-000D-0000-FFFF-FFFF00000000}"/>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1a_SpaceHeating (2)" sheetId="18" r:id="rId14"/>
    <sheet name="1b_SpaceCooling (2)" sheetId="19" r:id="rId15"/>
    <sheet name="1c_WaterHeating (2)" sheetId="20" r:id="rId16"/>
    <sheet name="1d_Cooking (2)" sheetId="21" r:id="rId17"/>
    <sheet name="1e_LightingAndAppliances (2)" sheetId="22" r:id="rId18"/>
    <sheet name="1f_OtherEndUses (2)" sheetId="23" r:id="rId19"/>
    <sheet name="Validation" sheetId="14" r:id="rId20"/>
    <sheet name="Parameter_mapping" sheetId="16" state="hidden" r:id="rId21"/>
    <sheet name="Parameters" sheetId="17" state="hidden" r:id="rId22"/>
  </sheets>
  <externalReferences>
    <externalReference r:id="rId23"/>
    <externalReference r:id="rId24"/>
    <externalReference r:id="rId25"/>
    <externalReference r:id="rId26"/>
    <externalReference r:id="rId27"/>
    <externalReference r:id="rId28"/>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_xlnm.Print_Area" localSheetId="5">'1a_SpaceHeating'!$A$1:$K$18</definedName>
    <definedName name="_xlnm.Print_Area" localSheetId="13">'1a_SpaceHeating (2)'!$A$1:$K$18</definedName>
    <definedName name="_xlnm.Print_Area" localSheetId="6">'1b_SpaceCooling'!$A$1:$K$6</definedName>
    <definedName name="_xlnm.Print_Area" localSheetId="14">'1b_SpaceCooling (2)'!$A$1:$K$6</definedName>
    <definedName name="_xlnm.Print_Area" localSheetId="7">'1c_WaterHeating'!$A$1:$K$18</definedName>
    <definedName name="_xlnm.Print_Area" localSheetId="15">'1c_WaterHeating (2)'!$A$1:$K$18</definedName>
    <definedName name="_xlnm.Print_Area" localSheetId="8">'1d_Cooking'!$A$1:$K$17</definedName>
    <definedName name="_xlnm.Print_Area" localSheetId="16">'1d_Cooking (2)'!$A$1:$K$17</definedName>
    <definedName name="_xlnm.Print_Area" localSheetId="9">'1e_LightingAndAppliances'!$A$1:$K$6</definedName>
    <definedName name="_xlnm.Print_Area" localSheetId="17">'1e_LightingAndAppliances (2)'!$A$1:$K$6</definedName>
    <definedName name="_xlnm.Print_Area" localSheetId="10">'1f_OtherEndUses'!$A$1:$K$17</definedName>
    <definedName name="_xlnm.Print_Area" localSheetId="18">'1f_OtherEndUses (2)'!$A$1:$K$17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13" hidden="1">'1a_SpaceHeating (2)'!#REF!</definedName>
    <definedName name="Z_B79E7212_8DD5_488D_8E68_A79B69F231E2_.wvu.Cols" localSheetId="6" hidden="1">'1b_SpaceCooling'!#REF!</definedName>
    <definedName name="Z_B79E7212_8DD5_488D_8E68_A79B69F231E2_.wvu.Cols" localSheetId="14" hidden="1">'1b_SpaceCooling (2)'!#REF!</definedName>
    <definedName name="Z_B79E7212_8DD5_488D_8E68_A79B69F231E2_.wvu.Cols" localSheetId="7" hidden="1">'1c_WaterHeating'!#REF!</definedName>
    <definedName name="Z_B79E7212_8DD5_488D_8E68_A79B69F231E2_.wvu.Cols" localSheetId="15" hidden="1">'1c_WaterHeating (2)'!#REF!</definedName>
    <definedName name="Z_B79E7212_8DD5_488D_8E68_A79B69F231E2_.wvu.Cols" localSheetId="8" hidden="1">'1d_Cooking'!#REF!</definedName>
    <definedName name="Z_B79E7212_8DD5_488D_8E68_A79B69F231E2_.wvu.Cols" localSheetId="16" hidden="1">'1d_Cooking (2)'!#REF!</definedName>
    <definedName name="Z_B79E7212_8DD5_488D_8E68_A79B69F231E2_.wvu.Cols" localSheetId="9" hidden="1">'1e_LightingAndAppliances'!#REF!</definedName>
    <definedName name="Z_B79E7212_8DD5_488D_8E68_A79B69F231E2_.wvu.Cols" localSheetId="17" hidden="1">'1e_LightingAndAppliances (2)'!#REF!</definedName>
    <definedName name="Z_B79E7212_8DD5_488D_8E68_A79B69F231E2_.wvu.Cols" localSheetId="10" hidden="1">'1f_OtherEndUses'!#REF!</definedName>
    <definedName name="Z_B79E7212_8DD5_488D_8E68_A79B69F231E2_.wvu.Cols" localSheetId="18" hidden="1">'1f_OtherEndUses (2)'!#REF!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13" hidden="1">'1a_SpaceHeating (2)'!$A$1:$G$18</definedName>
    <definedName name="Z_B79E7212_8DD5_488D_8E68_A79B69F231E2_.wvu.PrintArea" localSheetId="6" hidden="1">'1b_SpaceCooling'!$A$1:$G$6</definedName>
    <definedName name="Z_B79E7212_8DD5_488D_8E68_A79B69F231E2_.wvu.PrintArea" localSheetId="14" hidden="1">'1b_SpaceCooling (2)'!$A$1:$G$6</definedName>
    <definedName name="Z_B79E7212_8DD5_488D_8E68_A79B69F231E2_.wvu.PrintArea" localSheetId="7" hidden="1">'1c_WaterHeating'!$A$1:$G$18</definedName>
    <definedName name="Z_B79E7212_8DD5_488D_8E68_A79B69F231E2_.wvu.PrintArea" localSheetId="15" hidden="1">'1c_WaterHeating (2)'!$A$1:$G$18</definedName>
    <definedName name="Z_B79E7212_8DD5_488D_8E68_A79B69F231E2_.wvu.PrintArea" localSheetId="8" hidden="1">'1d_Cooking'!$A$1:$G$17</definedName>
    <definedName name="Z_B79E7212_8DD5_488D_8E68_A79B69F231E2_.wvu.PrintArea" localSheetId="16" hidden="1">'1d_Cooking (2)'!$A$1:$G$17</definedName>
    <definedName name="Z_B79E7212_8DD5_488D_8E68_A79B69F231E2_.wvu.PrintArea" localSheetId="9" hidden="1">'1e_LightingAndAppliances'!$A$1:$G$6</definedName>
    <definedName name="Z_B79E7212_8DD5_488D_8E68_A79B69F231E2_.wvu.PrintArea" localSheetId="17" hidden="1">'1e_LightingAndAppliances (2)'!$A$1:$G$6</definedName>
    <definedName name="Z_B79E7212_8DD5_488D_8E68_A79B69F231E2_.wvu.PrintArea" localSheetId="10" hidden="1">'1f_OtherEndUses'!$A$1:$G$17</definedName>
    <definedName name="Z_B79E7212_8DD5_488D_8E68_A79B69F231E2_.wvu.PrintArea" localSheetId="18" hidden="1">'1f_OtherEndUses (2)'!$A$1:$G$17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91029"/>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11" l="1"/>
  <c r="F6" i="11"/>
  <c r="G6" i="11"/>
  <c r="H6" i="11"/>
  <c r="I6" i="11"/>
  <c r="J6" i="11"/>
  <c r="K6" i="11"/>
  <c r="L6" i="11"/>
  <c r="D6" i="11"/>
  <c r="E6" i="10"/>
  <c r="F6" i="10"/>
  <c r="G6" i="10"/>
  <c r="H6" i="10"/>
  <c r="I6" i="10"/>
  <c r="J6" i="10"/>
  <c r="K6" i="10"/>
  <c r="L6" i="10"/>
  <c r="D6" i="10"/>
  <c r="E6" i="9"/>
  <c r="F6" i="9"/>
  <c r="G6" i="9"/>
  <c r="H6" i="9"/>
  <c r="I6" i="9"/>
  <c r="J6" i="9"/>
  <c r="K6" i="9"/>
  <c r="L6" i="9"/>
  <c r="E7" i="9"/>
  <c r="F7" i="9"/>
  <c r="G7" i="9"/>
  <c r="H7" i="9"/>
  <c r="I7" i="9"/>
  <c r="J7" i="9"/>
  <c r="K7" i="9"/>
  <c r="L7" i="9"/>
  <c r="E8" i="9"/>
  <c r="F8" i="9"/>
  <c r="G8" i="9"/>
  <c r="H8" i="9"/>
  <c r="I8" i="9"/>
  <c r="J8" i="9"/>
  <c r="K8" i="9"/>
  <c r="L8" i="9"/>
  <c r="E9" i="9"/>
  <c r="F9" i="9"/>
  <c r="G9" i="9"/>
  <c r="H9" i="9"/>
  <c r="I9" i="9"/>
  <c r="J9" i="9"/>
  <c r="K9" i="9"/>
  <c r="L9" i="9"/>
  <c r="E10" i="9"/>
  <c r="F10" i="9"/>
  <c r="G10" i="9"/>
  <c r="H10" i="9"/>
  <c r="I10" i="9"/>
  <c r="J10" i="9"/>
  <c r="K10" i="9"/>
  <c r="L10" i="9"/>
  <c r="E11" i="9"/>
  <c r="F11" i="9"/>
  <c r="G11" i="9"/>
  <c r="H11" i="9"/>
  <c r="I11" i="9"/>
  <c r="J11" i="9"/>
  <c r="K11" i="9"/>
  <c r="L11" i="9"/>
  <c r="E12" i="9"/>
  <c r="F12" i="9"/>
  <c r="G12" i="9"/>
  <c r="H12" i="9"/>
  <c r="I12" i="9"/>
  <c r="J12" i="9"/>
  <c r="K12" i="9"/>
  <c r="L12" i="9"/>
  <c r="E13" i="9"/>
  <c r="F13" i="9"/>
  <c r="G13" i="9"/>
  <c r="H13" i="9"/>
  <c r="I13" i="9"/>
  <c r="J13" i="9"/>
  <c r="K13" i="9"/>
  <c r="L13" i="9"/>
  <c r="E14" i="9"/>
  <c r="F14" i="9"/>
  <c r="G14" i="9"/>
  <c r="H14" i="9"/>
  <c r="I14" i="9"/>
  <c r="J14" i="9"/>
  <c r="K14" i="9"/>
  <c r="L14" i="9"/>
  <c r="E16" i="9"/>
  <c r="F16" i="9"/>
  <c r="G16" i="9"/>
  <c r="H16" i="9"/>
  <c r="I16" i="9"/>
  <c r="J16" i="9"/>
  <c r="K16" i="9"/>
  <c r="L16" i="9"/>
  <c r="E17" i="9"/>
  <c r="F17" i="9"/>
  <c r="G17" i="9"/>
  <c r="H17" i="9"/>
  <c r="I17" i="9"/>
  <c r="J17" i="9"/>
  <c r="K17" i="9"/>
  <c r="L17" i="9"/>
  <c r="D17" i="9"/>
  <c r="D16" i="9"/>
  <c r="D7" i="9"/>
  <c r="D8" i="9"/>
  <c r="D9" i="9"/>
  <c r="D10" i="9"/>
  <c r="D11" i="9"/>
  <c r="D12" i="9"/>
  <c r="D13" i="9"/>
  <c r="D14" i="9"/>
  <c r="D6" i="9"/>
  <c r="D7" i="8"/>
  <c r="E7" i="8"/>
  <c r="F7" i="8"/>
  <c r="G7" i="8"/>
  <c r="H7" i="8"/>
  <c r="I7" i="8"/>
  <c r="J7" i="8"/>
  <c r="K7" i="8"/>
  <c r="L7" i="8"/>
  <c r="D8" i="8"/>
  <c r="E8" i="8"/>
  <c r="F8" i="8"/>
  <c r="G8" i="8"/>
  <c r="H8" i="8"/>
  <c r="I8" i="8"/>
  <c r="J8" i="8"/>
  <c r="K8" i="8"/>
  <c r="L8" i="8"/>
  <c r="D9" i="8"/>
  <c r="E9" i="8"/>
  <c r="F9" i="8"/>
  <c r="G9" i="8"/>
  <c r="H9" i="8"/>
  <c r="I9" i="8"/>
  <c r="J9" i="8"/>
  <c r="K9" i="8"/>
  <c r="L9" i="8"/>
  <c r="D10" i="8"/>
  <c r="E10" i="8"/>
  <c r="F10" i="8"/>
  <c r="G10" i="8"/>
  <c r="H10" i="8"/>
  <c r="I10" i="8"/>
  <c r="J10" i="8"/>
  <c r="K10" i="8"/>
  <c r="L10" i="8"/>
  <c r="D11" i="8"/>
  <c r="E11" i="8"/>
  <c r="F11" i="8"/>
  <c r="G11" i="8"/>
  <c r="H11" i="8"/>
  <c r="I11" i="8"/>
  <c r="J11" i="8"/>
  <c r="K11" i="8"/>
  <c r="L11" i="8"/>
  <c r="D12" i="8"/>
  <c r="E12" i="8"/>
  <c r="F12" i="8"/>
  <c r="G12" i="8"/>
  <c r="H12" i="8"/>
  <c r="I12" i="8"/>
  <c r="J12" i="8"/>
  <c r="K12" i="8"/>
  <c r="L12" i="8"/>
  <c r="D13" i="8"/>
  <c r="E13" i="8"/>
  <c r="F13" i="8"/>
  <c r="G13" i="8"/>
  <c r="H13" i="8"/>
  <c r="I13" i="8"/>
  <c r="J13" i="8"/>
  <c r="K13" i="8"/>
  <c r="L13" i="8"/>
  <c r="D14" i="8"/>
  <c r="E14" i="8"/>
  <c r="F14" i="8"/>
  <c r="G14" i="8"/>
  <c r="H14" i="8"/>
  <c r="I14" i="8"/>
  <c r="J14" i="8"/>
  <c r="K14" i="8"/>
  <c r="L14" i="8"/>
  <c r="D15" i="8"/>
  <c r="E15" i="8"/>
  <c r="F15" i="8"/>
  <c r="G15" i="8"/>
  <c r="H15" i="8"/>
  <c r="I15" i="8"/>
  <c r="J15" i="8"/>
  <c r="K15" i="8"/>
  <c r="L15" i="8"/>
  <c r="D16" i="8"/>
  <c r="E16" i="8"/>
  <c r="F16" i="8"/>
  <c r="G16" i="8"/>
  <c r="H16" i="8"/>
  <c r="I16" i="8"/>
  <c r="J16" i="8"/>
  <c r="K16" i="8"/>
  <c r="L16" i="8"/>
  <c r="D17" i="8"/>
  <c r="E17" i="8"/>
  <c r="F17" i="8"/>
  <c r="G17" i="8"/>
  <c r="H17" i="8"/>
  <c r="I17" i="8"/>
  <c r="J17" i="8"/>
  <c r="K17" i="8"/>
  <c r="L17" i="8"/>
  <c r="D18" i="8"/>
  <c r="E18" i="8"/>
  <c r="F18" i="8"/>
  <c r="G18" i="8"/>
  <c r="H18" i="8"/>
  <c r="I18" i="8"/>
  <c r="J18" i="8"/>
  <c r="K18" i="8"/>
  <c r="L18" i="8"/>
  <c r="E6" i="8"/>
  <c r="F6" i="8"/>
  <c r="G6" i="8"/>
  <c r="H6" i="8"/>
  <c r="I6" i="8"/>
  <c r="J6" i="8"/>
  <c r="K6" i="8"/>
  <c r="L6" i="8"/>
  <c r="D6" i="8"/>
  <c r="E6" i="7"/>
  <c r="F6" i="7"/>
  <c r="G6" i="7"/>
  <c r="H6" i="7"/>
  <c r="I6" i="7"/>
  <c r="J6" i="7"/>
  <c r="K6" i="7"/>
  <c r="L6" i="7"/>
  <c r="D6" i="7"/>
  <c r="E6" i="6"/>
  <c r="F6" i="6"/>
  <c r="G6" i="6"/>
  <c r="H6" i="6"/>
  <c r="I6" i="6"/>
  <c r="J6" i="6"/>
  <c r="K6" i="6"/>
  <c r="L6" i="6"/>
  <c r="E7" i="6"/>
  <c r="F7" i="6"/>
  <c r="G7" i="6"/>
  <c r="H7" i="6"/>
  <c r="I7" i="6"/>
  <c r="J7" i="6"/>
  <c r="K7" i="6"/>
  <c r="L7" i="6"/>
  <c r="E8" i="6"/>
  <c r="F8" i="6"/>
  <c r="G8" i="6"/>
  <c r="H8" i="6"/>
  <c r="I8" i="6"/>
  <c r="J8" i="6"/>
  <c r="K8" i="6"/>
  <c r="L8" i="6"/>
  <c r="E9" i="6"/>
  <c r="F9" i="6"/>
  <c r="G9" i="6"/>
  <c r="H9" i="6"/>
  <c r="I9" i="6"/>
  <c r="J9" i="6"/>
  <c r="K9" i="6"/>
  <c r="L9" i="6"/>
  <c r="E10" i="6"/>
  <c r="F10" i="6"/>
  <c r="G10" i="6"/>
  <c r="H10" i="6"/>
  <c r="I10" i="6"/>
  <c r="J10" i="6"/>
  <c r="K10" i="6"/>
  <c r="L10" i="6"/>
  <c r="E11" i="6"/>
  <c r="F11" i="6"/>
  <c r="G11" i="6"/>
  <c r="H11" i="6"/>
  <c r="I11" i="6"/>
  <c r="J11" i="6"/>
  <c r="K11" i="6"/>
  <c r="L11" i="6"/>
  <c r="E12" i="6"/>
  <c r="F12" i="6"/>
  <c r="G12" i="6"/>
  <c r="H12" i="6"/>
  <c r="I12" i="6"/>
  <c r="J12" i="6"/>
  <c r="K12" i="6"/>
  <c r="L12" i="6"/>
  <c r="E13" i="6"/>
  <c r="F13" i="6"/>
  <c r="G13" i="6"/>
  <c r="H13" i="6"/>
  <c r="I13" i="6"/>
  <c r="J13" i="6"/>
  <c r="K13" i="6"/>
  <c r="L13" i="6"/>
  <c r="E14" i="6"/>
  <c r="F14" i="6"/>
  <c r="G14" i="6"/>
  <c r="H14" i="6"/>
  <c r="I14" i="6"/>
  <c r="J14" i="6"/>
  <c r="K14" i="6"/>
  <c r="L14" i="6"/>
  <c r="E15" i="6"/>
  <c r="F15" i="6"/>
  <c r="G15" i="6"/>
  <c r="H15" i="6"/>
  <c r="I15" i="6"/>
  <c r="J15" i="6"/>
  <c r="K15" i="6"/>
  <c r="L15" i="6"/>
  <c r="E16" i="6"/>
  <c r="F16" i="6"/>
  <c r="G16" i="6"/>
  <c r="H16" i="6"/>
  <c r="I16" i="6"/>
  <c r="J16" i="6"/>
  <c r="K16" i="6"/>
  <c r="L16" i="6"/>
  <c r="E17" i="6"/>
  <c r="F17" i="6"/>
  <c r="G17" i="6"/>
  <c r="H17" i="6"/>
  <c r="I17" i="6"/>
  <c r="J17" i="6"/>
  <c r="K17" i="6"/>
  <c r="L17" i="6"/>
  <c r="E18" i="6"/>
  <c r="F18" i="6"/>
  <c r="G18" i="6"/>
  <c r="H18" i="6"/>
  <c r="I18" i="6"/>
  <c r="J18" i="6"/>
  <c r="K18" i="6"/>
  <c r="L18" i="6"/>
  <c r="D7" i="6"/>
  <c r="D8" i="6"/>
  <c r="D9" i="6"/>
  <c r="D10" i="6"/>
  <c r="D11" i="6"/>
  <c r="D12" i="6"/>
  <c r="D13" i="6"/>
  <c r="D14" i="6"/>
  <c r="D15" i="6"/>
  <c r="D16" i="6"/>
  <c r="D17" i="6"/>
  <c r="D18" i="6"/>
  <c r="D6" i="6"/>
  <c r="DS6" i="23"/>
  <c r="DS6" i="22"/>
  <c r="DS6" i="21"/>
  <c r="DS6" i="20"/>
  <c r="DS6" i="19"/>
  <c r="DS6" i="18"/>
  <c r="E13" i="4"/>
  <c r="F13" i="4"/>
  <c r="G13" i="4"/>
  <c r="H13" i="4"/>
  <c r="I13" i="4"/>
  <c r="J13" i="4"/>
  <c r="K13" i="4"/>
  <c r="L13" i="4"/>
  <c r="D13" i="4"/>
  <c r="I11" i="4"/>
  <c r="J11" i="4"/>
  <c r="K11" i="4"/>
  <c r="L11" i="4"/>
  <c r="E11" i="4"/>
  <c r="F11" i="4"/>
  <c r="G11" i="4"/>
  <c r="H11" i="4"/>
  <c r="D11" i="4"/>
  <c r="L9" i="4" l="1"/>
  <c r="K9" i="4" l="1"/>
  <c r="K10" i="4" l="1"/>
  <c r="L10" i="4"/>
  <c r="G10" i="4"/>
  <c r="F10" i="4"/>
  <c r="E10" i="4"/>
  <c r="D10" i="4"/>
  <c r="J10" i="4" l="1"/>
  <c r="I10" i="4"/>
  <c r="H10" i="4"/>
  <c r="J9" i="4"/>
  <c r="I9" i="4"/>
  <c r="H9" i="4"/>
  <c r="G9" i="4"/>
  <c r="F9" i="4"/>
  <c r="E9" i="4"/>
  <c r="D9" i="4"/>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E17" i="5"/>
  <c r="G17" i="5"/>
  <c r="H17" i="5"/>
  <c r="E17" i="15" l="1"/>
  <c r="H17" i="15"/>
  <c r="G17" i="15"/>
  <c r="J17" i="15"/>
  <c r="D17" i="5"/>
  <c r="C3" i="15"/>
  <c r="K46" i="14"/>
  <c r="K45" i="14"/>
  <c r="K44" i="14"/>
  <c r="K43" i="14"/>
  <c r="K41" i="14"/>
  <c r="K40" i="14"/>
  <c r="K39" i="14"/>
  <c r="K38" i="14"/>
  <c r="K37" i="14"/>
  <c r="K36" i="14"/>
  <c r="K35" i="14"/>
  <c r="K34" i="14"/>
  <c r="K33" i="14"/>
  <c r="K31" i="14"/>
  <c r="K30" i="14"/>
  <c r="K29" i="14"/>
  <c r="K28" i="14"/>
  <c r="K21" i="14"/>
  <c r="K20" i="14"/>
  <c r="K19" i="14"/>
  <c r="K18"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2" i="5"/>
  <c r="K11"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I6" i="5"/>
  <c r="J9" i="5"/>
  <c r="H9" i="5"/>
  <c r="G13" i="5"/>
  <c r="H8" i="5"/>
  <c r="H10" i="5"/>
  <c r="E8" i="5"/>
  <c r="J13" i="5"/>
  <c r="G9" i="5"/>
  <c r="J10" i="5"/>
  <c r="G16" i="5"/>
  <c r="E11" i="5"/>
  <c r="H6" i="5"/>
  <c r="G11" i="5"/>
  <c r="G18" i="5"/>
  <c r="G10" i="5"/>
  <c r="J14" i="5"/>
  <c r="E13" i="5"/>
  <c r="H16" i="5"/>
  <c r="G7" i="5"/>
  <c r="J6" i="5"/>
  <c r="H12" i="5"/>
  <c r="G14" i="5"/>
  <c r="H13" i="5"/>
  <c r="J12" i="5"/>
  <c r="H14" i="5"/>
  <c r="J7" i="5"/>
  <c r="E6" i="5"/>
  <c r="J18" i="5"/>
  <c r="H7" i="5"/>
  <c r="G8" i="5"/>
  <c r="E18" i="5"/>
  <c r="H18" i="5"/>
  <c r="E16" i="5"/>
  <c r="J15" i="5"/>
  <c r="J11" i="5"/>
  <c r="J16" i="5"/>
  <c r="G6" i="5"/>
  <c r="E15" i="5"/>
  <c r="J8" i="5"/>
  <c r="F6" i="5"/>
  <c r="H11" i="5"/>
  <c r="E14" i="5"/>
  <c r="E12" i="5"/>
  <c r="G15" i="5"/>
  <c r="H15" i="5"/>
  <c r="G12" i="5"/>
  <c r="G10" i="15" l="1"/>
  <c r="E11" i="15"/>
  <c r="J13" i="15"/>
  <c r="J10" i="15"/>
  <c r="J11" i="15"/>
  <c r="J12" i="15"/>
  <c r="H11" i="15"/>
  <c r="H13" i="15"/>
  <c r="H12" i="15"/>
  <c r="G13" i="15"/>
  <c r="H10" i="15"/>
  <c r="G11" i="15"/>
  <c r="G12" i="15"/>
  <c r="E12" i="15"/>
  <c r="E13" i="15"/>
  <c r="J9" i="15"/>
  <c r="E14" i="15"/>
  <c r="H14" i="15"/>
  <c r="G14" i="15"/>
  <c r="J14" i="15"/>
  <c r="J18" i="15"/>
  <c r="J16" i="15"/>
  <c r="J15" i="15"/>
  <c r="H15" i="15"/>
  <c r="G16" i="15"/>
  <c r="H18" i="15"/>
  <c r="G15" i="15"/>
  <c r="G18" i="15"/>
  <c r="H16" i="15"/>
  <c r="E16" i="15"/>
  <c r="E18" i="15"/>
  <c r="E15" i="15"/>
  <c r="K10" i="15"/>
  <c r="J8" i="15"/>
  <c r="H8" i="15"/>
  <c r="G8" i="15"/>
  <c r="E8" i="15"/>
  <c r="J7" i="15"/>
  <c r="G7" i="15"/>
  <c r="H7" i="15"/>
  <c r="G6" i="15"/>
  <c r="H6" i="15"/>
  <c r="I6" i="15"/>
  <c r="I19" i="15" s="1"/>
  <c r="J6" i="15"/>
  <c r="F6" i="15"/>
  <c r="E6" i="15"/>
  <c r="D12" i="5"/>
  <c r="D13" i="5"/>
  <c r="D15" i="5"/>
  <c r="D18" i="5"/>
  <c r="D8" i="5"/>
  <c r="D10" i="5"/>
  <c r="D16" i="5"/>
  <c r="D6" i="5"/>
  <c r="D11" i="5"/>
  <c r="D14" i="5"/>
  <c r="D11" i="15" l="1"/>
  <c r="D13" i="15"/>
  <c r="D12" i="15"/>
  <c r="D10" i="15"/>
  <c r="D18" i="15"/>
  <c r="D15" i="15"/>
  <c r="D16" i="15"/>
  <c r="D14" i="15"/>
  <c r="F19" i="15"/>
  <c r="F20" i="15" s="1"/>
  <c r="J19" i="15"/>
  <c r="J20" i="15" s="1"/>
  <c r="D8" i="15"/>
  <c r="D6" i="15"/>
  <c r="K32" i="14" l="1"/>
  <c r="E9" i="5"/>
  <c r="K9" i="5"/>
  <c r="H9" i="15" l="1"/>
  <c r="H19" i="15" s="1"/>
  <c r="H20" i="15" s="1"/>
  <c r="K9" i="15"/>
  <c r="G9" i="15"/>
  <c r="G19" i="15" s="1"/>
  <c r="G20" i="15" s="1"/>
  <c r="K27" i="14"/>
  <c r="K42" i="14"/>
  <c r="E9" i="15"/>
  <c r="D9" i="5"/>
  <c r="K17" i="14"/>
  <c r="D9" i="15" l="1"/>
  <c r="E7" i="5"/>
  <c r="E7" i="15" l="1"/>
  <c r="D7" i="5"/>
  <c r="D7" i="15" l="1"/>
  <c r="E19" i="15"/>
  <c r="D19" i="15" s="1"/>
  <c r="E20" i="15" l="1"/>
  <c r="D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5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6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7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8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A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<sst xmlns="http://schemas.openxmlformats.org/spreadsheetml/2006/main" count="1400" uniqueCount="315">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</sst>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199">
    <xf numFmtId="0" fontId="0" fillId="0" borderId="0" xfId="0"/>
    <xf numFmtId="0" fontId="21" fillId="0" borderId="0" xfId="0" applyFont="1" applyAlignment="1">
      <alignment horizontal="left" vertical="center"/>
    </xf>
    <xf numFmtId="0" fontId="19" fillId="0" borderId="0" xfId="0" applyFont="1" applyAlignment="1">
      <alignment horizontal="center" vertical="center"/>
    </xf>
    <xf numFmtId="0" fontId="22" fillId="0" borderId="0" xfId="0" applyFont="1" applyAlignment="1">
      <alignment horizontal="center" vertical="center"/>
    </xf>
    <xf numFmtId="0" fontId="19" fillId="0" borderId="0" xfId="0" applyFont="1"/>
    <xf numFmtId="0" fontId="22" fillId="0" borderId="0" xfId="0" applyFont="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ill="1" applyBorder="1" applyAlignment="1" applyProtection="1">
      <alignment horizontal="right" vertical="center"/>
      <protection hidden="1"/>
    </xf>
    <xf numFmtId="164" fontId="19" fillId="4" borderId="3" xfId="8"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Alignment="1" applyProtection="1">
      <alignment horizontal="center" vertical="center"/>
      <protection hidden="1"/>
    </xf>
    <xf numFmtId="0" fontId="0" fillId="4" borderId="0" xfId="0" applyFill="1"/>
    <xf numFmtId="0" fontId="23" fillId="0" borderId="0" xfId="0" applyFont="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Alignment="1" applyProtection="1">
      <alignment vertical="center"/>
      <protection hidden="1"/>
    </xf>
    <xf numFmtId="0" fontId="26" fillId="4" borderId="0" xfId="0" applyFont="1" applyFill="1" applyAlignment="1" applyProtection="1">
      <alignment vertical="center"/>
      <protection hidden="1"/>
    </xf>
    <xf numFmtId="0" fontId="27" fillId="4" borderId="0" xfId="1" applyFont="1" applyFill="1" applyBorder="1" applyAlignment="1">
      <alignment vertical="center"/>
      <protection hidden="1"/>
    </xf>
    <xf numFmtId="0" fontId="28" fillId="4" borderId="0" xfId="0" applyFont="1" applyFill="1" applyAlignment="1" applyProtection="1">
      <alignment horizontal="left" vertical="center"/>
      <protection hidden="1"/>
    </xf>
    <xf numFmtId="0" fontId="29" fillId="4" borderId="0" xfId="0" applyFont="1" applyFill="1" applyAlignment="1" applyProtection="1">
      <alignment horizontal="right" vertical="center"/>
      <protection hidden="1"/>
    </xf>
    <xf numFmtId="0" fontId="29"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wrapText="1"/>
      <protection hidden="1"/>
    </xf>
    <xf numFmtId="164" fontId="19" fillId="4" borderId="5" xfId="8" applyFill="1" applyBorder="1" applyAlignment="1" applyProtection="1">
      <alignment horizontal="right" vertical="center"/>
      <protection hidden="1"/>
    </xf>
    <xf numFmtId="0" fontId="19" fillId="0" borderId="0" xfId="0" applyFont="1" applyAlignment="1">
      <alignment vertical="center"/>
    </xf>
    <xf numFmtId="0" fontId="22" fillId="0" borderId="0" xfId="0" applyFont="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11" fillId="4" borderId="0" xfId="1" applyFont="1" applyFill="1" applyBorder="1" applyAlignment="1">
      <alignment horizontal="right" vertical="center"/>
      <protection hidden="1"/>
    </xf>
    <xf numFmtId="0" fontId="12" fillId="4" borderId="0" xfId="1" applyFont="1" applyFill="1" applyBorder="1" applyAlignment="1">
      <alignment horizontal="left" vertical="center" wrapText="1"/>
      <protection hidden="1"/>
    </xf>
    <xf numFmtId="0" fontId="12" fillId="4" borderId="0" xfId="1" applyFont="1" applyFill="1" applyBorder="1" applyAlignment="1">
      <alignment vertical="center"/>
      <protection hidden="1"/>
    </xf>
    <xf numFmtId="0" fontId="12" fillId="4" borderId="0" xfId="1" quotePrefix="1" applyFont="1" applyFill="1" applyBorder="1" applyAlignment="1">
      <alignment vertical="center"/>
      <protection hidden="1"/>
    </xf>
    <xf numFmtId="0" fontId="25" fillId="5" borderId="11" xfId="0" applyFont="1" applyFill="1" applyBorder="1" applyAlignment="1" applyProtection="1">
      <alignment vertical="center"/>
      <protection hidden="1"/>
    </xf>
    <xf numFmtId="165" fontId="2" fillId="4" borderId="3" xfId="7" applyNumberFormat="1" applyFill="1" applyBorder="1" applyAlignment="1">
      <alignment horizontal="right" vertical="center"/>
    </xf>
    <xf numFmtId="165" fontId="19" fillId="4" borderId="2" xfId="8" applyNumberFormat="1" applyFill="1" applyBorder="1" applyAlignment="1" applyProtection="1">
      <alignment horizontal="right" vertical="center"/>
    </xf>
    <xf numFmtId="165" fontId="2" fillId="4" borderId="2" xfId="7" applyNumberFormat="1" applyFill="1" applyBorder="1" applyAlignment="1">
      <alignment horizontal="right" vertical="center"/>
    </xf>
    <xf numFmtId="165" fontId="19" fillId="4" borderId="3" xfId="8" applyNumberFormat="1" applyFill="1" applyBorder="1" applyAlignment="1" applyProtection="1">
      <alignment horizontal="right" vertical="center"/>
    </xf>
    <xf numFmtId="165" fontId="19" fillId="4" borderId="5" xfId="8" applyNumberFormat="1" applyFill="1" applyBorder="1" applyAlignment="1" applyProtection="1">
      <alignment horizontal="right" vertical="center"/>
    </xf>
    <xf numFmtId="165" fontId="2" fillId="4" borderId="5" xfId="7" applyNumberFormat="1" applyFill="1" applyBorder="1" applyAlignment="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lignment horizontal="right" vertical="center"/>
    </xf>
    <xf numFmtId="0" fontId="0" fillId="0" borderId="20" xfId="0"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ill="1" applyBorder="1" applyAlignment="1" applyProtection="1">
      <alignment horizontal="right" vertical="center"/>
      <protection hidden="1"/>
    </xf>
    <xf numFmtId="164" fontId="19" fillId="7" borderId="3" xfId="8"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lignment horizontal="right" vertical="center"/>
    </xf>
    <xf numFmtId="165" fontId="21" fillId="7" borderId="2" xfId="8" applyNumberFormat="1" applyFont="1" applyFill="1" applyBorder="1" applyAlignment="1" applyProtection="1">
      <alignment horizontal="right" vertical="center"/>
    </xf>
    <xf numFmtId="165" fontId="2" fillId="7" borderId="2" xfId="7" applyNumberFormat="1" applyFill="1" applyBorder="1" applyAlignment="1">
      <alignment horizontal="right" vertical="center"/>
    </xf>
    <xf numFmtId="3" fontId="2" fillId="6" borderId="2" xfId="7" applyNumberFormat="1" applyFill="1" applyBorder="1" applyAlignment="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ill="1" applyBorder="1" applyAlignment="1">
      <alignment horizontal="right" vertical="center"/>
    </xf>
    <xf numFmtId="3" fontId="2" fillId="6" borderId="3" xfId="7" applyNumberFormat="1" applyFill="1" applyBorder="1" applyAlignment="1">
      <alignment horizontal="right" vertical="center"/>
    </xf>
    <xf numFmtId="3" fontId="44" fillId="7" borderId="3" xfId="7" applyNumberFormat="1" applyFont="1" applyFill="1" applyBorder="1" applyAlignment="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lignment horizontal="right" vertical="center"/>
    </xf>
    <xf numFmtId="3" fontId="8" fillId="6" borderId="3" xfId="7" applyNumberFormat="1" applyFont="1" applyFill="1" applyBorder="1" applyAlignment="1">
      <alignment horizontal="right" vertical="center"/>
    </xf>
    <xf numFmtId="3" fontId="8" fillId="5" borderId="3" xfId="7" applyNumberFormat="1" applyFont="1" applyFill="1" applyBorder="1" applyAlignment="1">
      <alignment horizontal="right" vertical="center"/>
    </xf>
    <xf numFmtId="164" fontId="19" fillId="9" borderId="3" xfId="8" applyFill="1" applyBorder="1" applyAlignment="1" applyProtection="1">
      <alignment horizontal="right" vertical="center"/>
      <protection hidden="1"/>
    </xf>
    <xf numFmtId="165" fontId="19" fillId="9" borderId="3" xfId="8" applyNumberFormat="1" applyFill="1" applyBorder="1" applyAlignment="1" applyProtection="1">
      <alignment horizontal="right" vertical="center"/>
    </xf>
    <xf numFmtId="165" fontId="2" fillId="9" borderId="3" xfId="7" applyNumberFormat="1" applyFill="1" applyBorder="1" applyAlignment="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lignment horizontal="right" vertical="center"/>
    </xf>
    <xf numFmtId="0" fontId="5" fillId="12" borderId="27" xfId="10" applyFill="1" applyBorder="1"/>
    <xf numFmtId="0" fontId="5" fillId="0" borderId="0" xfId="10"/>
    <xf numFmtId="0" fontId="5" fillId="0" borderId="27" xfId="10" applyBorder="1"/>
    <xf numFmtId="0" fontId="49" fillId="12" borderId="27" xfId="11" applyFill="1" applyBorder="1"/>
    <xf numFmtId="0" fontId="49" fillId="0" borderId="27" xfId="11" applyBorder="1"/>
    <xf numFmtId="49" fontId="49" fillId="0" borderId="27" xfId="11" applyNumberFormat="1" applyBorder="1" applyAlignment="1">
      <alignment horizontal="center" vertical="center"/>
    </xf>
    <xf numFmtId="0" fontId="49" fillId="0" borderId="27" xfId="11" applyBorder="1" applyAlignment="1">
      <alignment horizontal="center" vertical="center"/>
    </xf>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Border="1" applyAlignment="1">
      <alignment horizontal="center" vertical="center"/>
    </xf>
    <xf numFmtId="0" fontId="0" fillId="0" borderId="27" xfId="11" applyFont="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lignment horizontal="left" vertical="center" wrapText="1"/>
      <protection hidden="1"/>
    </xf>
    <xf numFmtId="0" fontId="26" fillId="4" borderId="0" xfId="0" applyFont="1" applyFill="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ill="1" applyBorder="1" applyAlignment="1" applyProtection="1">
      <alignment horizontal="left" vertical="center"/>
      <protection hidden="1"/>
    </xf>
    <xf numFmtId="0" fontId="19" fillId="0" borderId="2" xfId="0" applyFont="1" applyBorder="1"/>
    <xf numFmtId="0" fontId="22" fillId="8" borderId="3" xfId="0" applyFont="1" applyFill="1" applyBorder="1" applyAlignment="1">
      <alignment vertical="top"/>
    </xf>
    <xf numFmtId="164" fontId="19" fillId="4" borderId="3" xfId="8" applyFill="1" applyBorder="1" applyAlignment="1" applyProtection="1">
      <alignment horizontal="left" vertical="center"/>
      <protection hidden="1"/>
    </xf>
    <xf numFmtId="0" fontId="19" fillId="0" borderId="3" xfId="0" applyFont="1" applyBorder="1"/>
    <xf numFmtId="0" fontId="23" fillId="0" borderId="0" xfId="0" applyFont="1" applyAlignment="1">
      <alignment horizontal="left" vertical="center" wrapText="1"/>
    </xf>
    <xf numFmtId="0" fontId="38" fillId="0" borderId="0" xfId="0" applyFont="1" applyAlignment="1">
      <alignment wrapText="1"/>
    </xf>
    <xf numFmtId="0" fontId="19" fillId="0" borderId="0" xfId="0" applyFont="1" applyAlignment="1">
      <alignment horizontal="left" vertical="center"/>
    </xf>
    <xf numFmtId="0" fontId="0" fillId="0" borderId="0" xfId="0"/>
    <xf numFmtId="0" fontId="39" fillId="0" borderId="0" xfId="0" applyFont="1" applyAlignment="1">
      <alignment horizontal="left" vertical="center"/>
    </xf>
    <xf numFmtId="0" fontId="36" fillId="0" borderId="0" xfId="0" applyFont="1"/>
    <xf numFmtId="0" fontId="19" fillId="0" borderId="0" xfId="0" applyFont="1"/>
    <xf numFmtId="0" fontId="23" fillId="3" borderId="4" xfId="0" applyFont="1" applyFill="1" applyBorder="1" applyAlignment="1">
      <alignment horizontal="center" vertical="center" wrapText="1"/>
    </xf>
    <xf numFmtId="0" fontId="20" fillId="0" borderId="4" xfId="0" applyFont="1" applyBorder="1"/>
    <xf numFmtId="164" fontId="19" fillId="7" borderId="2" xfId="8"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Alignment="1">
      <alignment horizontal="right" vertical="center"/>
    </xf>
    <xf numFmtId="0" fontId="0" fillId="0" borderId="0" xfId="0" applyAlignment="1">
      <alignment horizontal="right" vertical="center"/>
    </xf>
    <xf numFmtId="0" fontId="0" fillId="0" borderId="13" xfId="0" applyBorder="1" applyAlignment="1">
      <alignment horizontal="right" vertical="center"/>
    </xf>
    <xf numFmtId="0" fontId="19" fillId="0" borderId="0" xfId="0" applyFont="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Alignment="1">
      <alignment vertical="top"/>
    </xf>
    <xf numFmtId="0" fontId="22" fillId="8" borderId="29" xfId="0" applyFont="1" applyFill="1" applyBorder="1" applyAlignment="1">
      <alignment vertical="top"/>
    </xf>
    <xf numFmtId="164" fontId="19" fillId="4" borderId="5" xfId="8"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xr:uid="{00000000-0005-0000-0000-000000000000}"/>
    <cellStyle name="Link" xfId="2" builtinId="8"/>
    <cellStyle name="Normal 10 2" xfId="10" xr:uid="{00000000-0005-0000-0000-000003000000}"/>
    <cellStyle name="Normal 10 2 2 5" xfId="11" xr:uid="{00000000-0005-0000-0000-000004000000}"/>
    <cellStyle name="Normal 2" xfId="3" xr:uid="{00000000-0005-0000-0000-000005000000}"/>
    <cellStyle name="Normal 2 2" xfId="4" xr:uid="{00000000-0005-0000-0000-000006000000}"/>
    <cellStyle name="Normal 3" xfId="5" xr:uid="{00000000-0005-0000-0000-000007000000}"/>
    <cellStyle name="Normal 4" xfId="6" xr:uid="{00000000-0005-0000-0000-000008000000}"/>
    <cellStyle name="Normal_Oilques" xfId="7" xr:uid="{00000000-0005-0000-0000-000009000000}"/>
    <cellStyle name="NumberCellStyle" xfId="8" xr:uid="{00000000-0005-0000-0000-00000A000000}"/>
    <cellStyle name="Standard" xfId="0" builtinId="0"/>
    <cellStyle name="Year" xfId="9" xr:uid="{00000000-0005-0000-0000-00000B000000}"/>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externalLink" Target="externalLinks/externalLink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B5256E5A-7B1B-4FFF-9A7F-6864AD7E06A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5BC1750-8AA2-45A1-916E-9174B55E1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DF1F508A-82FE-4C61-BCEB-7648BB14998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3DEEAA57-26E9-4ED1-BDD5-FD08A7DC4E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7C2FEFAA-3DF2-4E38-9E7C-397BDF380A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1A74BAB4-CDA2-43A0-AD25-D139283E85C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U:\_Zeitreihen%20(Berechnungen)\BL-Energiebilanzen\Austria_Daten.xlsb"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U:\_internationale_Meldungen\JQ\2019\Prefilled%202018\AUSTRIA_Eurostat_OIL_bez&#252;ge.xlsm"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file:///H:\Projekte\endemo\input\general\Population_historical_world.xls" TargetMode="External"/><Relationship Id="rId1" Type="http://schemas.openxmlformats.org/officeDocument/2006/relationships/externalLinkPath" Target="/Projekte/endemo/input/general/Population_historical_worl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6">
          <cell r="AC6"/>
        </row>
        <row r="7">
          <cell r="AA7" t="str">
            <v>EXPLANATORY NOTES</v>
          </cell>
          <cell r="AB7" t="str">
            <v>NOTES EXPLICATIVES</v>
          </cell>
          <cell r="AC7" t="str">
            <v>ПОЯСНИТЕЛЬНЫЕ ЗАМЕТКИ</v>
          </cell>
        </row>
        <row r="8">
          <cell r="AC8"/>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7">
          <cell r="AC17"/>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0">
          <cell r="AB30"/>
          <cell r="AC30"/>
        </row>
        <row r="31">
          <cell r="AB31"/>
          <cell r="AC31"/>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5">
          <cell r="AB35"/>
          <cell r="AC35"/>
        </row>
        <row r="36">
          <cell r="AB36"/>
          <cell r="AC36"/>
        </row>
        <row r="37">
          <cell r="AB37"/>
          <cell r="AC37"/>
        </row>
        <row r="38">
          <cell r="AA38" t="str">
            <v>Data entry menu:</v>
          </cell>
          <cell r="AB38" t="str">
            <v>Menu d'entrée de données :</v>
          </cell>
          <cell r="AC38" t="str">
            <v>Меню ввода данных:</v>
          </cell>
        </row>
        <row r="39">
          <cell r="AB39"/>
          <cell r="AC39"/>
        </row>
        <row r="40">
          <cell r="AB40"/>
          <cell r="AC40"/>
        </row>
        <row r="41">
          <cell r="AB41"/>
          <cell r="AC41"/>
        </row>
        <row r="42">
          <cell r="AB42"/>
          <cell r="AC42"/>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N112"/>
          <cell r="P112" t="str">
            <v>Australia</v>
          </cell>
          <cell r="Q112" t="str">
            <v>Australie</v>
          </cell>
          <cell r="R112" t="str">
            <v>Australia</v>
          </cell>
        </row>
        <row r="113">
          <cell r="D113">
            <v>2020</v>
          </cell>
          <cell r="G113" t="str">
            <v>France</v>
          </cell>
          <cell r="K113" t="str">
            <v>Autriche</v>
          </cell>
          <cell r="L113" t="str">
            <v>AUSTRIA</v>
          </cell>
          <cell r="M113" t="str">
            <v>AT</v>
          </cell>
          <cell r="N113"/>
          <cell r="P113" t="str">
            <v>Austria</v>
          </cell>
          <cell r="Q113" t="str">
            <v>Autriche</v>
          </cell>
          <cell r="R113" t="str">
            <v>Austria</v>
          </cell>
        </row>
        <row r="114">
          <cell r="D114">
            <v>2019</v>
          </cell>
          <cell r="K114" t="str">
            <v>Belgique</v>
          </cell>
          <cell r="L114" t="str">
            <v>BELGIUM</v>
          </cell>
          <cell r="M114" t="str">
            <v>BE</v>
          </cell>
          <cell r="N114"/>
          <cell r="P114" t="str">
            <v>Belgium</v>
          </cell>
          <cell r="Q114" t="str">
            <v>Belgique</v>
          </cell>
          <cell r="R114" t="str">
            <v>Belgium</v>
          </cell>
        </row>
        <row r="115">
          <cell r="D115">
            <v>2018</v>
          </cell>
          <cell r="K115" t="str">
            <v>Canada</v>
          </cell>
          <cell r="L115" t="str">
            <v>CANADA</v>
          </cell>
          <cell r="M115" t="str">
            <v>CA</v>
          </cell>
          <cell r="N115"/>
          <cell r="P115" t="str">
            <v>Canada</v>
          </cell>
          <cell r="Q115" t="str">
            <v>Canada</v>
          </cell>
          <cell r="R115" t="str">
            <v>Canada</v>
          </cell>
        </row>
        <row r="116">
          <cell r="D116">
            <v>2017</v>
          </cell>
          <cell r="K116" t="str">
            <v>Chili</v>
          </cell>
          <cell r="L116" t="str">
            <v>CHILE</v>
          </cell>
          <cell r="M116" t="str">
            <v>CL</v>
          </cell>
          <cell r="N116"/>
          <cell r="P116" t="str">
            <v>Chile</v>
          </cell>
          <cell r="Q116" t="str">
            <v>Chili</v>
          </cell>
          <cell r="R116" t="str">
            <v>Chile</v>
          </cell>
        </row>
        <row r="117">
          <cell r="D117">
            <v>2016</v>
          </cell>
          <cell r="G117">
            <v>0</v>
          </cell>
          <cell r="K117" t="str">
            <v>République tchèque</v>
          </cell>
          <cell r="L117" t="str">
            <v>CZECH</v>
          </cell>
          <cell r="M117" t="str">
            <v>CZ</v>
          </cell>
          <cell r="N117"/>
          <cell r="P117" t="str">
            <v>Czech Republic</v>
          </cell>
          <cell r="Q117" t="str">
            <v>République tchèque</v>
          </cell>
          <cell r="R117" t="str">
            <v>Czech Republic</v>
          </cell>
        </row>
        <row r="118">
          <cell r="D118">
            <v>2015</v>
          </cell>
          <cell r="K118" t="str">
            <v>Danemark</v>
          </cell>
          <cell r="L118" t="str">
            <v>DENMARK</v>
          </cell>
          <cell r="M118" t="str">
            <v>DK</v>
          </cell>
          <cell r="N118"/>
          <cell r="P118" t="str">
            <v>Denmark</v>
          </cell>
          <cell r="Q118" t="str">
            <v>Danemark</v>
          </cell>
          <cell r="R118" t="str">
            <v>Denmark</v>
          </cell>
        </row>
        <row r="119">
          <cell r="D119">
            <v>2014</v>
          </cell>
          <cell r="G119">
            <v>2</v>
          </cell>
          <cell r="K119" t="str">
            <v>Estonie</v>
          </cell>
          <cell r="L119" t="str">
            <v>ESTONIA</v>
          </cell>
          <cell r="M119" t="str">
            <v>EE</v>
          </cell>
          <cell r="N119"/>
          <cell r="P119" t="str">
            <v>Estonia</v>
          </cell>
          <cell r="Q119" t="str">
            <v>Estonie</v>
          </cell>
          <cell r="R119" t="str">
            <v xml:space="preserve">Эстония </v>
          </cell>
        </row>
        <row r="120">
          <cell r="D120">
            <v>2013</v>
          </cell>
          <cell r="K120" t="str">
            <v>Finlande</v>
          </cell>
          <cell r="L120" t="str">
            <v>FINLAND</v>
          </cell>
          <cell r="M120" t="str">
            <v>FI</v>
          </cell>
          <cell r="N120"/>
          <cell r="P120" t="str">
            <v>Finland</v>
          </cell>
          <cell r="Q120" t="str">
            <v>Finlande</v>
          </cell>
          <cell r="R120" t="str">
            <v>Finland</v>
          </cell>
        </row>
        <row r="121">
          <cell r="D121">
            <v>2012</v>
          </cell>
          <cell r="K121" t="str">
            <v>France</v>
          </cell>
          <cell r="L121" t="str">
            <v>FRANCE</v>
          </cell>
          <cell r="M121" t="str">
            <v>FR</v>
          </cell>
          <cell r="N121"/>
          <cell r="P121" t="str">
            <v>France</v>
          </cell>
          <cell r="Q121" t="str">
            <v>France</v>
          </cell>
          <cell r="R121" t="str">
            <v>France</v>
          </cell>
        </row>
        <row r="122">
          <cell r="D122">
            <v>2011</v>
          </cell>
          <cell r="G122">
            <v>10</v>
          </cell>
          <cell r="K122" t="str">
            <v>Allemagne</v>
          </cell>
          <cell r="L122" t="str">
            <v>GERMANY</v>
          </cell>
          <cell r="M122" t="str">
            <v>DE</v>
          </cell>
          <cell r="N122"/>
          <cell r="P122" t="str">
            <v>Germany</v>
          </cell>
          <cell r="Q122" t="str">
            <v>Allemagne</v>
          </cell>
          <cell r="R122" t="str">
            <v>Germany</v>
          </cell>
        </row>
        <row r="123">
          <cell r="D123">
            <v>2010</v>
          </cell>
          <cell r="K123" t="str">
            <v>Grèce</v>
          </cell>
          <cell r="L123" t="str">
            <v>GREECE</v>
          </cell>
          <cell r="M123" t="str">
            <v>GR</v>
          </cell>
          <cell r="N123"/>
          <cell r="P123" t="str">
            <v>Greece</v>
          </cell>
          <cell r="Q123" t="str">
            <v>Grèce</v>
          </cell>
          <cell r="R123" t="str">
            <v>Greece</v>
          </cell>
        </row>
        <row r="124">
          <cell r="D124">
            <v>2009</v>
          </cell>
          <cell r="K124" t="str">
            <v>Hongrie</v>
          </cell>
          <cell r="L124" t="str">
            <v>HUNGARY</v>
          </cell>
          <cell r="M124" t="str">
            <v>HU</v>
          </cell>
          <cell r="N124"/>
          <cell r="P124" t="str">
            <v>Hungary</v>
          </cell>
          <cell r="Q124" t="str">
            <v>Hongrie</v>
          </cell>
          <cell r="R124" t="str">
            <v>Hungary</v>
          </cell>
        </row>
        <row r="125">
          <cell r="D125">
            <v>2008</v>
          </cell>
          <cell r="K125" t="str">
            <v>Islande</v>
          </cell>
          <cell r="L125" t="str">
            <v>ICELAND</v>
          </cell>
          <cell r="M125" t="str">
            <v>IS</v>
          </cell>
          <cell r="N125"/>
          <cell r="P125" t="str">
            <v>Iceland</v>
          </cell>
          <cell r="Q125" t="str">
            <v>Islande</v>
          </cell>
          <cell r="R125" t="str">
            <v>Iceland</v>
          </cell>
        </row>
        <row r="126">
          <cell r="D126">
            <v>2007</v>
          </cell>
          <cell r="K126" t="str">
            <v>Irlande</v>
          </cell>
          <cell r="L126" t="str">
            <v>IRELAND</v>
          </cell>
          <cell r="M126" t="str">
            <v>IE</v>
          </cell>
          <cell r="N126"/>
          <cell r="P126" t="str">
            <v>Ireland</v>
          </cell>
          <cell r="Q126" t="str">
            <v>Irlande</v>
          </cell>
          <cell r="R126" t="str">
            <v>Ireland</v>
          </cell>
        </row>
        <row r="127">
          <cell r="D127">
            <v>2006</v>
          </cell>
          <cell r="G127">
            <v>2017</v>
          </cell>
          <cell r="K127" t="str">
            <v>Israël</v>
          </cell>
          <cell r="L127" t="str">
            <v>ISRAEL</v>
          </cell>
          <cell r="M127" t="str">
            <v>IL</v>
          </cell>
          <cell r="N127"/>
          <cell r="P127" t="str">
            <v>Israel</v>
          </cell>
          <cell r="Q127" t="str">
            <v>Israël</v>
          </cell>
          <cell r="R127" t="str">
            <v>Израиль</v>
          </cell>
        </row>
        <row r="128">
          <cell r="D128">
            <v>2005</v>
          </cell>
          <cell r="G128">
            <v>5</v>
          </cell>
          <cell r="K128" t="str">
            <v>Italie</v>
          </cell>
          <cell r="L128" t="str">
            <v>ITALY</v>
          </cell>
          <cell r="M128" t="str">
            <v>IT</v>
          </cell>
          <cell r="N128"/>
          <cell r="P128" t="str">
            <v>Italy</v>
          </cell>
          <cell r="Q128" t="str">
            <v>Italie</v>
          </cell>
          <cell r="R128" t="str">
            <v>Italy</v>
          </cell>
        </row>
        <row r="129">
          <cell r="D129">
            <v>2004</v>
          </cell>
          <cell r="G129" t="b">
            <v>0</v>
          </cell>
          <cell r="K129" t="str">
            <v>Japon</v>
          </cell>
          <cell r="L129" t="str">
            <v>JAPAN</v>
          </cell>
          <cell r="M129" t="str">
            <v>JP</v>
          </cell>
          <cell r="N129"/>
          <cell r="P129" t="str">
            <v>Japan</v>
          </cell>
          <cell r="Q129" t="str">
            <v>Japon</v>
          </cell>
          <cell r="R129" t="str">
            <v>Japan</v>
          </cell>
        </row>
        <row r="130">
          <cell r="D130">
            <v>2003</v>
          </cell>
          <cell r="K130" t="str">
            <v>Corée</v>
          </cell>
          <cell r="L130" t="str">
            <v>KOREA</v>
          </cell>
          <cell r="M130" t="str">
            <v>KR</v>
          </cell>
          <cell r="N130"/>
          <cell r="P130" t="str">
            <v>Korea</v>
          </cell>
          <cell r="Q130" t="str">
            <v>Corée</v>
          </cell>
          <cell r="R130" t="str">
            <v>Korea</v>
          </cell>
        </row>
        <row r="131">
          <cell r="D131">
            <v>2002</v>
          </cell>
          <cell r="K131" t="str">
            <v>Lettonie</v>
          </cell>
          <cell r="L131" t="str">
            <v>LATVIA</v>
          </cell>
          <cell r="M131" t="str">
            <v>LV</v>
          </cell>
          <cell r="N131"/>
          <cell r="P131" t="str">
            <v>Latvia</v>
          </cell>
          <cell r="Q131" t="str">
            <v>Lettonie</v>
          </cell>
          <cell r="R131" t="str">
            <v>Латвия</v>
          </cell>
        </row>
        <row r="132">
          <cell r="D132">
            <v>2001</v>
          </cell>
          <cell r="K132" t="str">
            <v>Luxembourg</v>
          </cell>
          <cell r="L132" t="str">
            <v>LUXEMBOU</v>
          </cell>
          <cell r="M132" t="str">
            <v>LU</v>
          </cell>
          <cell r="N132"/>
          <cell r="P132" t="str">
            <v>Luxembourg</v>
          </cell>
          <cell r="Q132" t="str">
            <v>Luxembourg</v>
          </cell>
          <cell r="R132" t="str">
            <v>Luxembourg</v>
          </cell>
        </row>
        <row r="133">
          <cell r="D133">
            <v>2000</v>
          </cell>
          <cell r="K133" t="str">
            <v>Mexique</v>
          </cell>
          <cell r="L133" t="str">
            <v>MEXICO</v>
          </cell>
          <cell r="M133" t="str">
            <v>MX</v>
          </cell>
          <cell r="N133"/>
          <cell r="P133" t="str">
            <v>Mexico</v>
          </cell>
          <cell r="Q133" t="str">
            <v>Mexique</v>
          </cell>
          <cell r="R133" t="str">
            <v>Mexico</v>
          </cell>
        </row>
        <row r="134">
          <cell r="D134">
            <v>1999</v>
          </cell>
          <cell r="G134">
            <v>2017</v>
          </cell>
          <cell r="K134" t="str">
            <v>Pays-Bas</v>
          </cell>
          <cell r="L134" t="str">
            <v>NETHLAND</v>
          </cell>
          <cell r="M134" t="str">
            <v>NL</v>
          </cell>
          <cell r="N134"/>
          <cell r="P134" t="str">
            <v>Netherlands</v>
          </cell>
          <cell r="Q134" t="str">
            <v>Pays-Bas</v>
          </cell>
          <cell r="R134" t="str">
            <v>Netherlands</v>
          </cell>
        </row>
        <row r="135">
          <cell r="D135">
            <v>1998</v>
          </cell>
          <cell r="K135" t="str">
            <v>Nouvelle-Zélande</v>
          </cell>
          <cell r="L135" t="str">
            <v>NZ</v>
          </cell>
          <cell r="M135" t="str">
            <v>NZ</v>
          </cell>
          <cell r="N135"/>
          <cell r="P135" t="str">
            <v>New Zealand</v>
          </cell>
          <cell r="Q135" t="str">
            <v>Nouvelle-Zélande</v>
          </cell>
          <cell r="R135" t="str">
            <v>New Zealand</v>
          </cell>
        </row>
        <row r="136">
          <cell r="D136">
            <v>1997</v>
          </cell>
          <cell r="K136" t="str">
            <v>Norvège</v>
          </cell>
          <cell r="L136" t="str">
            <v>NORWAY</v>
          </cell>
          <cell r="M136" t="str">
            <v>NO</v>
          </cell>
          <cell r="N136"/>
          <cell r="P136" t="str">
            <v>Norway</v>
          </cell>
          <cell r="Q136" t="str">
            <v>Norvège</v>
          </cell>
          <cell r="R136" t="str">
            <v>Norway</v>
          </cell>
        </row>
        <row r="137">
          <cell r="D137">
            <v>1996</v>
          </cell>
          <cell r="K137" t="str">
            <v>Pologne</v>
          </cell>
          <cell r="L137" t="str">
            <v>POLAND</v>
          </cell>
          <cell r="M137" t="str">
            <v>PL</v>
          </cell>
          <cell r="N137"/>
          <cell r="P137" t="str">
            <v>Poland</v>
          </cell>
          <cell r="Q137" t="str">
            <v>Pologne</v>
          </cell>
          <cell r="R137" t="str">
            <v>Poland</v>
          </cell>
        </row>
        <row r="138">
          <cell r="D138">
            <v>1995</v>
          </cell>
          <cell r="K138" t="str">
            <v>Portugal</v>
          </cell>
          <cell r="L138" t="str">
            <v>PORTUGAL</v>
          </cell>
          <cell r="M138" t="str">
            <v>PT</v>
          </cell>
          <cell r="N138"/>
          <cell r="P138" t="str">
            <v>Portugal</v>
          </cell>
          <cell r="Q138" t="str">
            <v>Portugal</v>
          </cell>
          <cell r="R138" t="str">
            <v>Portugal</v>
          </cell>
        </row>
        <row r="139">
          <cell r="D139">
            <v>1994</v>
          </cell>
          <cell r="K139" t="str">
            <v>République slovaque</v>
          </cell>
          <cell r="L139" t="str">
            <v>SLOVAKIA</v>
          </cell>
          <cell r="M139" t="str">
            <v>SK</v>
          </cell>
          <cell r="N139"/>
          <cell r="P139" t="str">
            <v>Slovak Republic</v>
          </cell>
          <cell r="Q139" t="str">
            <v>République slovaque</v>
          </cell>
          <cell r="R139" t="str">
            <v>Slovak Republic</v>
          </cell>
        </row>
        <row r="140">
          <cell r="D140">
            <v>1993</v>
          </cell>
          <cell r="K140" t="str">
            <v>Slovénie</v>
          </cell>
          <cell r="L140" t="str">
            <v>SLOVENIA</v>
          </cell>
          <cell r="M140" t="str">
            <v>SI</v>
          </cell>
          <cell r="N140"/>
          <cell r="P140" t="str">
            <v>Slovenia</v>
          </cell>
          <cell r="Q140" t="str">
            <v>Slovénie</v>
          </cell>
          <cell r="R140" t="str">
            <v>Словения</v>
          </cell>
        </row>
        <row r="141">
          <cell r="D141">
            <v>1992</v>
          </cell>
          <cell r="K141" t="str">
            <v>Espagne</v>
          </cell>
          <cell r="L141" t="str">
            <v>SPAIN</v>
          </cell>
          <cell r="M141" t="str">
            <v>ES</v>
          </cell>
          <cell r="N141"/>
          <cell r="P141" t="str">
            <v>Spain</v>
          </cell>
          <cell r="Q141" t="str">
            <v>Espagne</v>
          </cell>
          <cell r="R141" t="str">
            <v>Spain</v>
          </cell>
        </row>
        <row r="142">
          <cell r="D142">
            <v>1991</v>
          </cell>
          <cell r="K142" t="str">
            <v>Suède</v>
          </cell>
          <cell r="L142" t="str">
            <v>SWEDEN</v>
          </cell>
          <cell r="M142" t="str">
            <v>SE</v>
          </cell>
          <cell r="N142"/>
          <cell r="P142" t="str">
            <v>Sweden</v>
          </cell>
          <cell r="Q142" t="str">
            <v>Suède</v>
          </cell>
          <cell r="R142" t="str">
            <v>Sweden</v>
          </cell>
        </row>
        <row r="143">
          <cell r="D143">
            <v>1990</v>
          </cell>
          <cell r="K143" t="str">
            <v>Suisse</v>
          </cell>
          <cell r="L143" t="str">
            <v>SWITLAND</v>
          </cell>
          <cell r="M143" t="str">
            <v>CH</v>
          </cell>
          <cell r="N143"/>
          <cell r="P143" t="str">
            <v>Switzerland</v>
          </cell>
          <cell r="Q143" t="str">
            <v>Suisse</v>
          </cell>
          <cell r="R143" t="str">
            <v>Switzerland</v>
          </cell>
        </row>
        <row r="144">
          <cell r="K144" t="str">
            <v>Turquie</v>
          </cell>
          <cell r="L144" t="str">
            <v>TURKEY</v>
          </cell>
          <cell r="M144" t="str">
            <v>TR</v>
          </cell>
          <cell r="N144"/>
          <cell r="P144" t="str">
            <v>Turkey</v>
          </cell>
          <cell r="Q144" t="str">
            <v>Turquie</v>
          </cell>
          <cell r="R144" t="str">
            <v>Turkey</v>
          </cell>
        </row>
        <row r="145">
          <cell r="K145" t="str">
            <v>Royaume-Uni</v>
          </cell>
          <cell r="L145" t="str">
            <v>UK</v>
          </cell>
          <cell r="M145" t="str">
            <v>GB</v>
          </cell>
          <cell r="N145"/>
          <cell r="P145" t="str">
            <v>United Kingdom</v>
          </cell>
          <cell r="Q145" t="str">
            <v>Royaume-Uni</v>
          </cell>
          <cell r="R145" t="str">
            <v>United Kingdom</v>
          </cell>
        </row>
        <row r="146">
          <cell r="K146" t="str">
            <v>Etats-Unis</v>
          </cell>
          <cell r="L146" t="str">
            <v>USA</v>
          </cell>
          <cell r="M146" t="str">
            <v>US</v>
          </cell>
          <cell r="N146"/>
          <cell r="P146" t="str">
            <v>United States</v>
          </cell>
          <cell r="Q146" t="str">
            <v>Etats-Unis</v>
          </cell>
          <cell r="R146" t="str">
            <v>United States</v>
          </cell>
        </row>
        <row r="147">
          <cell r="K147" t="str">
            <v>Albanie</v>
          </cell>
          <cell r="L147" t="str">
            <v>ALBANIA</v>
          </cell>
          <cell r="M147" t="str">
            <v>AL</v>
          </cell>
          <cell r="N147"/>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N151"/>
          <cell r="P151" t="str">
            <v>Bosnia and Herzegovina</v>
          </cell>
          <cell r="Q151" t="str">
            <v>Bosnie-Herzégovine</v>
          </cell>
          <cell r="R151" t="str">
            <v>Босния и Герцеговина</v>
          </cell>
        </row>
        <row r="152">
          <cell r="K152" t="str">
            <v>Brésil</v>
          </cell>
          <cell r="L152" t="str">
            <v>BRAZIL</v>
          </cell>
          <cell r="M152" t="str">
            <v>BR</v>
          </cell>
          <cell r="N152"/>
          <cell r="P152" t="str">
            <v>Brazil</v>
          </cell>
          <cell r="Q152" t="str">
            <v>Brésil</v>
          </cell>
          <cell r="R152" t="str">
            <v>Бразилия</v>
          </cell>
        </row>
        <row r="153">
          <cell r="K153" t="str">
            <v>Bulgarie</v>
          </cell>
          <cell r="L153" t="str">
            <v>BULGARIA</v>
          </cell>
          <cell r="M153" t="str">
            <v>BG</v>
          </cell>
          <cell r="N153"/>
          <cell r="P153" t="str">
            <v>Bulgaria</v>
          </cell>
          <cell r="Q153" t="str">
            <v>Bulgarie</v>
          </cell>
          <cell r="R153" t="str">
            <v xml:space="preserve">Болгария             </v>
          </cell>
        </row>
        <row r="154">
          <cell r="K154" t="str">
            <v>Chine</v>
          </cell>
          <cell r="L154" t="str">
            <v>CHINA</v>
          </cell>
          <cell r="M154" t="str">
            <v>CN</v>
          </cell>
          <cell r="N154"/>
          <cell r="P154" t="str">
            <v>China</v>
          </cell>
          <cell r="Q154" t="str">
            <v>Chine</v>
          </cell>
          <cell r="R154" t="str">
            <v>Китай</v>
          </cell>
        </row>
        <row r="155">
          <cell r="K155" t="str">
            <v>Croatie</v>
          </cell>
          <cell r="L155" t="str">
            <v>CROATIA</v>
          </cell>
          <cell r="M155" t="str">
            <v>HR</v>
          </cell>
          <cell r="N155"/>
          <cell r="P155" t="str">
            <v>Croatia</v>
          </cell>
          <cell r="Q155" t="str">
            <v>Croatie</v>
          </cell>
          <cell r="R155" t="str">
            <v>Хорватия</v>
          </cell>
        </row>
        <row r="156">
          <cell r="K156" t="str">
            <v>Chypre</v>
          </cell>
          <cell r="L156" t="str">
            <v>CYPRUS</v>
          </cell>
          <cell r="M156" t="str">
            <v>CY</v>
          </cell>
          <cell r="N156"/>
          <cell r="P156" t="str">
            <v>Cyprus</v>
          </cell>
          <cell r="Q156" t="str">
            <v>Chypre</v>
          </cell>
          <cell r="R156" t="str">
            <v>Кипр</v>
          </cell>
        </row>
        <row r="157">
          <cell r="K157" t="str">
            <v>Ex-République yougoslave de Macédoine</v>
          </cell>
          <cell r="L157" t="str">
            <v>FYROM</v>
          </cell>
          <cell r="M157" t="str">
            <v>MK</v>
          </cell>
          <cell r="N157"/>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N159"/>
          <cell r="P159" t="str">
            <v>India</v>
          </cell>
          <cell r="Q159" t="str">
            <v>Inde</v>
          </cell>
          <cell r="R159" t="str">
            <v>Индия</v>
          </cell>
        </row>
        <row r="160">
          <cell r="K160" t="str">
            <v>Indonésie</v>
          </cell>
          <cell r="L160" t="str">
            <v>INDONESIA</v>
          </cell>
          <cell r="M160" t="str">
            <v>ID</v>
          </cell>
          <cell r="N160"/>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N162"/>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N164"/>
          <cell r="P164" t="str">
            <v>Liechtenstein</v>
          </cell>
          <cell r="Q164" t="str">
            <v>Liechtenstein</v>
          </cell>
          <cell r="R164" t="str">
            <v>Liechtenstein</v>
          </cell>
        </row>
        <row r="165">
          <cell r="K165" t="str">
            <v>Lituanie</v>
          </cell>
          <cell r="L165" t="str">
            <v>LITHUANIA</v>
          </cell>
          <cell r="M165" t="str">
            <v>LT</v>
          </cell>
          <cell r="N165"/>
          <cell r="P165" t="str">
            <v>Lithuania</v>
          </cell>
          <cell r="Q165" t="str">
            <v>Lituanie</v>
          </cell>
          <cell r="R165" t="str">
            <v>Литва</v>
          </cell>
        </row>
        <row r="166">
          <cell r="K166" t="str">
            <v>Malte</v>
          </cell>
          <cell r="L166" t="str">
            <v>MALTA</v>
          </cell>
          <cell r="M166" t="str">
            <v>MT</v>
          </cell>
          <cell r="N166"/>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N168"/>
          <cell r="P168" t="str">
            <v>Montenegro</v>
          </cell>
          <cell r="Q168" t="str">
            <v>Monténégro</v>
          </cell>
          <cell r="R168" t="str">
            <v>Черногория</v>
          </cell>
        </row>
        <row r="169">
          <cell r="K169" t="str">
            <v>Maroc</v>
          </cell>
          <cell r="L169" t="str">
            <v>MOROCCO</v>
          </cell>
          <cell r="M169" t="str">
            <v>MA</v>
          </cell>
          <cell r="N169"/>
          <cell r="P169" t="str">
            <v>Morocco</v>
          </cell>
          <cell r="Q169" t="str">
            <v>Maroc</v>
          </cell>
          <cell r="R169" t="str">
            <v>Марокко</v>
          </cell>
        </row>
        <row r="170">
          <cell r="K170" t="str">
            <v>Roumanie</v>
          </cell>
          <cell r="L170" t="str">
            <v>ROMANIA</v>
          </cell>
          <cell r="M170" t="str">
            <v>RO</v>
          </cell>
          <cell r="N170"/>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N172"/>
          <cell r="P172" t="str">
            <v>Serbia</v>
          </cell>
          <cell r="Q172" t="str">
            <v>Serbie</v>
          </cell>
          <cell r="R172" t="str">
            <v>Сербия</v>
          </cell>
        </row>
        <row r="173">
          <cell r="K173" t="str">
            <v>Statisland</v>
          </cell>
          <cell r="L173" t="str">
            <v>STATISLAND</v>
          </cell>
          <cell r="M173" t="str">
            <v>Q1</v>
          </cell>
          <cell r="N173"/>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N175"/>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H2"/>
          <cell r="AI2"/>
          <cell r="AJ2"/>
          <cell r="AK2"/>
          <cell r="AM2" t="str">
            <v>Other language version</v>
          </cell>
          <cell r="AN2"/>
          <cell r="AO2"/>
          <cell r="AP2"/>
          <cell r="AQ2"/>
          <cell r="AS2" t="str">
            <v>Other language version</v>
          </cell>
          <cell r="AT2"/>
          <cell r="AU2"/>
          <cell r="AV2"/>
          <cell r="AW2"/>
        </row>
        <row r="3">
          <cell r="AG3" t="str">
            <v>Column 1</v>
          </cell>
          <cell r="AH3" t="str">
            <v>Column 2</v>
          </cell>
          <cell r="AI3" t="str">
            <v>Column 3</v>
          </cell>
          <cell r="AJ3" t="str">
            <v>Column 4</v>
          </cell>
          <cell r="AK3" t="str">
            <v>Column 5</v>
          </cell>
          <cell r="AL3"/>
          <cell r="AM3" t="str">
            <v>Column 1</v>
          </cell>
          <cell r="AN3" t="str">
            <v>Column 2</v>
          </cell>
          <cell r="AO3" t="str">
            <v>Column 3</v>
          </cell>
          <cell r="AP3" t="str">
            <v>Column 4</v>
          </cell>
          <cell r="AQ3" t="str">
            <v>Column 5</v>
          </cell>
          <cell r="AR3"/>
          <cell r="AS3" t="str">
            <v>Column 1</v>
          </cell>
          <cell r="AT3" t="str">
            <v>Column 2</v>
          </cell>
          <cell r="AU3" t="str">
            <v>Column 3</v>
          </cell>
          <cell r="AV3" t="str">
            <v>Column 4</v>
          </cell>
          <cell r="AW3" t="str">
            <v>Column 5</v>
          </cell>
        </row>
        <row r="4">
          <cell r="AG4" t="str">
            <v>DATA ENTRY MENU</v>
          </cell>
          <cell r="AH4"/>
          <cell r="AI4"/>
          <cell r="AJ4"/>
          <cell r="AK4"/>
          <cell r="AM4" t="str">
            <v>MENU D'ENTREE DE DONNEES</v>
          </cell>
          <cell r="AN4"/>
          <cell r="AO4"/>
          <cell r="AP4"/>
          <cell r="AQ4"/>
          <cell r="AS4" t="str">
            <v xml:space="preserve">Меню ввода данных </v>
          </cell>
          <cell r="AT4"/>
          <cell r="AU4"/>
          <cell r="AV4"/>
          <cell r="AW4"/>
        </row>
        <row r="5">
          <cell r="AG5" t="str">
            <v>Control the integrity and coherence of your entries:</v>
          </cell>
          <cell r="AH5"/>
          <cell r="AI5" t="str">
            <v>Check data</v>
          </cell>
          <cell r="AJ5"/>
          <cell r="AK5"/>
          <cell r="AM5" t="str">
            <v>Contrôlez l'intégrité et la cohérence des données saisies :</v>
          </cell>
          <cell r="AN5"/>
          <cell r="AO5" t="str">
            <v>Vérification des données</v>
          </cell>
          <cell r="AP5"/>
          <cell r="AQ5"/>
          <cell r="AS5" t="str">
            <v>Контролируйте целостность и согласованность вводимых</v>
          </cell>
          <cell r="AT5"/>
          <cell r="AU5" t="str">
            <v xml:space="preserve">Проверка данных </v>
          </cell>
          <cell r="AV5"/>
          <cell r="AW5"/>
        </row>
        <row r="6">
          <cell r="AG6" t="str">
            <v>Run the "Check data" program.</v>
          </cell>
          <cell r="AH6"/>
          <cell r="AI6"/>
          <cell r="AJ6"/>
          <cell r="AK6"/>
          <cell r="AM6" t="str">
            <v>Lancez le programme de vérification des données.</v>
          </cell>
          <cell r="AN6"/>
          <cell r="AO6"/>
          <cell r="AP6"/>
          <cell r="AQ6"/>
          <cell r="AS6" t="str">
            <v>данных: Используйте программу проверки данных</v>
          </cell>
          <cell r="AT6"/>
          <cell r="AU6"/>
          <cell r="AV6"/>
          <cell r="AW6"/>
        </row>
        <row r="7">
          <cell r="AG7"/>
          <cell r="AH7"/>
          <cell r="AI7"/>
          <cell r="AJ7"/>
          <cell r="AK7"/>
          <cell r="AM7"/>
          <cell r="AN7"/>
          <cell r="AO7"/>
          <cell r="AP7"/>
          <cell r="AQ7"/>
          <cell r="AS7"/>
          <cell r="AT7"/>
          <cell r="AU7"/>
          <cell r="AV7"/>
          <cell r="AW7"/>
        </row>
        <row r="8">
          <cell r="AG8" t="str">
            <v>DATA ENTRY IN TIME SERIES</v>
          </cell>
          <cell r="AH8"/>
          <cell r="AI8"/>
          <cell r="AJ8"/>
          <cell r="AK8"/>
          <cell r="AM8" t="str">
            <v>ENTREE DE DONNEES DANS LES SERIES</v>
          </cell>
          <cell r="AN8"/>
          <cell r="AO8"/>
          <cell r="AP8"/>
          <cell r="AQ8"/>
          <cell r="AS8" t="str">
            <v>Меню ввода данных во временные ряды</v>
          </cell>
          <cell r="AT8"/>
          <cell r="AU8"/>
          <cell r="AV8"/>
          <cell r="AW8"/>
        </row>
        <row r="9">
          <cell r="AG9"/>
          <cell r="AH9"/>
          <cell r="AI9"/>
          <cell r="AJ9"/>
          <cell r="AK9"/>
          <cell r="AM9"/>
          <cell r="AN9"/>
          <cell r="AO9"/>
          <cell r="AP9"/>
          <cell r="AQ9"/>
          <cell r="AS9"/>
          <cell r="AT9"/>
          <cell r="AU9"/>
          <cell r="AV9"/>
          <cell r="AW9"/>
        </row>
        <row r="10">
          <cell r="AG10" t="str">
            <v>1. Supply</v>
          </cell>
          <cell r="AH10" t="str">
            <v>2a. Consumption</v>
          </cell>
          <cell r="AI10" t="str">
            <v>2b. TFC 
Energy Use</v>
          </cell>
          <cell r="AJ10" t="str">
            <v>2b. TFC 
Non-Energy Use</v>
          </cell>
          <cell r="AK10"/>
          <cell r="AM10" t="str">
            <v>1. Approvisionnement</v>
          </cell>
          <cell r="AN10" t="str">
            <v>2a. Consommation</v>
          </cell>
          <cell r="AO10" t="str">
            <v>2b. CFT 
Util. énergétiques</v>
          </cell>
          <cell r="AP10" t="str">
            <v>2b. CFT 
Util. non énergé.</v>
          </cell>
          <cell r="AQ10"/>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cell r="AW10"/>
        </row>
        <row r="11">
          <cell r="AG11"/>
          <cell r="AH11"/>
          <cell r="AI11"/>
          <cell r="AJ11"/>
          <cell r="AK11"/>
          <cell r="AM11"/>
          <cell r="AN11"/>
          <cell r="AO11"/>
          <cell r="AP11"/>
          <cell r="AQ11"/>
          <cell r="AS11"/>
          <cell r="AT11"/>
          <cell r="AU11"/>
          <cell r="AV11"/>
          <cell r="AW11"/>
        </row>
        <row r="12">
          <cell r="AG12" t="str">
            <v>3i. Imports</v>
          </cell>
          <cell r="AH12" t="str">
            <v>3ii. Imports 
of which LNG</v>
          </cell>
          <cell r="AI12" t="str">
            <v>4i. Exports</v>
          </cell>
          <cell r="AJ12" t="str">
            <v>4ii. Exports 
of which LNG</v>
          </cell>
          <cell r="AK12"/>
          <cell r="AL12"/>
          <cell r="AM12" t="str">
            <v>3i. Importations</v>
          </cell>
          <cell r="AN12" t="str">
            <v>3ii. Importations 
de GNL</v>
          </cell>
          <cell r="AO12" t="str">
            <v>4i. Exportations</v>
          </cell>
          <cell r="AP12" t="str">
            <v>4ii. Exportations 
de GNL</v>
          </cell>
          <cell r="AQ12"/>
          <cell r="AR12"/>
          <cell r="AS12" t="str">
            <v>3i. Импорт</v>
          </cell>
          <cell r="AT12" t="str">
            <v>3ii. Импорт СПГ</v>
          </cell>
          <cell r="AU12" t="str">
            <v>4i. Экспорт</v>
          </cell>
          <cell r="AV12" t="str">
            <v>4ii. Экспорт СПГ</v>
          </cell>
          <cell r="AW12"/>
        </row>
        <row r="13">
          <cell r="AG13"/>
          <cell r="AH13"/>
          <cell r="AI13"/>
          <cell r="AJ13"/>
          <cell r="AK13"/>
          <cell r="AM13"/>
          <cell r="AN13"/>
          <cell r="AO13"/>
          <cell r="AP13"/>
          <cell r="AQ13"/>
          <cell r="AS13"/>
          <cell r="AT13"/>
          <cell r="AU13"/>
          <cell r="AV13"/>
          <cell r="AW13"/>
        </row>
        <row r="14">
          <cell r="AG14"/>
          <cell r="AH14"/>
          <cell r="AI14"/>
          <cell r="AJ14"/>
          <cell r="AK14"/>
          <cell r="AL14"/>
          <cell r="AM14"/>
          <cell r="AN14"/>
          <cell r="AO14"/>
          <cell r="AP14"/>
          <cell r="AQ14"/>
          <cell r="AR14"/>
          <cell r="AS14"/>
          <cell r="AT14"/>
          <cell r="AU14"/>
          <cell r="AV14"/>
          <cell r="AW14"/>
        </row>
        <row r="15">
          <cell r="AG15" t="str">
            <v>DATA ENTRY IN FORMS</v>
          </cell>
          <cell r="AH15"/>
          <cell r="AI15"/>
          <cell r="AJ15"/>
          <cell r="AK15"/>
          <cell r="AL15"/>
          <cell r="AM15" t="str">
            <v>ENTREE DE DONNEES DANS LES TABLEAUX</v>
          </cell>
          <cell r="AN15"/>
          <cell r="AO15"/>
          <cell r="AP15"/>
          <cell r="AQ15"/>
          <cell r="AR15"/>
          <cell r="AS15" t="str">
            <v>Меню ввода данных в таблицы</v>
          </cell>
          <cell r="AT15"/>
          <cell r="AU15"/>
          <cell r="AV15"/>
          <cell r="AW15"/>
        </row>
        <row r="16">
          <cell r="AG16"/>
          <cell r="AH16"/>
          <cell r="AI16"/>
          <cell r="AJ16"/>
          <cell r="AK16"/>
          <cell r="AM16"/>
          <cell r="AN16"/>
          <cell r="AO16"/>
          <cell r="AP16"/>
          <cell r="AQ16"/>
          <cell r="AS16"/>
          <cell r="AT16"/>
          <cell r="AU16"/>
          <cell r="AV16"/>
          <cell r="AW16"/>
        </row>
        <row r="17">
          <cell r="AG17" t="str">
            <v xml:space="preserve">Please select the year and click on the form : </v>
          </cell>
          <cell r="AH17"/>
          <cell r="AI17"/>
          <cell r="AJ17"/>
          <cell r="AK17"/>
          <cell r="AL17"/>
          <cell r="AM17" t="str">
            <v xml:space="preserve">Choisissez l'année puis sélectionnez le tableau : </v>
          </cell>
          <cell r="AN17"/>
          <cell r="AO17"/>
          <cell r="AP17"/>
          <cell r="AQ17"/>
          <cell r="AR17"/>
          <cell r="AS17" t="str">
            <v>Пожалуйста выберите год и таблицу:</v>
          </cell>
          <cell r="AT17"/>
          <cell r="AU17"/>
          <cell r="AV17"/>
          <cell r="AW17"/>
        </row>
        <row r="18">
          <cell r="AG18"/>
          <cell r="AH18"/>
          <cell r="AI18"/>
          <cell r="AJ18"/>
          <cell r="AK18"/>
          <cell r="AM18"/>
          <cell r="AN18"/>
          <cell r="AO18"/>
          <cell r="AP18"/>
          <cell r="AQ18"/>
          <cell r="AS18"/>
          <cell r="AT18"/>
          <cell r="AU18"/>
          <cell r="AV18"/>
          <cell r="AW18"/>
        </row>
        <row r="19">
          <cell r="AG19" t="str">
            <v>Table 1</v>
          </cell>
          <cell r="AH19" t="str">
            <v>Table 2a</v>
          </cell>
          <cell r="AI19" t="str">
            <v>Table 2b</v>
          </cell>
          <cell r="AJ19" t="str">
            <v>Table 3</v>
          </cell>
          <cell r="AK19"/>
          <cell r="AM19" t="str">
            <v>Tableau 1</v>
          </cell>
          <cell r="AN19" t="str">
            <v>Tableau 2a</v>
          </cell>
          <cell r="AO19" t="str">
            <v>Tableau 2b</v>
          </cell>
          <cell r="AP19" t="str">
            <v>Tableau 3</v>
          </cell>
          <cell r="AQ19"/>
          <cell r="AS19" t="str">
            <v>Tаблица 1</v>
          </cell>
          <cell r="AT19" t="str">
            <v>Tаблица 2a</v>
          </cell>
          <cell r="AU19" t="str">
            <v>Tаблица 2b</v>
          </cell>
          <cell r="AV19" t="str">
            <v>Tаблица 3</v>
          </cell>
          <cell r="AW19"/>
        </row>
        <row r="20">
          <cell r="AG20"/>
          <cell r="AH20"/>
          <cell r="AI20"/>
          <cell r="AJ20"/>
          <cell r="AK20"/>
          <cell r="AM20"/>
          <cell r="AN20"/>
          <cell r="AO20"/>
          <cell r="AP20"/>
          <cell r="AQ20"/>
          <cell r="AS20"/>
          <cell r="AT20"/>
          <cell r="AU20"/>
          <cell r="AV20"/>
          <cell r="AW20"/>
        </row>
        <row r="21">
          <cell r="AG21" t="str">
            <v>Table 4</v>
          </cell>
          <cell r="AH21" t="str">
            <v>Table 5a</v>
          </cell>
          <cell r="AI21" t="str">
            <v>Table 5b</v>
          </cell>
          <cell r="AJ21" t="str">
            <v>Table 5c</v>
          </cell>
          <cell r="AK21"/>
          <cell r="AM21" t="str">
            <v>Tableau 4</v>
          </cell>
          <cell r="AN21" t="str">
            <v>Tableau 5a</v>
          </cell>
          <cell r="AO21" t="str">
            <v>Tableau 5b</v>
          </cell>
          <cell r="AP21" t="str">
            <v>Tableau 5c</v>
          </cell>
          <cell r="AQ21"/>
          <cell r="AS21" t="str">
            <v>Tаблица 4</v>
          </cell>
          <cell r="AT21" t="str">
            <v>Tаблица 5a</v>
          </cell>
          <cell r="AU21" t="str">
            <v>Tаблица 5b</v>
          </cell>
          <cell r="AV21" t="str">
            <v>Tаблица 5c</v>
          </cell>
          <cell r="AW21"/>
        </row>
        <row r="22">
          <cell r="AG22"/>
          <cell r="AH22"/>
          <cell r="AI22"/>
          <cell r="AJ22"/>
          <cell r="AK22"/>
          <cell r="AM22"/>
          <cell r="AN22"/>
          <cell r="AO22"/>
          <cell r="AP22"/>
          <cell r="AQ22"/>
          <cell r="AS22"/>
          <cell r="AT22"/>
          <cell r="AU22"/>
          <cell r="AV22"/>
          <cell r="AW22"/>
        </row>
        <row r="23">
          <cell r="AG23" t="str">
            <v>Table 6</v>
          </cell>
          <cell r="AH23"/>
          <cell r="AI23"/>
          <cell r="AJ23" t="str">
            <v>Remarks</v>
          </cell>
          <cell r="AK23"/>
          <cell r="AM23" t="str">
            <v>Tableau 6</v>
          </cell>
          <cell r="AN23"/>
          <cell r="AO23"/>
          <cell r="AP23" t="str">
            <v>Remarques</v>
          </cell>
          <cell r="AQ23"/>
          <cell r="AS23" t="str">
            <v>Tаблица 6</v>
          </cell>
          <cell r="AT23"/>
          <cell r="AU23"/>
          <cell r="AV23" t="str">
            <v>Замечания</v>
          </cell>
          <cell r="AW23"/>
        </row>
        <row r="24">
          <cell r="AG24"/>
          <cell r="AH24"/>
          <cell r="AI24"/>
          <cell r="AJ24"/>
          <cell r="AK24"/>
          <cell r="AL24"/>
          <cell r="AM24"/>
          <cell r="AN24"/>
          <cell r="AO24"/>
          <cell r="AP24"/>
          <cell r="AQ24"/>
          <cell r="AR24"/>
          <cell r="AS24"/>
          <cell r="AT24"/>
          <cell r="AU24"/>
          <cell r="AV24"/>
          <cell r="AW24"/>
        </row>
        <row r="25">
          <cell r="AG25" t="str">
            <v>ASCII DATA TRANSFERS</v>
          </cell>
          <cell r="AH25"/>
          <cell r="AI25"/>
          <cell r="AJ25"/>
          <cell r="AK25"/>
          <cell r="AL25"/>
          <cell r="AM25" t="str">
            <v>TRANSFERTS DE DONNEES ASCII</v>
          </cell>
          <cell r="AN25"/>
          <cell r="AO25"/>
          <cell r="AP25"/>
          <cell r="AQ25"/>
          <cell r="AR25"/>
          <cell r="AS25" t="str">
            <v>Передача данных ASCII</v>
          </cell>
          <cell r="AT25"/>
          <cell r="AU25"/>
          <cell r="AV25"/>
          <cell r="AW25"/>
        </row>
        <row r="26">
          <cell r="AG26"/>
          <cell r="AH26"/>
          <cell r="AI26"/>
          <cell r="AJ26"/>
          <cell r="AK26"/>
          <cell r="AM26"/>
          <cell r="AN26"/>
          <cell r="AO26"/>
          <cell r="AP26"/>
          <cell r="AQ26"/>
          <cell r="AS26"/>
          <cell r="AT26"/>
          <cell r="AU26"/>
          <cell r="AV26"/>
          <cell r="AW26"/>
        </row>
        <row r="27">
          <cell r="AE27" t="str">
            <v>Menu</v>
          </cell>
          <cell r="AG27" t="str">
            <v>Import</v>
          </cell>
          <cell r="AH27" t="str">
            <v>Export</v>
          </cell>
          <cell r="AI27"/>
          <cell r="AJ27"/>
          <cell r="AK27" t="str">
            <v>Menu</v>
          </cell>
          <cell r="AM27" t="str">
            <v>Import</v>
          </cell>
          <cell r="AN27" t="str">
            <v>Export</v>
          </cell>
          <cell r="AO27"/>
          <cell r="AP27"/>
          <cell r="AQ27" t="str">
            <v>Menu</v>
          </cell>
          <cell r="AS27" t="str">
            <v>Импорт</v>
          </cell>
          <cell r="AT27" t="str">
            <v>Экспорт</v>
          </cell>
          <cell r="AU27"/>
          <cell r="AV27"/>
          <cell r="AW27" t="str">
            <v>Меню</v>
          </cell>
        </row>
        <row r="28">
          <cell r="AE28" t="str">
            <v>Millions mètres cube</v>
          </cell>
          <cell r="AG28"/>
          <cell r="AH28"/>
          <cell r="AI28"/>
          <cell r="AJ28"/>
          <cell r="AK28" t="str">
            <v>Million cubic metres</v>
          </cell>
          <cell r="AM28"/>
          <cell r="AN28"/>
          <cell r="AO28"/>
          <cell r="AP28"/>
          <cell r="AQ28" t="str">
            <v>Millions mètres cube</v>
          </cell>
          <cell r="AS28"/>
          <cell r="AT28"/>
          <cell r="AU28"/>
          <cell r="AV28"/>
          <cell r="AW28" t="str">
            <v>Миллионы кубических метров</v>
          </cell>
        </row>
        <row r="29">
          <cell r="AE29" t="str">
            <v>Terajoules</v>
          </cell>
          <cell r="AG29"/>
          <cell r="AH29"/>
          <cell r="AI29" t="str">
            <v>Tip : press Ctrl+M to come</v>
          </cell>
          <cell r="AJ29"/>
          <cell r="AK29" t="str">
            <v>Terajoules</v>
          </cell>
          <cell r="AM29"/>
          <cell r="AN29"/>
          <cell r="AO29" t="str">
            <v>Astuce : Appuyez sur Ctrl+M</v>
          </cell>
          <cell r="AP29"/>
          <cell r="AQ29" t="str">
            <v>Terajoules</v>
          </cell>
          <cell r="AS29"/>
          <cell r="AT29"/>
          <cell r="AU29" t="str">
            <v xml:space="preserve">Подсказка: Нажмите Ctrl+M чтобы </v>
          </cell>
          <cell r="AV29"/>
          <cell r="AW29" t="str">
            <v>Тераджоули</v>
          </cell>
        </row>
        <row r="30">
          <cell r="AE30" t="str">
            <v>Pouvoirs calorifiques supérieurs</v>
          </cell>
          <cell r="AG30"/>
          <cell r="AH30"/>
          <cell r="AI30" t="str">
            <v>back to this page from anywhere</v>
          </cell>
          <cell r="AJ30"/>
          <cell r="AK30" t="str">
            <v>Gross Calorific Values</v>
          </cell>
          <cell r="AM30"/>
          <cell r="AN30"/>
          <cell r="AO30" t="str">
            <v>pour revenir à ce menu à tout moment</v>
          </cell>
          <cell r="AP30"/>
          <cell r="AQ30" t="str">
            <v>Pouvoirs calorifiques supérieurs</v>
          </cell>
          <cell r="AS30"/>
          <cell r="AT30"/>
          <cell r="AU30" t="str">
            <v>вернуться к этому меню в любой момент</v>
          </cell>
          <cell r="AV30"/>
          <cell r="AW30" t="str">
            <v>Высшая теплотворная способность (ВТС)</v>
          </cell>
        </row>
        <row r="31">
          <cell r="AG31"/>
          <cell r="AH31"/>
          <cell r="AI31"/>
          <cell r="AJ31"/>
          <cell r="AK31"/>
          <cell r="AM31"/>
          <cell r="AN31"/>
          <cell r="AO31"/>
          <cell r="AP31"/>
          <cell r="AQ31"/>
          <cell r="AS31"/>
          <cell r="AT31"/>
          <cell r="AU31"/>
          <cell r="AV31"/>
          <cell r="AW31"/>
        </row>
      </sheetData>
      <sheetData sheetId="3">
        <row r="1">
          <cell r="AH1" t="str">
            <v>TABLE 1 - SUPPLY OF NATURAL GAS</v>
          </cell>
          <cell r="AI1" t="str">
            <v>APPROVISIONNEMENT EN GAZ NATUREL</v>
          </cell>
          <cell r="AJ1" t="str">
            <v>ПОСТАВКИ ПРИРОДНОГО ГАЗА</v>
          </cell>
        </row>
        <row r="2">
          <cell r="AH2"/>
          <cell r="AI2"/>
          <cell r="AJ2"/>
        </row>
        <row r="3">
          <cell r="AH3"/>
          <cell r="AI3"/>
          <cell r="AJ3"/>
        </row>
        <row r="4">
          <cell r="AH4"/>
          <cell r="AI4"/>
          <cell r="AJ4"/>
        </row>
        <row r="5">
          <cell r="AH5"/>
          <cell r="AI5"/>
          <cell r="AJ5"/>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8">
          <cell r="AH18"/>
          <cell r="AI18"/>
          <cell r="AJ18"/>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4">
          <cell r="AH24"/>
          <cell r="AI24"/>
          <cell r="AJ24"/>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0">
          <cell r="AH30"/>
          <cell r="AI30"/>
          <cell r="AJ30"/>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cell r="AI39"/>
          <cell r="AJ39"/>
        </row>
        <row r="40">
          <cell r="AH40" t="str">
            <v>NCV = Net calorifc value</v>
          </cell>
          <cell r="AI40"/>
          <cell r="AJ40"/>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2">
          <cell r="AE2"/>
          <cell r="AF2"/>
          <cell r="AG2"/>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5">
          <cell r="AE5"/>
          <cell r="AF5"/>
          <cell r="AG5"/>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row r="37">
          <cell r="AE37"/>
          <cell r="AF37"/>
          <cell r="AG37"/>
        </row>
      </sheetData>
      <sheetData sheetId="5">
        <row r="1">
          <cell r="AF1" t="str">
            <v>TABLE 2b - TOTAL FINAL CONSUMPTION BY SECTOR</v>
          </cell>
          <cell r="AG1" t="str">
            <v>CONSOMMATION FINALE TOTALE PAR SECTEUR</v>
          </cell>
          <cell r="AH1" t="str">
            <v>ВНУТРЕННЕЕ ПОТРЕБЛЕНИЕ ПО СЕКТОРАМ</v>
          </cell>
        </row>
        <row r="2">
          <cell r="AF2"/>
          <cell r="AG2"/>
          <cell r="AH2"/>
        </row>
        <row r="3">
          <cell r="AF3" t="str">
            <v>Unit: TJ (GCV)</v>
          </cell>
          <cell r="AG3" t="str">
            <v>Unité: TJ (PCS)</v>
          </cell>
          <cell r="AH3" t="str">
            <v>Единица измерения: ТДж (ВТС)</v>
          </cell>
        </row>
        <row r="4">
          <cell r="AF4"/>
          <cell r="AG4"/>
          <cell r="AH4"/>
        </row>
        <row r="5">
          <cell r="AF5"/>
          <cell r="AG5"/>
          <cell r="AH5"/>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2">
          <cell r="AM2"/>
          <cell r="AN2"/>
          <cell r="AO2"/>
        </row>
        <row r="3">
          <cell r="AM3"/>
          <cell r="AN3"/>
          <cell r="AO3"/>
        </row>
        <row r="4">
          <cell r="AM4" t="str">
            <v>ORIGIN</v>
          </cell>
          <cell r="AN4" t="str">
            <v>ORIGINE</v>
          </cell>
          <cell r="AO4" t="str">
            <v>ПРОИСХОЖДЕНИЕ</v>
          </cell>
        </row>
        <row r="5">
          <cell r="AM5"/>
          <cell r="AN5"/>
          <cell r="AO5"/>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2">
          <cell r="AM2"/>
          <cell r="AN2"/>
          <cell r="AO2"/>
        </row>
        <row r="3">
          <cell r="AM3"/>
          <cell r="AN3"/>
          <cell r="AO3"/>
        </row>
        <row r="4">
          <cell r="AM4" t="str">
            <v>DESTINATION</v>
          </cell>
          <cell r="AN4" t="str">
            <v>DESTINATION</v>
          </cell>
          <cell r="AO4" t="str">
            <v>НАЗНАЧЕНИЯ</v>
          </cell>
        </row>
        <row r="5">
          <cell r="AM5"/>
          <cell r="AN5"/>
          <cell r="AO5"/>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end-2017</v>
          </cell>
          <cell r="AG1" t="str">
            <v>PERIODE : Fin 2017</v>
          </cell>
          <cell r="AH1" t="str">
            <v>ПЕРИОД : Конец 2017</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3">
          <cell r="AF3"/>
          <cell r="AG3"/>
          <cell r="AH3"/>
        </row>
        <row r="4">
          <cell r="AF4"/>
          <cell r="AG4"/>
          <cell r="AH4"/>
        </row>
        <row r="5">
          <cell r="AF5"/>
          <cell r="AG5"/>
          <cell r="AH5"/>
        </row>
        <row r="6">
          <cell r="AF6"/>
          <cell r="AG6"/>
          <cell r="AH6"/>
        </row>
        <row r="7">
          <cell r="AF7"/>
          <cell r="AG7"/>
          <cell r="AH7"/>
        </row>
        <row r="8">
          <cell r="AF8"/>
          <cell r="AG8"/>
          <cell r="AH8"/>
        </row>
        <row r="9">
          <cell r="AF9"/>
          <cell r="AG9"/>
          <cell r="AH9"/>
        </row>
        <row r="10">
          <cell r="AF10"/>
          <cell r="AG10"/>
          <cell r="AH10"/>
        </row>
        <row r="11">
          <cell r="AF11"/>
          <cell r="AG11"/>
          <cell r="AH11"/>
        </row>
        <row r="12">
          <cell r="AF12"/>
          <cell r="AG12"/>
          <cell r="AH12"/>
        </row>
        <row r="13">
          <cell r="AF13"/>
          <cell r="AG13"/>
          <cell r="AH13"/>
        </row>
        <row r="14">
          <cell r="AF14"/>
          <cell r="AG14"/>
          <cell r="AH14"/>
        </row>
        <row r="15">
          <cell r="AF15"/>
          <cell r="AG15"/>
          <cell r="AH15"/>
        </row>
        <row r="16">
          <cell r="AF16"/>
          <cell r="AG16"/>
          <cell r="AH16"/>
        </row>
        <row r="17">
          <cell r="AF17"/>
          <cell r="AG17"/>
          <cell r="AH17"/>
        </row>
        <row r="18">
          <cell r="AF18"/>
          <cell r="AG18"/>
          <cell r="AH18"/>
        </row>
        <row r="19">
          <cell r="AF19"/>
          <cell r="AG19"/>
          <cell r="AH19"/>
        </row>
        <row r="20">
          <cell r="AF20"/>
          <cell r="AG20"/>
          <cell r="AH20"/>
        </row>
        <row r="21">
          <cell r="AF21"/>
          <cell r="AG21"/>
          <cell r="AH21"/>
        </row>
        <row r="22">
          <cell r="AF22"/>
          <cell r="AG22"/>
          <cell r="AH22"/>
        </row>
        <row r="23">
          <cell r="AF23"/>
          <cell r="AG23"/>
          <cell r="AH23"/>
        </row>
        <row r="24">
          <cell r="AF24"/>
          <cell r="AG24"/>
          <cell r="AH24"/>
        </row>
        <row r="25">
          <cell r="AF25"/>
          <cell r="AG25"/>
          <cell r="AH25"/>
        </row>
        <row r="26">
          <cell r="AF26"/>
          <cell r="AG26"/>
          <cell r="AH26"/>
        </row>
        <row r="27">
          <cell r="AF27"/>
          <cell r="AG27"/>
          <cell r="AH27"/>
        </row>
        <row r="28">
          <cell r="AF28"/>
          <cell r="AG28"/>
          <cell r="AH28"/>
        </row>
        <row r="29">
          <cell r="AF29"/>
          <cell r="AG29"/>
          <cell r="AH29"/>
        </row>
        <row r="30">
          <cell r="AF30"/>
          <cell r="AG30"/>
          <cell r="AH30"/>
        </row>
        <row r="31">
          <cell r="AF31"/>
          <cell r="AG31"/>
          <cell r="AH31"/>
        </row>
        <row r="32">
          <cell r="AF32"/>
          <cell r="AG32"/>
          <cell r="AH32"/>
        </row>
        <row r="33">
          <cell r="AF33"/>
          <cell r="AG33"/>
          <cell r="AH33"/>
        </row>
        <row r="34">
          <cell r="AF34"/>
          <cell r="AG34"/>
          <cell r="AH34"/>
        </row>
        <row r="35">
          <cell r="AF35"/>
          <cell r="AG35"/>
          <cell r="AH35"/>
        </row>
        <row r="36">
          <cell r="AF36"/>
          <cell r="AG36"/>
          <cell r="AH36"/>
        </row>
        <row r="37">
          <cell r="AF37"/>
          <cell r="AG37"/>
          <cell r="AH37"/>
        </row>
        <row r="38">
          <cell r="AF38"/>
          <cell r="AG38"/>
          <cell r="AH38"/>
        </row>
        <row r="39">
          <cell r="AF39"/>
          <cell r="AG39"/>
          <cell r="AH39"/>
        </row>
        <row r="40">
          <cell r="AF40"/>
          <cell r="AG40"/>
          <cell r="AH40"/>
        </row>
        <row r="41">
          <cell r="AF41"/>
          <cell r="AG41"/>
          <cell r="AH41"/>
        </row>
        <row r="42">
          <cell r="AF42"/>
          <cell r="AG42"/>
          <cell r="AH42"/>
        </row>
        <row r="43">
          <cell r="AF43"/>
          <cell r="AG43"/>
          <cell r="AH43"/>
        </row>
        <row r="44">
          <cell r="AF44"/>
          <cell r="AG44"/>
          <cell r="AH44"/>
        </row>
        <row r="45">
          <cell r="AF45"/>
          <cell r="AG45"/>
          <cell r="AH45"/>
        </row>
        <row r="46">
          <cell r="AF46"/>
          <cell r="AG46"/>
          <cell r="AH46"/>
        </row>
        <row r="47">
          <cell r="AF47"/>
          <cell r="AG47"/>
          <cell r="AH47"/>
        </row>
        <row r="48">
          <cell r="AF48"/>
          <cell r="AG48"/>
          <cell r="AH48"/>
        </row>
        <row r="49">
          <cell r="AF49"/>
          <cell r="AG49"/>
          <cell r="AH49"/>
        </row>
        <row r="50">
          <cell r="AF50"/>
          <cell r="AG50"/>
          <cell r="AH50"/>
        </row>
        <row r="51">
          <cell r="AF51"/>
          <cell r="AG51"/>
          <cell r="AH51"/>
        </row>
        <row r="52">
          <cell r="AF52"/>
          <cell r="AG52"/>
          <cell r="AH52"/>
        </row>
        <row r="53">
          <cell r="AF53"/>
          <cell r="AG53"/>
          <cell r="AH53"/>
        </row>
        <row r="54">
          <cell r="AF54"/>
          <cell r="AG54"/>
          <cell r="AH54"/>
        </row>
        <row r="55">
          <cell r="AF55"/>
          <cell r="AG55"/>
          <cell r="AH55"/>
        </row>
        <row r="56">
          <cell r="AF56"/>
          <cell r="AG56"/>
          <cell r="AH56"/>
        </row>
        <row r="57">
          <cell r="AF57"/>
          <cell r="AG57"/>
          <cell r="AH57"/>
        </row>
        <row r="58">
          <cell r="AF58"/>
          <cell r="AG58"/>
          <cell r="AH58"/>
        </row>
        <row r="59">
          <cell r="AF59"/>
          <cell r="AG59"/>
          <cell r="AH59"/>
        </row>
        <row r="60">
          <cell r="AF60"/>
          <cell r="AG60"/>
          <cell r="AH60"/>
        </row>
        <row r="61">
          <cell r="AF61"/>
          <cell r="AG61"/>
          <cell r="AH61"/>
        </row>
        <row r="62">
          <cell r="AF62"/>
          <cell r="AG62"/>
          <cell r="AH62"/>
        </row>
        <row r="63">
          <cell r="AF63"/>
          <cell r="AG63"/>
          <cell r="AH63"/>
        </row>
        <row r="64">
          <cell r="AF64"/>
          <cell r="AG64"/>
          <cell r="AH64"/>
        </row>
        <row r="65">
          <cell r="AF65"/>
          <cell r="AG65"/>
          <cell r="AH65"/>
        </row>
        <row r="66">
          <cell r="AF66"/>
          <cell r="AG66"/>
          <cell r="AH66"/>
        </row>
        <row r="67">
          <cell r="AF67"/>
          <cell r="AG67"/>
          <cell r="AH67"/>
        </row>
        <row r="68">
          <cell r="AF68"/>
          <cell r="AG68"/>
          <cell r="AH68"/>
        </row>
        <row r="69">
          <cell r="AF69"/>
          <cell r="AG69"/>
          <cell r="AH69"/>
        </row>
        <row r="70">
          <cell r="AF70"/>
          <cell r="AG70"/>
          <cell r="AH70"/>
        </row>
        <row r="71">
          <cell r="AF71"/>
          <cell r="AG71"/>
          <cell r="AH71"/>
        </row>
        <row r="72">
          <cell r="AF72"/>
          <cell r="AG72"/>
          <cell r="AH72"/>
        </row>
        <row r="73">
          <cell r="AF73"/>
          <cell r="AG73"/>
          <cell r="AH73"/>
        </row>
        <row r="74">
          <cell r="AF74"/>
          <cell r="AG74"/>
          <cell r="AH74"/>
        </row>
        <row r="75">
          <cell r="AF75"/>
          <cell r="AG75"/>
          <cell r="AH75"/>
        </row>
        <row r="76">
          <cell r="AF76"/>
          <cell r="AG76"/>
          <cell r="AH76"/>
        </row>
        <row r="77">
          <cell r="AF77"/>
          <cell r="AG77"/>
          <cell r="AH77"/>
        </row>
        <row r="78">
          <cell r="AF78"/>
          <cell r="AG78"/>
          <cell r="AH78"/>
        </row>
        <row r="79">
          <cell r="AF79"/>
          <cell r="AG79"/>
          <cell r="AH79"/>
        </row>
        <row r="80">
          <cell r="AF80"/>
          <cell r="AG80"/>
          <cell r="AH80"/>
        </row>
        <row r="81">
          <cell r="AF81"/>
          <cell r="AG81"/>
          <cell r="AH81"/>
        </row>
        <row r="82">
          <cell r="AF82"/>
          <cell r="AG82"/>
          <cell r="AH82"/>
        </row>
        <row r="83">
          <cell r="AF83"/>
          <cell r="AG83"/>
          <cell r="AH83"/>
        </row>
        <row r="84">
          <cell r="AF84"/>
          <cell r="AG84"/>
          <cell r="AH84"/>
        </row>
        <row r="85">
          <cell r="AF85"/>
          <cell r="AG85"/>
          <cell r="AH85"/>
        </row>
        <row r="86">
          <cell r="AF86"/>
          <cell r="AG86"/>
          <cell r="AH86"/>
        </row>
        <row r="87">
          <cell r="AF87"/>
          <cell r="AG87"/>
          <cell r="AH87"/>
        </row>
        <row r="88">
          <cell r="AF88"/>
          <cell r="AG88"/>
          <cell r="AH88"/>
        </row>
        <row r="89">
          <cell r="AF89"/>
          <cell r="AG89"/>
          <cell r="AH89"/>
        </row>
        <row r="90">
          <cell r="AF90"/>
          <cell r="AG90"/>
          <cell r="AH90"/>
        </row>
        <row r="91">
          <cell r="AF91"/>
          <cell r="AG91"/>
          <cell r="AH91"/>
        </row>
        <row r="92">
          <cell r="AF92"/>
          <cell r="AG92"/>
          <cell r="AH92"/>
        </row>
        <row r="93">
          <cell r="AF93"/>
          <cell r="AG93"/>
          <cell r="AH93"/>
        </row>
        <row r="94">
          <cell r="AF94"/>
          <cell r="AG94"/>
          <cell r="AH94"/>
        </row>
        <row r="95">
          <cell r="AF95"/>
          <cell r="AG95"/>
          <cell r="AH95"/>
        </row>
        <row r="96">
          <cell r="AF96"/>
          <cell r="AG96"/>
          <cell r="AH96"/>
        </row>
        <row r="97">
          <cell r="AF97"/>
          <cell r="AG97"/>
          <cell r="AH97"/>
        </row>
        <row r="98">
          <cell r="AF98"/>
          <cell r="AG98"/>
          <cell r="AH98"/>
        </row>
        <row r="99">
          <cell r="AF99"/>
          <cell r="AG99"/>
          <cell r="AH99"/>
        </row>
        <row r="100">
          <cell r="AF100"/>
          <cell r="AG100"/>
          <cell r="AH100"/>
        </row>
        <row r="101">
          <cell r="AF101"/>
          <cell r="AG101"/>
          <cell r="AH101"/>
        </row>
        <row r="102">
          <cell r="AF102"/>
          <cell r="AG102"/>
          <cell r="AH102"/>
        </row>
        <row r="103">
          <cell r="AF103"/>
          <cell r="AG103"/>
          <cell r="AH103"/>
        </row>
        <row r="104">
          <cell r="AF104"/>
          <cell r="AG104"/>
          <cell r="AH104"/>
        </row>
        <row r="105">
          <cell r="AF105"/>
          <cell r="AG105"/>
          <cell r="AH105"/>
        </row>
        <row r="106">
          <cell r="AF106" t="str">
            <v>TOTAL</v>
          </cell>
          <cell r="AG106" t="str">
            <v>TOTAL</v>
          </cell>
          <cell r="AH106" t="str">
            <v>ВСЕГО</v>
          </cell>
        </row>
        <row r="107">
          <cell r="AF107"/>
          <cell r="AG107"/>
          <cell r="AH107"/>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09">
          <cell r="AF109"/>
          <cell r="AG109"/>
          <cell r="AH109"/>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end-2017</v>
          </cell>
          <cell r="AJ1" t="str">
            <v>PERIODE : Fin 2017</v>
          </cell>
          <cell r="AK1" t="str">
            <v>ПЕРИОД : Конец 2017</v>
          </cell>
        </row>
        <row r="2">
          <cell r="AI2" t="str">
            <v>TABLE 5b - LNG IMPORT TERMINALS</v>
          </cell>
          <cell r="AJ2" t="str">
            <v>TABLEAU 5b - LNG TERMINAUX D'IMPORTATION</v>
          </cell>
          <cell r="AK2" t="str">
            <v>ТАБЛИЦА 5b – ТЕРМИНАЛЫ ИМПОРТА СПГ</v>
          </cell>
        </row>
        <row r="3">
          <cell r="AI3"/>
          <cell r="AJ3"/>
          <cell r="AK3"/>
        </row>
        <row r="4">
          <cell r="AI4"/>
          <cell r="AJ4"/>
          <cell r="AK4"/>
        </row>
        <row r="5">
          <cell r="AI5"/>
          <cell r="AJ5"/>
          <cell r="AK5"/>
        </row>
        <row r="6">
          <cell r="AI6"/>
          <cell r="AJ6"/>
          <cell r="AK6"/>
        </row>
        <row r="7">
          <cell r="AI7"/>
          <cell r="AJ7"/>
          <cell r="AK7"/>
        </row>
        <row r="8">
          <cell r="AI8"/>
          <cell r="AJ8"/>
          <cell r="AK8"/>
        </row>
        <row r="9">
          <cell r="AI9"/>
          <cell r="AJ9"/>
          <cell r="AK9"/>
        </row>
        <row r="10">
          <cell r="AI10"/>
          <cell r="AJ10"/>
          <cell r="AK10"/>
        </row>
        <row r="11">
          <cell r="AI11"/>
          <cell r="AJ11"/>
          <cell r="AK11"/>
        </row>
        <row r="12">
          <cell r="AI12"/>
          <cell r="AJ12"/>
          <cell r="AK12"/>
        </row>
        <row r="13">
          <cell r="AI13"/>
          <cell r="AJ13"/>
          <cell r="AK13"/>
        </row>
        <row r="14">
          <cell r="AI14"/>
          <cell r="AJ14"/>
          <cell r="AK14"/>
        </row>
        <row r="15">
          <cell r="AI15"/>
          <cell r="AJ15"/>
          <cell r="AK15"/>
        </row>
        <row r="16">
          <cell r="AI16"/>
          <cell r="AJ16"/>
          <cell r="AK16"/>
        </row>
        <row r="17">
          <cell r="AI17"/>
          <cell r="AJ17"/>
          <cell r="AK17"/>
        </row>
        <row r="18">
          <cell r="AI18"/>
          <cell r="AJ18"/>
          <cell r="AK18"/>
        </row>
        <row r="19">
          <cell r="AI19"/>
          <cell r="AJ19"/>
          <cell r="AK19"/>
        </row>
        <row r="20">
          <cell r="AI20"/>
          <cell r="AJ20"/>
          <cell r="AK20"/>
        </row>
        <row r="21">
          <cell r="AI21"/>
          <cell r="AJ21"/>
          <cell r="AK21"/>
        </row>
        <row r="22">
          <cell r="AI22"/>
          <cell r="AJ22"/>
          <cell r="AK22"/>
        </row>
        <row r="23">
          <cell r="AI23"/>
          <cell r="AJ23"/>
          <cell r="AK23"/>
        </row>
        <row r="24">
          <cell r="AI24"/>
          <cell r="AJ24"/>
          <cell r="AK24"/>
        </row>
        <row r="25">
          <cell r="AI25"/>
          <cell r="AJ25"/>
          <cell r="AK25"/>
        </row>
        <row r="26">
          <cell r="AI26"/>
          <cell r="AJ26"/>
          <cell r="AK26"/>
        </row>
        <row r="27">
          <cell r="AI27"/>
          <cell r="AJ27"/>
          <cell r="AK27"/>
        </row>
        <row r="28">
          <cell r="AI28"/>
          <cell r="AJ28"/>
          <cell r="AK28"/>
        </row>
        <row r="29">
          <cell r="AI29"/>
          <cell r="AJ29"/>
          <cell r="AK29"/>
        </row>
        <row r="30">
          <cell r="AI30"/>
          <cell r="AJ30"/>
          <cell r="AK30"/>
        </row>
        <row r="31">
          <cell r="AI31"/>
          <cell r="AJ31"/>
          <cell r="AK31"/>
        </row>
        <row r="32">
          <cell r="AI32"/>
          <cell r="AJ32"/>
          <cell r="AK32"/>
        </row>
        <row r="33">
          <cell r="AI33"/>
          <cell r="AJ33"/>
          <cell r="AK33"/>
        </row>
        <row r="34">
          <cell r="AI34"/>
          <cell r="AJ34"/>
          <cell r="AK34"/>
        </row>
        <row r="35">
          <cell r="AI35"/>
          <cell r="AJ35"/>
          <cell r="AK35"/>
        </row>
        <row r="36">
          <cell r="AI36"/>
          <cell r="AJ36"/>
          <cell r="AK36"/>
        </row>
        <row r="37">
          <cell r="AI37"/>
          <cell r="AJ37"/>
          <cell r="AK37"/>
        </row>
        <row r="38">
          <cell r="AI38"/>
          <cell r="AJ38"/>
          <cell r="AK38"/>
        </row>
        <row r="39">
          <cell r="AI39"/>
          <cell r="AJ39"/>
          <cell r="AK39"/>
        </row>
        <row r="40">
          <cell r="AI40"/>
          <cell r="AJ40"/>
          <cell r="AK40"/>
        </row>
        <row r="41">
          <cell r="AI41"/>
          <cell r="AJ41"/>
          <cell r="AK41"/>
        </row>
        <row r="42">
          <cell r="AI42"/>
          <cell r="AJ42"/>
          <cell r="AK42"/>
        </row>
        <row r="43">
          <cell r="AI43"/>
          <cell r="AJ43"/>
          <cell r="AK43"/>
        </row>
        <row r="44">
          <cell r="AI44"/>
          <cell r="AJ44"/>
          <cell r="AK44"/>
        </row>
        <row r="45">
          <cell r="AI45"/>
          <cell r="AJ45"/>
          <cell r="AK45"/>
        </row>
        <row r="46">
          <cell r="AI46"/>
          <cell r="AJ46"/>
          <cell r="AK46"/>
        </row>
        <row r="47">
          <cell r="AI47"/>
          <cell r="AJ47"/>
          <cell r="AK47"/>
        </row>
        <row r="48">
          <cell r="AI48"/>
          <cell r="AJ48"/>
          <cell r="AK48"/>
        </row>
        <row r="49">
          <cell r="AI49"/>
          <cell r="AJ49"/>
          <cell r="AK49"/>
        </row>
        <row r="50">
          <cell r="AI50"/>
          <cell r="AJ50"/>
          <cell r="AK50"/>
        </row>
        <row r="51">
          <cell r="AI51"/>
          <cell r="AJ51"/>
          <cell r="AK51"/>
        </row>
        <row r="52">
          <cell r="AI52"/>
          <cell r="AJ52"/>
          <cell r="AK52"/>
        </row>
        <row r="53">
          <cell r="AI53"/>
          <cell r="AJ53"/>
          <cell r="AK53"/>
        </row>
        <row r="54">
          <cell r="AI54"/>
          <cell r="AJ54"/>
          <cell r="AK54"/>
        </row>
        <row r="55">
          <cell r="AI55"/>
          <cell r="AJ55"/>
          <cell r="AK55"/>
        </row>
        <row r="56">
          <cell r="AI56"/>
          <cell r="AJ56"/>
          <cell r="AK56"/>
        </row>
        <row r="57">
          <cell r="AI57"/>
          <cell r="AJ57"/>
          <cell r="AK57"/>
        </row>
        <row r="58">
          <cell r="AI58"/>
          <cell r="AJ58"/>
          <cell r="AK58"/>
        </row>
        <row r="59">
          <cell r="AI59"/>
          <cell r="AJ59"/>
          <cell r="AK59"/>
        </row>
        <row r="60">
          <cell r="AI60"/>
          <cell r="AJ60"/>
          <cell r="AK60"/>
        </row>
        <row r="61">
          <cell r="AI61"/>
          <cell r="AJ61"/>
          <cell r="AK61"/>
        </row>
        <row r="62">
          <cell r="AI62"/>
          <cell r="AJ62"/>
          <cell r="AK62"/>
        </row>
        <row r="63">
          <cell r="AI63"/>
          <cell r="AJ63"/>
          <cell r="AK63"/>
        </row>
        <row r="64">
          <cell r="AI64"/>
          <cell r="AJ64"/>
          <cell r="AK64"/>
        </row>
        <row r="65">
          <cell r="AI65"/>
          <cell r="AJ65"/>
          <cell r="AK65"/>
        </row>
        <row r="66">
          <cell r="AI66"/>
          <cell r="AJ66"/>
          <cell r="AK66"/>
        </row>
        <row r="67">
          <cell r="AI67"/>
          <cell r="AJ67"/>
          <cell r="AK67"/>
        </row>
        <row r="68">
          <cell r="AI68"/>
          <cell r="AJ68"/>
          <cell r="AK68"/>
        </row>
        <row r="69">
          <cell r="AI69"/>
          <cell r="AJ69"/>
          <cell r="AK69"/>
        </row>
        <row r="70">
          <cell r="AI70"/>
          <cell r="AJ70"/>
          <cell r="AK70"/>
        </row>
        <row r="71">
          <cell r="AI71"/>
          <cell r="AJ71"/>
          <cell r="AK71"/>
        </row>
        <row r="72">
          <cell r="AI72"/>
          <cell r="AJ72"/>
          <cell r="AK72"/>
        </row>
        <row r="73">
          <cell r="AI73"/>
          <cell r="AJ73"/>
          <cell r="AK73"/>
        </row>
        <row r="74">
          <cell r="AI74"/>
          <cell r="AJ74"/>
          <cell r="AK74"/>
        </row>
        <row r="75">
          <cell r="AI75"/>
          <cell r="AJ75"/>
          <cell r="AK75"/>
        </row>
        <row r="76">
          <cell r="AI76"/>
          <cell r="AJ76"/>
          <cell r="AK76"/>
        </row>
        <row r="77">
          <cell r="AI77"/>
          <cell r="AJ77"/>
          <cell r="AK77"/>
        </row>
        <row r="78">
          <cell r="AI78"/>
          <cell r="AJ78"/>
          <cell r="AK78"/>
        </row>
        <row r="79">
          <cell r="AI79"/>
          <cell r="AJ79"/>
          <cell r="AK79"/>
        </row>
        <row r="80">
          <cell r="AI80"/>
          <cell r="AJ80"/>
          <cell r="AK80"/>
        </row>
        <row r="81">
          <cell r="AI81"/>
          <cell r="AJ81"/>
          <cell r="AK81"/>
        </row>
        <row r="82">
          <cell r="AI82"/>
          <cell r="AJ82"/>
          <cell r="AK82"/>
        </row>
        <row r="83">
          <cell r="AI83"/>
          <cell r="AJ83"/>
          <cell r="AK83"/>
        </row>
        <row r="84">
          <cell r="AI84"/>
          <cell r="AJ84"/>
          <cell r="AK84"/>
        </row>
        <row r="85">
          <cell r="AI85"/>
          <cell r="AJ85"/>
          <cell r="AK85"/>
        </row>
        <row r="86">
          <cell r="AI86"/>
          <cell r="AJ86"/>
          <cell r="AK86"/>
        </row>
        <row r="87">
          <cell r="AI87"/>
          <cell r="AJ87"/>
          <cell r="AK87"/>
        </row>
        <row r="88">
          <cell r="AI88"/>
          <cell r="AJ88"/>
          <cell r="AK88"/>
        </row>
        <row r="89">
          <cell r="AI89"/>
          <cell r="AJ89"/>
          <cell r="AK89"/>
        </row>
        <row r="90">
          <cell r="AI90"/>
          <cell r="AJ90"/>
          <cell r="AK90"/>
        </row>
        <row r="91">
          <cell r="AI91"/>
          <cell r="AJ91"/>
          <cell r="AK91"/>
        </row>
        <row r="92">
          <cell r="AI92"/>
          <cell r="AJ92"/>
          <cell r="AK92"/>
        </row>
        <row r="93">
          <cell r="AI93"/>
          <cell r="AJ93"/>
          <cell r="AK93"/>
        </row>
        <row r="94">
          <cell r="AI94"/>
          <cell r="AJ94"/>
          <cell r="AK94"/>
        </row>
        <row r="95">
          <cell r="AI95"/>
          <cell r="AJ95"/>
          <cell r="AK95"/>
        </row>
        <row r="96">
          <cell r="AI96"/>
          <cell r="AJ96"/>
          <cell r="AK96"/>
        </row>
        <row r="97">
          <cell r="AI97"/>
          <cell r="AJ97"/>
          <cell r="AK97"/>
        </row>
        <row r="98">
          <cell r="AI98"/>
          <cell r="AJ98"/>
          <cell r="AK98"/>
        </row>
        <row r="99">
          <cell r="AI99"/>
          <cell r="AJ99"/>
          <cell r="AK99"/>
        </row>
        <row r="100">
          <cell r="AI100"/>
          <cell r="AJ100"/>
          <cell r="AK100"/>
        </row>
        <row r="101">
          <cell r="AI101"/>
          <cell r="AJ101"/>
          <cell r="AK101"/>
        </row>
        <row r="102">
          <cell r="AI102"/>
          <cell r="AJ102"/>
          <cell r="AK102"/>
        </row>
        <row r="103">
          <cell r="AI103"/>
          <cell r="AJ103"/>
          <cell r="AK103"/>
        </row>
        <row r="104">
          <cell r="AI104"/>
          <cell r="AJ104"/>
          <cell r="AK104"/>
        </row>
        <row r="105">
          <cell r="AI105"/>
          <cell r="AJ105"/>
          <cell r="AK105"/>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end-2017</v>
          </cell>
          <cell r="AJ1" t="str">
            <v>PERIODE : Fin 2017</v>
          </cell>
          <cell r="AK1" t="str">
            <v>ПЕРИОД : Конец 2017</v>
          </cell>
        </row>
        <row r="2">
          <cell r="AI2" t="str">
            <v>TABLE 5c - LNG EXPORT TERMINALS</v>
          </cell>
          <cell r="AJ2" t="str">
            <v>TABLEAU 5c - LNG TERMINAUX D'EXPORTATION</v>
          </cell>
          <cell r="AK2" t="str">
            <v>TABLE 5c - LNG EXPORT TERMINALS (waiting for Russian translation)</v>
          </cell>
        </row>
        <row r="3">
          <cell r="AI3"/>
          <cell r="AJ3"/>
          <cell r="AK3"/>
        </row>
        <row r="4">
          <cell r="AI4"/>
          <cell r="AJ4"/>
          <cell r="AK4"/>
        </row>
        <row r="5">
          <cell r="AI5"/>
          <cell r="AJ5"/>
          <cell r="AK5"/>
        </row>
        <row r="6">
          <cell r="AI6"/>
          <cell r="AJ6"/>
          <cell r="AK6"/>
        </row>
        <row r="7">
          <cell r="AI7"/>
          <cell r="AJ7"/>
          <cell r="AK7"/>
        </row>
        <row r="8">
          <cell r="AI8"/>
          <cell r="AJ8"/>
          <cell r="AK8"/>
        </row>
        <row r="9">
          <cell r="AI9"/>
          <cell r="AJ9"/>
          <cell r="AK9"/>
        </row>
        <row r="10">
          <cell r="AI10"/>
          <cell r="AJ10"/>
          <cell r="AK10"/>
        </row>
        <row r="11">
          <cell r="AI11"/>
          <cell r="AJ11"/>
          <cell r="AK11"/>
        </row>
        <row r="12">
          <cell r="AI12"/>
          <cell r="AJ12"/>
          <cell r="AK12"/>
        </row>
        <row r="13">
          <cell r="AI13"/>
          <cell r="AJ13"/>
          <cell r="AK13"/>
        </row>
        <row r="14">
          <cell r="AI14"/>
          <cell r="AJ14"/>
          <cell r="AK14"/>
        </row>
        <row r="15">
          <cell r="AI15"/>
          <cell r="AJ15"/>
          <cell r="AK15"/>
        </row>
        <row r="16">
          <cell r="AI16"/>
          <cell r="AJ16"/>
          <cell r="AK16"/>
        </row>
        <row r="17">
          <cell r="AI17"/>
          <cell r="AJ17"/>
          <cell r="AK17"/>
        </row>
        <row r="18">
          <cell r="AI18"/>
          <cell r="AJ18"/>
          <cell r="AK18"/>
        </row>
        <row r="19">
          <cell r="AI19"/>
          <cell r="AJ19"/>
          <cell r="AK19"/>
        </row>
        <row r="20">
          <cell r="AI20"/>
          <cell r="AJ20"/>
          <cell r="AK20"/>
        </row>
        <row r="21">
          <cell r="AI21"/>
          <cell r="AJ21"/>
          <cell r="AK21"/>
        </row>
        <row r="22">
          <cell r="AI22"/>
          <cell r="AJ22"/>
          <cell r="AK22"/>
        </row>
        <row r="23">
          <cell r="AI23"/>
          <cell r="AJ23"/>
          <cell r="AK23"/>
        </row>
        <row r="24">
          <cell r="AI24"/>
          <cell r="AJ24"/>
          <cell r="AK24"/>
        </row>
        <row r="25">
          <cell r="AI25"/>
          <cell r="AJ25"/>
          <cell r="AK25"/>
        </row>
        <row r="26">
          <cell r="AI26"/>
          <cell r="AJ26"/>
          <cell r="AK26"/>
        </row>
        <row r="27">
          <cell r="AI27"/>
          <cell r="AJ27"/>
          <cell r="AK27"/>
        </row>
        <row r="28">
          <cell r="AI28"/>
          <cell r="AJ28"/>
          <cell r="AK28"/>
        </row>
        <row r="29">
          <cell r="AI29"/>
          <cell r="AJ29"/>
          <cell r="AK29"/>
        </row>
        <row r="30">
          <cell r="AI30"/>
          <cell r="AJ30"/>
          <cell r="AK30"/>
        </row>
        <row r="31">
          <cell r="AI31"/>
          <cell r="AJ31"/>
          <cell r="AK31"/>
        </row>
        <row r="32">
          <cell r="AI32"/>
          <cell r="AJ32"/>
          <cell r="AK32"/>
        </row>
        <row r="33">
          <cell r="AI33"/>
          <cell r="AJ33"/>
          <cell r="AK33"/>
        </row>
        <row r="34">
          <cell r="AI34"/>
          <cell r="AJ34"/>
          <cell r="AK34"/>
        </row>
        <row r="35">
          <cell r="AI35"/>
          <cell r="AJ35"/>
          <cell r="AK35"/>
        </row>
        <row r="36">
          <cell r="AI36"/>
          <cell r="AJ36"/>
          <cell r="AK36"/>
        </row>
        <row r="37">
          <cell r="AI37"/>
          <cell r="AJ37"/>
          <cell r="AK37"/>
        </row>
        <row r="38">
          <cell r="AI38"/>
          <cell r="AJ38"/>
          <cell r="AK38"/>
        </row>
        <row r="39">
          <cell r="AI39"/>
          <cell r="AJ39"/>
          <cell r="AK39"/>
        </row>
        <row r="40">
          <cell r="AI40"/>
          <cell r="AJ40"/>
          <cell r="AK40"/>
        </row>
        <row r="41">
          <cell r="AI41"/>
          <cell r="AJ41"/>
          <cell r="AK41"/>
        </row>
        <row r="42">
          <cell r="AI42"/>
          <cell r="AJ42"/>
          <cell r="AK42"/>
        </row>
        <row r="43">
          <cell r="AI43"/>
          <cell r="AJ43"/>
          <cell r="AK43"/>
        </row>
        <row r="44">
          <cell r="AI44"/>
          <cell r="AJ44"/>
          <cell r="AK44"/>
        </row>
        <row r="45">
          <cell r="AI45"/>
          <cell r="AJ45"/>
          <cell r="AK45"/>
        </row>
        <row r="46">
          <cell r="AI46"/>
          <cell r="AJ46"/>
          <cell r="AK46"/>
        </row>
        <row r="47">
          <cell r="AI47"/>
          <cell r="AJ47"/>
          <cell r="AK47"/>
        </row>
        <row r="48">
          <cell r="AI48"/>
          <cell r="AJ48"/>
          <cell r="AK48"/>
        </row>
        <row r="49">
          <cell r="AI49"/>
          <cell r="AJ49"/>
          <cell r="AK49"/>
        </row>
        <row r="50">
          <cell r="AI50"/>
          <cell r="AJ50"/>
          <cell r="AK50"/>
        </row>
        <row r="51">
          <cell r="AI51"/>
          <cell r="AJ51"/>
          <cell r="AK51"/>
        </row>
        <row r="52">
          <cell r="AI52"/>
          <cell r="AJ52"/>
          <cell r="AK52"/>
        </row>
        <row r="53">
          <cell r="AI53"/>
          <cell r="AJ53"/>
          <cell r="AK53"/>
        </row>
        <row r="54">
          <cell r="AI54"/>
          <cell r="AJ54"/>
          <cell r="AK54"/>
        </row>
        <row r="55">
          <cell r="AI55"/>
          <cell r="AJ55"/>
          <cell r="AK55"/>
        </row>
        <row r="56">
          <cell r="AI56"/>
          <cell r="AJ56"/>
          <cell r="AK56"/>
        </row>
        <row r="57">
          <cell r="AI57"/>
          <cell r="AJ57"/>
          <cell r="AK57"/>
        </row>
        <row r="58">
          <cell r="AI58"/>
          <cell r="AJ58"/>
          <cell r="AK58"/>
        </row>
        <row r="59">
          <cell r="AI59"/>
          <cell r="AJ59"/>
          <cell r="AK59"/>
        </row>
        <row r="60">
          <cell r="AI60"/>
          <cell r="AJ60"/>
          <cell r="AK60"/>
        </row>
        <row r="61">
          <cell r="AI61"/>
          <cell r="AJ61"/>
          <cell r="AK61"/>
        </row>
        <row r="62">
          <cell r="AI62"/>
          <cell r="AJ62"/>
          <cell r="AK62"/>
        </row>
        <row r="63">
          <cell r="AI63"/>
          <cell r="AJ63"/>
          <cell r="AK63"/>
        </row>
        <row r="64">
          <cell r="AI64"/>
          <cell r="AJ64"/>
          <cell r="AK64"/>
        </row>
        <row r="65">
          <cell r="AI65"/>
          <cell r="AJ65"/>
          <cell r="AK65"/>
        </row>
        <row r="66">
          <cell r="AI66"/>
          <cell r="AJ66"/>
          <cell r="AK66"/>
        </row>
        <row r="67">
          <cell r="AI67"/>
          <cell r="AJ67"/>
          <cell r="AK67"/>
        </row>
        <row r="68">
          <cell r="AI68"/>
          <cell r="AJ68"/>
          <cell r="AK68"/>
        </row>
        <row r="69">
          <cell r="AI69"/>
          <cell r="AJ69"/>
          <cell r="AK69"/>
        </row>
        <row r="70">
          <cell r="AI70"/>
          <cell r="AJ70"/>
          <cell r="AK70"/>
        </row>
        <row r="71">
          <cell r="AI71"/>
          <cell r="AJ71"/>
          <cell r="AK71"/>
        </row>
        <row r="72">
          <cell r="AI72"/>
          <cell r="AJ72"/>
          <cell r="AK72"/>
        </row>
        <row r="73">
          <cell r="AI73"/>
          <cell r="AJ73"/>
          <cell r="AK73"/>
        </row>
        <row r="74">
          <cell r="AI74"/>
          <cell r="AJ74"/>
          <cell r="AK74"/>
        </row>
        <row r="75">
          <cell r="AI75"/>
          <cell r="AJ75"/>
          <cell r="AK75"/>
        </row>
        <row r="76">
          <cell r="AI76"/>
          <cell r="AJ76"/>
          <cell r="AK76"/>
        </row>
        <row r="77">
          <cell r="AI77"/>
          <cell r="AJ77"/>
          <cell r="AK77"/>
        </row>
        <row r="78">
          <cell r="AI78"/>
          <cell r="AJ78"/>
          <cell r="AK78"/>
        </row>
        <row r="79">
          <cell r="AI79"/>
          <cell r="AJ79"/>
          <cell r="AK79"/>
        </row>
        <row r="80">
          <cell r="AI80"/>
          <cell r="AJ80"/>
          <cell r="AK80"/>
        </row>
        <row r="81">
          <cell r="AI81"/>
          <cell r="AJ81"/>
          <cell r="AK81"/>
        </row>
        <row r="82">
          <cell r="AI82"/>
          <cell r="AJ82"/>
          <cell r="AK82"/>
        </row>
        <row r="83">
          <cell r="AI83"/>
          <cell r="AJ83"/>
          <cell r="AK83"/>
        </row>
        <row r="84">
          <cell r="AI84"/>
          <cell r="AJ84"/>
          <cell r="AK84"/>
        </row>
        <row r="85">
          <cell r="AI85"/>
          <cell r="AJ85"/>
          <cell r="AK85"/>
        </row>
        <row r="86">
          <cell r="AI86"/>
          <cell r="AJ86"/>
          <cell r="AK86"/>
        </row>
        <row r="87">
          <cell r="AI87"/>
          <cell r="AJ87"/>
          <cell r="AK87"/>
        </row>
        <row r="88">
          <cell r="AI88"/>
          <cell r="AJ88"/>
          <cell r="AK88"/>
        </row>
        <row r="89">
          <cell r="AI89"/>
          <cell r="AJ89"/>
          <cell r="AK89"/>
        </row>
        <row r="90">
          <cell r="AI90"/>
          <cell r="AJ90"/>
          <cell r="AK90"/>
        </row>
        <row r="91">
          <cell r="AI91"/>
          <cell r="AJ91"/>
          <cell r="AK91"/>
        </row>
        <row r="92">
          <cell r="AI92"/>
          <cell r="AJ92"/>
          <cell r="AK92"/>
        </row>
        <row r="93">
          <cell r="AI93"/>
          <cell r="AJ93"/>
          <cell r="AK93"/>
        </row>
        <row r="94">
          <cell r="AI94"/>
          <cell r="AJ94"/>
          <cell r="AK94"/>
        </row>
        <row r="95">
          <cell r="AI95"/>
          <cell r="AJ95"/>
          <cell r="AK95"/>
        </row>
        <row r="96">
          <cell r="AI96"/>
          <cell r="AJ96"/>
          <cell r="AK96"/>
        </row>
        <row r="97">
          <cell r="AI97"/>
          <cell r="AJ97"/>
          <cell r="AK97"/>
        </row>
        <row r="98">
          <cell r="AI98"/>
          <cell r="AJ98"/>
          <cell r="AK98"/>
        </row>
        <row r="99">
          <cell r="AI99"/>
          <cell r="AJ99"/>
          <cell r="AK99"/>
        </row>
        <row r="100">
          <cell r="AI100"/>
          <cell r="AJ100"/>
          <cell r="AK100"/>
        </row>
        <row r="101">
          <cell r="AI101"/>
          <cell r="AJ101"/>
          <cell r="AK101"/>
        </row>
        <row r="102">
          <cell r="AI102"/>
          <cell r="AJ102"/>
          <cell r="AK102"/>
        </row>
        <row r="103">
          <cell r="AI103"/>
          <cell r="AJ103"/>
          <cell r="AK103"/>
        </row>
        <row r="104">
          <cell r="AI104"/>
          <cell r="AJ104"/>
          <cell r="AK104"/>
        </row>
        <row r="105">
          <cell r="AI105"/>
          <cell r="AJ105"/>
          <cell r="AK105"/>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end-2017</v>
          </cell>
          <cell r="AI1" t="str">
            <v>PERIODE : Fin 2017</v>
          </cell>
          <cell r="AJ1" t="str">
            <v>ПЕРИОД : Конец 2017</v>
          </cell>
        </row>
        <row r="2">
          <cell r="AH2" t="str">
            <v>TABLE 6 - NETWORK CAPACITY</v>
          </cell>
          <cell r="AI2" t="str">
            <v>TABLEAU 6 - CAPACITE DU RESEAU</v>
          </cell>
          <cell r="AJ2" t="str">
            <v>Таблица 6 - Пропускная способность сети</v>
          </cell>
        </row>
        <row r="3">
          <cell r="AH3"/>
          <cell r="AI3"/>
          <cell r="AJ3"/>
        </row>
        <row r="4">
          <cell r="AH4"/>
          <cell r="AI4"/>
          <cell r="AJ4"/>
        </row>
        <row r="5">
          <cell r="AH5"/>
          <cell r="AI5"/>
          <cell r="AJ5"/>
        </row>
        <row r="6">
          <cell r="AH6"/>
          <cell r="AI6"/>
          <cell r="AJ6"/>
        </row>
        <row r="7">
          <cell r="AH7"/>
          <cell r="AI7"/>
          <cell r="AJ7"/>
        </row>
        <row r="8">
          <cell r="AH8"/>
          <cell r="AI8"/>
          <cell r="AJ8"/>
        </row>
        <row r="9">
          <cell r="AH9"/>
          <cell r="AI9"/>
          <cell r="AJ9"/>
        </row>
        <row r="10">
          <cell r="AH10"/>
          <cell r="AI10"/>
          <cell r="AJ10"/>
        </row>
        <row r="11">
          <cell r="AH11"/>
          <cell r="AI11"/>
          <cell r="AJ11"/>
        </row>
        <row r="12">
          <cell r="AH12"/>
          <cell r="AI12"/>
          <cell r="AJ12"/>
        </row>
        <row r="13">
          <cell r="AH13"/>
          <cell r="AI13"/>
          <cell r="AJ13"/>
        </row>
        <row r="14">
          <cell r="AH14"/>
          <cell r="AI14"/>
          <cell r="AJ14"/>
        </row>
        <row r="15">
          <cell r="AH15"/>
          <cell r="AI15"/>
          <cell r="AJ15"/>
        </row>
        <row r="16">
          <cell r="AH16"/>
          <cell r="AI16"/>
          <cell r="AJ16"/>
        </row>
        <row r="17">
          <cell r="AH17"/>
          <cell r="AI17"/>
          <cell r="AJ17"/>
        </row>
        <row r="18">
          <cell r="AH18"/>
          <cell r="AI18"/>
          <cell r="AJ18"/>
        </row>
        <row r="19">
          <cell r="AH19"/>
          <cell r="AI19"/>
          <cell r="AJ19"/>
        </row>
        <row r="20">
          <cell r="AH20"/>
          <cell r="AI20"/>
          <cell r="AJ20"/>
        </row>
        <row r="21">
          <cell r="AH21"/>
          <cell r="AI21"/>
          <cell r="AJ21"/>
        </row>
        <row r="22">
          <cell r="AH22"/>
          <cell r="AI22"/>
          <cell r="AJ22"/>
        </row>
        <row r="23">
          <cell r="AH23"/>
          <cell r="AI23"/>
          <cell r="AJ23"/>
        </row>
        <row r="24">
          <cell r="AH24"/>
          <cell r="AI24"/>
          <cell r="AJ24"/>
        </row>
        <row r="25">
          <cell r="AH25"/>
          <cell r="AI25"/>
          <cell r="AJ25"/>
        </row>
        <row r="26">
          <cell r="AH26"/>
          <cell r="AI26"/>
          <cell r="AJ26"/>
        </row>
        <row r="27">
          <cell r="AH27"/>
          <cell r="AI27"/>
          <cell r="AJ27"/>
        </row>
        <row r="28">
          <cell r="AH28"/>
          <cell r="AI28"/>
          <cell r="AJ28"/>
        </row>
        <row r="29">
          <cell r="AH29"/>
          <cell r="AI29"/>
          <cell r="AJ29"/>
        </row>
        <row r="30">
          <cell r="AH30"/>
          <cell r="AI30"/>
          <cell r="AJ30"/>
        </row>
        <row r="31">
          <cell r="AH31"/>
          <cell r="AI31"/>
          <cell r="AJ31"/>
        </row>
        <row r="32">
          <cell r="AH32"/>
          <cell r="AI32"/>
          <cell r="AJ32"/>
        </row>
        <row r="33">
          <cell r="AH33"/>
          <cell r="AI33"/>
          <cell r="AJ33"/>
        </row>
        <row r="34">
          <cell r="AH34"/>
          <cell r="AI34"/>
          <cell r="AJ34"/>
        </row>
        <row r="35">
          <cell r="AH35"/>
          <cell r="AI35"/>
          <cell r="AJ35"/>
        </row>
        <row r="36">
          <cell r="AH36"/>
          <cell r="AI36"/>
          <cell r="AJ36"/>
        </row>
        <row r="37">
          <cell r="AH37"/>
          <cell r="AI37"/>
          <cell r="AJ37"/>
        </row>
        <row r="38">
          <cell r="AH38"/>
          <cell r="AI38"/>
          <cell r="AJ38"/>
        </row>
        <row r="39">
          <cell r="AH39"/>
          <cell r="AI39"/>
          <cell r="AJ39"/>
        </row>
        <row r="40">
          <cell r="AH40"/>
          <cell r="AI40"/>
          <cell r="AJ40"/>
        </row>
        <row r="41">
          <cell r="AH41"/>
          <cell r="AI41"/>
          <cell r="AJ41"/>
        </row>
        <row r="42">
          <cell r="AH42"/>
          <cell r="AI42"/>
          <cell r="AJ42"/>
        </row>
        <row r="43">
          <cell r="AH43"/>
          <cell r="AI43"/>
          <cell r="AJ43"/>
        </row>
        <row r="44">
          <cell r="AH44"/>
          <cell r="AI44"/>
          <cell r="AJ44"/>
        </row>
        <row r="45">
          <cell r="AH45"/>
          <cell r="AI45"/>
          <cell r="AJ45"/>
        </row>
        <row r="46">
          <cell r="AH46"/>
          <cell r="AI46"/>
          <cell r="AJ46"/>
        </row>
        <row r="47">
          <cell r="AH47"/>
          <cell r="AI47"/>
          <cell r="AJ47"/>
        </row>
        <row r="48">
          <cell r="AH48"/>
          <cell r="AI48"/>
          <cell r="AJ48"/>
        </row>
        <row r="49">
          <cell r="AH49"/>
          <cell r="AI49"/>
          <cell r="AJ49"/>
        </row>
        <row r="50">
          <cell r="AH50"/>
          <cell r="AI50"/>
          <cell r="AJ50"/>
        </row>
        <row r="51">
          <cell r="AH51"/>
          <cell r="AI51"/>
          <cell r="AJ51"/>
        </row>
        <row r="52">
          <cell r="AH52"/>
          <cell r="AI52"/>
          <cell r="AJ52"/>
        </row>
        <row r="53">
          <cell r="AH53"/>
          <cell r="AI53"/>
          <cell r="AJ53"/>
        </row>
        <row r="54">
          <cell r="AH54"/>
          <cell r="AI54"/>
          <cell r="AJ54"/>
        </row>
        <row r="55">
          <cell r="AH55"/>
          <cell r="AI55"/>
          <cell r="AJ55"/>
        </row>
        <row r="56">
          <cell r="AH56"/>
          <cell r="AI56"/>
          <cell r="AJ56"/>
        </row>
        <row r="57">
          <cell r="AH57"/>
          <cell r="AI57"/>
          <cell r="AJ57"/>
        </row>
        <row r="58">
          <cell r="AH58"/>
          <cell r="AI58"/>
          <cell r="AJ58"/>
        </row>
        <row r="59">
          <cell r="AH59"/>
          <cell r="AI59"/>
          <cell r="AJ59"/>
        </row>
        <row r="60">
          <cell r="AH60"/>
          <cell r="AI60"/>
          <cell r="AJ60"/>
        </row>
        <row r="61">
          <cell r="AH61"/>
          <cell r="AI61"/>
          <cell r="AJ61"/>
        </row>
        <row r="62">
          <cell r="AH62"/>
          <cell r="AI62"/>
          <cell r="AJ62"/>
        </row>
        <row r="63">
          <cell r="AH63"/>
          <cell r="AI63"/>
          <cell r="AJ63"/>
        </row>
        <row r="64">
          <cell r="AH64"/>
          <cell r="AI64"/>
          <cell r="AJ64"/>
        </row>
        <row r="65">
          <cell r="AH65"/>
          <cell r="AI65"/>
          <cell r="AJ65"/>
        </row>
        <row r="66">
          <cell r="AH66"/>
          <cell r="AI66"/>
          <cell r="AJ66"/>
        </row>
        <row r="67">
          <cell r="AH67"/>
          <cell r="AI67"/>
          <cell r="AJ67"/>
        </row>
        <row r="68">
          <cell r="AH68"/>
          <cell r="AI68"/>
          <cell r="AJ68"/>
        </row>
        <row r="69">
          <cell r="AH69"/>
          <cell r="AI69"/>
          <cell r="AJ69"/>
        </row>
        <row r="70">
          <cell r="AH70"/>
          <cell r="AI70"/>
          <cell r="AJ70"/>
        </row>
        <row r="71">
          <cell r="AH71"/>
          <cell r="AI71"/>
          <cell r="AJ71"/>
        </row>
        <row r="72">
          <cell r="AH72"/>
          <cell r="AI72"/>
          <cell r="AJ72"/>
        </row>
        <row r="73">
          <cell r="AH73"/>
          <cell r="AI73"/>
          <cell r="AJ73"/>
        </row>
        <row r="74">
          <cell r="AH74"/>
          <cell r="AI74"/>
          <cell r="AJ74"/>
        </row>
        <row r="75">
          <cell r="AH75"/>
          <cell r="AI75"/>
          <cell r="AJ75"/>
        </row>
        <row r="76">
          <cell r="AH76"/>
          <cell r="AI76"/>
          <cell r="AJ76"/>
        </row>
        <row r="77">
          <cell r="AH77"/>
          <cell r="AI77"/>
          <cell r="AJ77"/>
        </row>
        <row r="78">
          <cell r="AH78"/>
          <cell r="AI78"/>
          <cell r="AJ78"/>
        </row>
        <row r="79">
          <cell r="AH79"/>
          <cell r="AI79"/>
          <cell r="AJ79"/>
        </row>
        <row r="80">
          <cell r="AH80"/>
          <cell r="AI80"/>
          <cell r="AJ80"/>
        </row>
        <row r="81">
          <cell r="AH81"/>
          <cell r="AI81"/>
          <cell r="AJ81"/>
        </row>
        <row r="82">
          <cell r="AH82"/>
          <cell r="AI82"/>
          <cell r="AJ82"/>
        </row>
        <row r="83">
          <cell r="AH83"/>
          <cell r="AI83"/>
          <cell r="AJ83"/>
        </row>
        <row r="84">
          <cell r="AH84"/>
          <cell r="AI84"/>
          <cell r="AJ84"/>
        </row>
        <row r="85">
          <cell r="AH85"/>
          <cell r="AI85"/>
          <cell r="AJ85"/>
        </row>
        <row r="86">
          <cell r="AH86"/>
          <cell r="AI86"/>
          <cell r="AJ86"/>
        </row>
        <row r="87">
          <cell r="AH87"/>
          <cell r="AI87"/>
          <cell r="AJ87"/>
        </row>
        <row r="88">
          <cell r="AH88"/>
          <cell r="AI88"/>
          <cell r="AJ88"/>
        </row>
        <row r="89">
          <cell r="AH89"/>
          <cell r="AI89"/>
          <cell r="AJ89"/>
        </row>
        <row r="90">
          <cell r="AH90"/>
          <cell r="AI90"/>
          <cell r="AJ90"/>
        </row>
        <row r="91">
          <cell r="AH91"/>
          <cell r="AI91"/>
          <cell r="AJ91"/>
        </row>
        <row r="92">
          <cell r="AH92"/>
          <cell r="AI92"/>
          <cell r="AJ92"/>
        </row>
        <row r="93">
          <cell r="AH93"/>
          <cell r="AI93"/>
          <cell r="AJ93"/>
        </row>
        <row r="94">
          <cell r="AH94"/>
          <cell r="AI94"/>
          <cell r="AJ94"/>
        </row>
        <row r="95">
          <cell r="AH95"/>
          <cell r="AI95"/>
          <cell r="AJ95"/>
        </row>
        <row r="96">
          <cell r="AH96"/>
          <cell r="AI96"/>
          <cell r="AJ96"/>
        </row>
        <row r="97">
          <cell r="AH97"/>
          <cell r="AI97"/>
          <cell r="AJ97"/>
        </row>
        <row r="98">
          <cell r="AH98"/>
          <cell r="AI98"/>
          <cell r="AJ98"/>
        </row>
        <row r="99">
          <cell r="AH99"/>
          <cell r="AI99"/>
          <cell r="AJ99"/>
        </row>
        <row r="100">
          <cell r="AH100"/>
          <cell r="AI100"/>
          <cell r="AJ100"/>
        </row>
        <row r="101">
          <cell r="AH101"/>
          <cell r="AI101"/>
          <cell r="AJ101"/>
        </row>
        <row r="102">
          <cell r="AH102"/>
          <cell r="AI102"/>
          <cell r="AJ102"/>
        </row>
        <row r="103">
          <cell r="AH103"/>
          <cell r="AI103"/>
          <cell r="AJ103"/>
        </row>
        <row r="104">
          <cell r="AH104"/>
          <cell r="AI104"/>
          <cell r="AJ104"/>
        </row>
        <row r="105">
          <cell r="AH105"/>
          <cell r="AI105"/>
          <cell r="AJ105"/>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2">
          <cell r="DJ2"/>
          <cell r="DK2"/>
          <cell r="DL2"/>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0">
          <cell r="DJ30"/>
          <cell r="DK30"/>
          <cell r="DL30"/>
        </row>
        <row r="31">
          <cell r="DJ31"/>
          <cell r="DK31"/>
          <cell r="DL31"/>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59">
          <cell r="DJ59"/>
          <cell r="DK59"/>
          <cell r="DL59"/>
        </row>
        <row r="60">
          <cell r="DJ60"/>
          <cell r="DK60"/>
          <cell r="DL60"/>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88">
          <cell r="DJ88"/>
          <cell r="DK88"/>
          <cell r="DL88"/>
        </row>
        <row r="89">
          <cell r="DJ89"/>
          <cell r="DK89"/>
          <cell r="DL89"/>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7">
          <cell r="DJ117"/>
          <cell r="DK117"/>
          <cell r="DL117"/>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2">
          <cell r="DF2"/>
          <cell r="DG2"/>
          <cell r="DH2"/>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2">
          <cell r="DJ2"/>
          <cell r="DK2"/>
          <cell r="DL2"/>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2">
          <cell r="DJ2"/>
          <cell r="DK2"/>
          <cell r="DL2"/>
        </row>
        <row r="3">
          <cell r="DJ3" t="str">
            <v>Million cubic meters</v>
          </cell>
          <cell r="DK3" t="str">
            <v>Millions mètres cube</v>
          </cell>
          <cell r="DL3" t="str">
            <v>Миллионы кубических метров</v>
          </cell>
        </row>
        <row r="4">
          <cell r="DJ4"/>
          <cell r="DK4"/>
          <cell r="DL4"/>
        </row>
        <row r="5">
          <cell r="DJ5"/>
          <cell r="DK5"/>
          <cell r="DL5"/>
        </row>
        <row r="6">
          <cell r="DJ6"/>
          <cell r="DK6"/>
          <cell r="DL6"/>
        </row>
        <row r="7">
          <cell r="DJ7"/>
          <cell r="DK7"/>
          <cell r="DL7"/>
        </row>
        <row r="8">
          <cell r="DJ8"/>
          <cell r="DK8"/>
          <cell r="DL8"/>
        </row>
        <row r="9">
          <cell r="DJ9"/>
          <cell r="DK9"/>
          <cell r="DL9"/>
        </row>
        <row r="10">
          <cell r="DJ10"/>
          <cell r="DK10"/>
          <cell r="DL10"/>
        </row>
        <row r="11">
          <cell r="DJ11"/>
          <cell r="DK11"/>
          <cell r="DL11"/>
        </row>
        <row r="12">
          <cell r="DJ12"/>
          <cell r="DK12"/>
          <cell r="DL12"/>
        </row>
        <row r="13">
          <cell r="DJ13"/>
          <cell r="DK13"/>
          <cell r="DL13"/>
        </row>
        <row r="14">
          <cell r="DJ14"/>
          <cell r="DK14"/>
          <cell r="DL14"/>
        </row>
        <row r="15">
          <cell r="DJ15"/>
          <cell r="DK15"/>
          <cell r="DL15"/>
        </row>
        <row r="16">
          <cell r="DJ16"/>
          <cell r="DK16"/>
          <cell r="DL16"/>
        </row>
        <row r="17">
          <cell r="DJ17"/>
          <cell r="DK17"/>
          <cell r="DL17"/>
        </row>
        <row r="18">
          <cell r="DJ18"/>
          <cell r="DK18"/>
          <cell r="DL18"/>
        </row>
        <row r="19">
          <cell r="DJ19"/>
          <cell r="DK19"/>
          <cell r="DL19"/>
        </row>
        <row r="20">
          <cell r="DJ20"/>
          <cell r="DK20"/>
          <cell r="DL20"/>
        </row>
        <row r="21">
          <cell r="DJ21"/>
          <cell r="DK21"/>
          <cell r="DL21"/>
        </row>
        <row r="22">
          <cell r="DJ22"/>
          <cell r="DK22"/>
          <cell r="DL22"/>
        </row>
        <row r="23">
          <cell r="DJ23"/>
          <cell r="DK23"/>
          <cell r="DL23"/>
        </row>
        <row r="24">
          <cell r="DJ24"/>
          <cell r="DK24"/>
          <cell r="DL24"/>
        </row>
        <row r="25">
          <cell r="DJ25"/>
          <cell r="DK25"/>
          <cell r="DL25"/>
        </row>
        <row r="26">
          <cell r="DJ26"/>
          <cell r="DK26"/>
          <cell r="DL26"/>
        </row>
        <row r="27">
          <cell r="DJ27"/>
          <cell r="DK27"/>
          <cell r="DL27"/>
        </row>
        <row r="28">
          <cell r="DJ28"/>
          <cell r="DK28"/>
          <cell r="DL28"/>
        </row>
        <row r="29">
          <cell r="DJ29"/>
          <cell r="DK29"/>
          <cell r="DL29"/>
        </row>
        <row r="30">
          <cell r="DJ30"/>
          <cell r="DK30"/>
          <cell r="DL30"/>
        </row>
        <row r="31">
          <cell r="DJ31"/>
          <cell r="DK31"/>
          <cell r="DL31"/>
        </row>
        <row r="32">
          <cell r="DJ32"/>
          <cell r="DK32"/>
          <cell r="DL32"/>
        </row>
        <row r="33">
          <cell r="DJ33"/>
          <cell r="DK33"/>
          <cell r="DL33"/>
        </row>
        <row r="34">
          <cell r="DJ34"/>
          <cell r="DK34"/>
          <cell r="DL34"/>
        </row>
        <row r="35">
          <cell r="DJ35"/>
          <cell r="DK35"/>
          <cell r="DL35"/>
        </row>
        <row r="36">
          <cell r="DJ36"/>
          <cell r="DK36"/>
          <cell r="DL36"/>
        </row>
        <row r="37">
          <cell r="DJ37"/>
          <cell r="DK37"/>
          <cell r="DL37"/>
        </row>
        <row r="38">
          <cell r="DJ38"/>
          <cell r="DK38"/>
          <cell r="DL38"/>
        </row>
        <row r="39">
          <cell r="DJ39"/>
          <cell r="DK39"/>
          <cell r="DL39"/>
        </row>
        <row r="40">
          <cell r="DJ40"/>
          <cell r="DK40"/>
          <cell r="DL40"/>
        </row>
        <row r="41">
          <cell r="DJ41"/>
          <cell r="DK41"/>
          <cell r="DL41"/>
        </row>
        <row r="42">
          <cell r="DJ42"/>
          <cell r="DK42"/>
          <cell r="DL42"/>
        </row>
        <row r="43">
          <cell r="DJ43"/>
          <cell r="DK43"/>
          <cell r="DL43"/>
        </row>
        <row r="44">
          <cell r="DJ44"/>
          <cell r="DK44"/>
          <cell r="DL44"/>
        </row>
        <row r="45">
          <cell r="DJ45"/>
          <cell r="DK45"/>
          <cell r="DL45"/>
        </row>
        <row r="46">
          <cell r="DJ46"/>
          <cell r="DK46"/>
          <cell r="DL46"/>
        </row>
        <row r="47">
          <cell r="DJ47"/>
          <cell r="DK47"/>
          <cell r="DL47"/>
        </row>
        <row r="48">
          <cell r="DJ48"/>
          <cell r="DK48"/>
          <cell r="DL48"/>
        </row>
        <row r="49">
          <cell r="DJ49"/>
          <cell r="DK49"/>
          <cell r="DL49"/>
        </row>
        <row r="50">
          <cell r="DJ50"/>
          <cell r="DK50"/>
          <cell r="DL50"/>
        </row>
        <row r="51">
          <cell r="DJ51"/>
          <cell r="DK51"/>
          <cell r="DL51"/>
        </row>
        <row r="52">
          <cell r="DJ52"/>
          <cell r="DK52"/>
          <cell r="DL52"/>
        </row>
        <row r="53">
          <cell r="DJ53"/>
          <cell r="DK53"/>
          <cell r="DL53"/>
        </row>
        <row r="54">
          <cell r="DJ54"/>
          <cell r="DK54"/>
          <cell r="DL54"/>
        </row>
        <row r="55">
          <cell r="DJ55"/>
          <cell r="DK55"/>
          <cell r="DL55"/>
        </row>
        <row r="56">
          <cell r="DJ56"/>
          <cell r="DK56"/>
          <cell r="DL56"/>
        </row>
        <row r="57">
          <cell r="DJ57"/>
          <cell r="DK57"/>
          <cell r="DL57"/>
        </row>
        <row r="58">
          <cell r="DJ58"/>
          <cell r="DK58"/>
          <cell r="DL58"/>
        </row>
        <row r="59">
          <cell r="DJ59"/>
          <cell r="DK59"/>
          <cell r="DL59"/>
        </row>
        <row r="60">
          <cell r="DJ60"/>
          <cell r="DK60"/>
          <cell r="DL60"/>
        </row>
        <row r="61">
          <cell r="DJ61"/>
          <cell r="DK61"/>
          <cell r="DL61"/>
        </row>
        <row r="62">
          <cell r="DJ62"/>
          <cell r="DK62"/>
          <cell r="DL62"/>
        </row>
        <row r="63">
          <cell r="DJ63"/>
          <cell r="DK63"/>
          <cell r="DL63"/>
        </row>
        <row r="64">
          <cell r="DJ64"/>
          <cell r="DK64"/>
          <cell r="DL64"/>
        </row>
        <row r="65">
          <cell r="DJ65"/>
          <cell r="DK65"/>
          <cell r="DL65"/>
        </row>
        <row r="66">
          <cell r="DJ66"/>
          <cell r="DK66"/>
          <cell r="DL66"/>
        </row>
        <row r="67">
          <cell r="DJ67"/>
          <cell r="DK67"/>
          <cell r="DL67"/>
        </row>
        <row r="68">
          <cell r="DJ68"/>
          <cell r="DK68"/>
          <cell r="DL68"/>
        </row>
        <row r="69">
          <cell r="DJ69"/>
          <cell r="DK69"/>
          <cell r="DL69"/>
        </row>
        <row r="70">
          <cell r="DJ70"/>
          <cell r="DK70"/>
          <cell r="DL70"/>
        </row>
        <row r="71">
          <cell r="DJ71"/>
          <cell r="DK71"/>
          <cell r="DL71"/>
        </row>
        <row r="72">
          <cell r="DJ72"/>
          <cell r="DK72"/>
          <cell r="DL72"/>
        </row>
        <row r="73">
          <cell r="DJ73"/>
          <cell r="DK73"/>
          <cell r="DL73"/>
        </row>
        <row r="74">
          <cell r="DJ74"/>
          <cell r="DK74"/>
          <cell r="DL74"/>
        </row>
        <row r="75">
          <cell r="DJ75"/>
          <cell r="DK75"/>
          <cell r="DL75"/>
        </row>
        <row r="76">
          <cell r="DJ76"/>
          <cell r="DK76"/>
          <cell r="DL76"/>
        </row>
        <row r="77">
          <cell r="DJ77"/>
          <cell r="DK77"/>
          <cell r="DL77"/>
        </row>
        <row r="78">
          <cell r="DJ78"/>
          <cell r="DK78"/>
          <cell r="DL78"/>
        </row>
        <row r="79">
          <cell r="DJ79"/>
          <cell r="DK79"/>
          <cell r="DL79"/>
        </row>
        <row r="80">
          <cell r="DJ80"/>
          <cell r="DK80"/>
          <cell r="DL80"/>
        </row>
        <row r="81">
          <cell r="DJ81"/>
          <cell r="DK81"/>
          <cell r="DL81"/>
        </row>
        <row r="82">
          <cell r="DJ82"/>
          <cell r="DK82"/>
          <cell r="DL82"/>
        </row>
        <row r="83">
          <cell r="DJ83"/>
          <cell r="DK83"/>
          <cell r="DL83"/>
        </row>
        <row r="84">
          <cell r="DJ84"/>
          <cell r="DK84"/>
          <cell r="DL84"/>
        </row>
        <row r="85">
          <cell r="DJ85"/>
          <cell r="DK85"/>
          <cell r="DL85"/>
        </row>
        <row r="86">
          <cell r="DJ86"/>
          <cell r="DK86"/>
          <cell r="DL86"/>
        </row>
        <row r="87">
          <cell r="DJ87"/>
          <cell r="DK87"/>
          <cell r="DL87"/>
        </row>
        <row r="88">
          <cell r="DJ88"/>
          <cell r="DK88"/>
          <cell r="DL88"/>
        </row>
        <row r="89">
          <cell r="DJ89"/>
          <cell r="DK89"/>
          <cell r="DL89"/>
        </row>
        <row r="90">
          <cell r="DJ90"/>
          <cell r="DK90"/>
          <cell r="DL90"/>
        </row>
        <row r="91">
          <cell r="DJ91"/>
          <cell r="DK91"/>
          <cell r="DL91"/>
        </row>
        <row r="92">
          <cell r="DJ92"/>
          <cell r="DK92"/>
          <cell r="DL92"/>
        </row>
        <row r="93">
          <cell r="DJ93"/>
          <cell r="DK93"/>
          <cell r="DL93"/>
        </row>
        <row r="94">
          <cell r="DJ94"/>
          <cell r="DK94"/>
          <cell r="DL94"/>
        </row>
        <row r="95">
          <cell r="DJ95"/>
          <cell r="DK95"/>
          <cell r="DL95"/>
        </row>
        <row r="96">
          <cell r="DJ96"/>
          <cell r="DK96"/>
          <cell r="DL96"/>
        </row>
        <row r="97">
          <cell r="DJ97"/>
          <cell r="DK97"/>
          <cell r="DL97"/>
        </row>
        <row r="98">
          <cell r="DJ98"/>
          <cell r="DK98"/>
          <cell r="DL98"/>
        </row>
        <row r="99">
          <cell r="DJ99"/>
          <cell r="DK99"/>
          <cell r="DL99"/>
        </row>
        <row r="100">
          <cell r="DJ100"/>
          <cell r="DK100"/>
          <cell r="DL100"/>
        </row>
        <row r="101">
          <cell r="DJ101"/>
          <cell r="DK101"/>
          <cell r="DL101"/>
        </row>
        <row r="102">
          <cell r="DJ102"/>
          <cell r="DK102"/>
          <cell r="DL102"/>
        </row>
        <row r="103">
          <cell r="DJ103"/>
          <cell r="DK103"/>
          <cell r="DL103"/>
        </row>
        <row r="104">
          <cell r="DJ104"/>
          <cell r="DK104"/>
          <cell r="DL104"/>
        </row>
        <row r="105">
          <cell r="DJ105"/>
          <cell r="DK105"/>
          <cell r="DL105"/>
        </row>
        <row r="106">
          <cell r="DJ106"/>
          <cell r="DK106"/>
          <cell r="DL106"/>
        </row>
        <row r="107">
          <cell r="DJ107"/>
          <cell r="DK107"/>
          <cell r="DL107"/>
        </row>
        <row r="108">
          <cell r="DJ108"/>
          <cell r="DK108"/>
          <cell r="DL108"/>
        </row>
        <row r="109">
          <cell r="DJ109"/>
          <cell r="DK109"/>
          <cell r="DL109"/>
        </row>
        <row r="110">
          <cell r="DJ110"/>
          <cell r="DK110"/>
          <cell r="DL110"/>
        </row>
        <row r="111">
          <cell r="DJ111"/>
          <cell r="DK111"/>
          <cell r="DL111"/>
        </row>
        <row r="112">
          <cell r="DJ112"/>
          <cell r="DK112"/>
          <cell r="DL112"/>
        </row>
        <row r="113">
          <cell r="DJ113"/>
          <cell r="DK113"/>
          <cell r="DL113"/>
        </row>
        <row r="114">
          <cell r="DJ114"/>
          <cell r="DK114"/>
          <cell r="DL114"/>
        </row>
        <row r="115">
          <cell r="DJ115"/>
          <cell r="DK115"/>
          <cell r="DL115"/>
        </row>
        <row r="116">
          <cell r="DJ116"/>
          <cell r="DK116"/>
          <cell r="DL116"/>
        </row>
        <row r="117">
          <cell r="DJ117"/>
          <cell r="DK117"/>
          <cell r="DL117"/>
        </row>
        <row r="118">
          <cell r="DJ118"/>
          <cell r="DK118"/>
          <cell r="DL118"/>
        </row>
        <row r="119">
          <cell r="DJ119"/>
          <cell r="DK119"/>
          <cell r="DL119"/>
        </row>
        <row r="120">
          <cell r="DJ120"/>
          <cell r="DK120"/>
          <cell r="DL120"/>
        </row>
        <row r="121">
          <cell r="DJ121"/>
          <cell r="DK121"/>
          <cell r="DL121"/>
        </row>
        <row r="122">
          <cell r="DJ122"/>
          <cell r="DK122"/>
          <cell r="DL122"/>
        </row>
        <row r="123">
          <cell r="DJ123"/>
          <cell r="DK123"/>
          <cell r="DL123"/>
        </row>
        <row r="124">
          <cell r="DJ124"/>
          <cell r="DK124"/>
          <cell r="DL124"/>
        </row>
        <row r="125">
          <cell r="DJ125"/>
          <cell r="DK125"/>
          <cell r="DL125"/>
        </row>
        <row r="126">
          <cell r="DJ126"/>
          <cell r="DK126"/>
          <cell r="DL126"/>
        </row>
        <row r="127">
          <cell r="DJ127"/>
          <cell r="DK127"/>
          <cell r="DL127"/>
        </row>
        <row r="128">
          <cell r="DJ128"/>
          <cell r="DK128"/>
          <cell r="DL128"/>
        </row>
        <row r="129">
          <cell r="DJ129"/>
          <cell r="DK129"/>
          <cell r="DL129"/>
        </row>
        <row r="130">
          <cell r="DJ130"/>
          <cell r="DK130"/>
          <cell r="DL130"/>
        </row>
        <row r="131">
          <cell r="DJ131"/>
          <cell r="DK131"/>
          <cell r="DL131"/>
        </row>
        <row r="132">
          <cell r="DJ132"/>
          <cell r="DK132"/>
          <cell r="DL132"/>
        </row>
        <row r="133">
          <cell r="DJ133"/>
          <cell r="DK133"/>
          <cell r="DL133"/>
        </row>
        <row r="134">
          <cell r="DJ134"/>
          <cell r="DK134"/>
          <cell r="DL134"/>
        </row>
        <row r="135">
          <cell r="DJ135"/>
          <cell r="DK135"/>
          <cell r="DL135"/>
        </row>
        <row r="136">
          <cell r="DJ136"/>
          <cell r="DK136"/>
          <cell r="DL136"/>
        </row>
        <row r="137">
          <cell r="DJ137"/>
          <cell r="DK137"/>
          <cell r="DL137"/>
        </row>
        <row r="138">
          <cell r="DJ138"/>
          <cell r="DK138"/>
          <cell r="DL138"/>
        </row>
        <row r="139">
          <cell r="DJ139"/>
          <cell r="DK139"/>
          <cell r="DL139"/>
        </row>
        <row r="140">
          <cell r="DJ140"/>
          <cell r="DK140"/>
          <cell r="DL140"/>
        </row>
        <row r="141">
          <cell r="DJ141"/>
          <cell r="DK141"/>
          <cell r="DL141"/>
        </row>
        <row r="142">
          <cell r="DJ142"/>
          <cell r="DK142"/>
          <cell r="DL142"/>
        </row>
        <row r="143">
          <cell r="DJ143"/>
          <cell r="DK143"/>
          <cell r="DL143"/>
        </row>
        <row r="144">
          <cell r="DJ144"/>
          <cell r="DK144"/>
          <cell r="DL144"/>
        </row>
        <row r="145">
          <cell r="DJ145"/>
          <cell r="DK145"/>
          <cell r="DL145"/>
        </row>
        <row r="146">
          <cell r="DJ146"/>
          <cell r="DK146"/>
          <cell r="DL146"/>
        </row>
        <row r="147">
          <cell r="DJ147"/>
          <cell r="DK147"/>
          <cell r="DL147"/>
        </row>
        <row r="148">
          <cell r="DJ148"/>
          <cell r="DK148"/>
          <cell r="DL148"/>
        </row>
        <row r="149">
          <cell r="DJ149"/>
          <cell r="DK149"/>
          <cell r="DL149"/>
        </row>
        <row r="150">
          <cell r="DJ150"/>
          <cell r="DK150"/>
          <cell r="DL150"/>
        </row>
        <row r="151">
          <cell r="DJ151"/>
          <cell r="DK151"/>
          <cell r="DL151"/>
        </row>
        <row r="152">
          <cell r="DJ152"/>
          <cell r="DK152"/>
          <cell r="DL152"/>
        </row>
        <row r="153">
          <cell r="DJ153"/>
          <cell r="DK153"/>
          <cell r="DL153"/>
        </row>
        <row r="154">
          <cell r="DJ154"/>
          <cell r="DK154"/>
          <cell r="DL154"/>
        </row>
        <row r="155">
          <cell r="DJ155"/>
          <cell r="DK155"/>
          <cell r="DL155"/>
        </row>
        <row r="156">
          <cell r="DJ156"/>
          <cell r="DK156"/>
          <cell r="DL156"/>
        </row>
        <row r="157">
          <cell r="DJ157"/>
          <cell r="DK157"/>
          <cell r="DL157"/>
        </row>
        <row r="158">
          <cell r="DJ158"/>
          <cell r="DK158"/>
          <cell r="DL158"/>
        </row>
        <row r="159">
          <cell r="DJ159"/>
          <cell r="DK159"/>
          <cell r="DL159"/>
        </row>
        <row r="160">
          <cell r="DJ160"/>
          <cell r="DK160"/>
          <cell r="DL160"/>
        </row>
        <row r="161">
          <cell r="DJ161"/>
          <cell r="DK161"/>
          <cell r="DL161"/>
        </row>
        <row r="162">
          <cell r="DJ162"/>
          <cell r="DK162"/>
          <cell r="DL162"/>
        </row>
        <row r="163">
          <cell r="DJ163"/>
          <cell r="DK163"/>
          <cell r="DL163"/>
        </row>
        <row r="164">
          <cell r="DJ164"/>
          <cell r="DK164"/>
          <cell r="DL164"/>
        </row>
        <row r="165">
          <cell r="DJ165"/>
          <cell r="DK165"/>
          <cell r="DL165"/>
        </row>
        <row r="166">
          <cell r="DJ166"/>
          <cell r="DK166"/>
          <cell r="DL166"/>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172">
          <cell r="DJ172"/>
          <cell r="DK172"/>
          <cell r="DL172"/>
        </row>
        <row r="173">
          <cell r="DJ173"/>
          <cell r="DK173"/>
          <cell r="DL173"/>
        </row>
        <row r="174">
          <cell r="DJ174"/>
          <cell r="DK174"/>
          <cell r="DL174"/>
        </row>
        <row r="175">
          <cell r="DJ175"/>
          <cell r="DK175"/>
          <cell r="DL175"/>
        </row>
        <row r="176">
          <cell r="DJ176"/>
          <cell r="DK176"/>
          <cell r="DL176"/>
        </row>
        <row r="177">
          <cell r="DJ177"/>
          <cell r="DK177"/>
          <cell r="DL177"/>
        </row>
        <row r="178">
          <cell r="DJ178"/>
          <cell r="DK178"/>
          <cell r="DL178"/>
        </row>
        <row r="179">
          <cell r="DJ179"/>
          <cell r="DK179"/>
          <cell r="DL179"/>
        </row>
        <row r="180">
          <cell r="DJ180"/>
          <cell r="DK180"/>
          <cell r="DL180"/>
        </row>
        <row r="181">
          <cell r="DJ181"/>
          <cell r="DK181"/>
          <cell r="DL181"/>
        </row>
        <row r="182">
          <cell r="DJ182"/>
          <cell r="DK182"/>
          <cell r="DL182"/>
        </row>
        <row r="183">
          <cell r="DJ183"/>
          <cell r="DK183"/>
          <cell r="DL183"/>
        </row>
        <row r="184">
          <cell r="DJ184"/>
          <cell r="DK184"/>
          <cell r="DL184"/>
        </row>
        <row r="185">
          <cell r="DJ185"/>
          <cell r="DK185"/>
          <cell r="DL185"/>
        </row>
        <row r="186">
          <cell r="DJ186"/>
          <cell r="DK186"/>
          <cell r="DL186"/>
        </row>
        <row r="187">
          <cell r="DJ187"/>
          <cell r="DK187"/>
          <cell r="DL187"/>
        </row>
        <row r="188">
          <cell r="DJ188"/>
          <cell r="DK188"/>
          <cell r="DL188"/>
        </row>
        <row r="189">
          <cell r="DJ189"/>
          <cell r="DK189"/>
          <cell r="DL189"/>
        </row>
        <row r="190">
          <cell r="DJ190"/>
          <cell r="DK190"/>
          <cell r="DL190"/>
        </row>
        <row r="191">
          <cell r="DJ191"/>
          <cell r="DK191"/>
          <cell r="DL191"/>
        </row>
        <row r="192">
          <cell r="DJ192"/>
          <cell r="DK192"/>
          <cell r="DL192"/>
        </row>
        <row r="193">
          <cell r="DJ193"/>
          <cell r="DK193"/>
          <cell r="DL193"/>
        </row>
        <row r="194">
          <cell r="DJ194"/>
          <cell r="DK194"/>
          <cell r="DL194"/>
        </row>
        <row r="195">
          <cell r="DJ195"/>
          <cell r="DK195"/>
          <cell r="DL195"/>
        </row>
        <row r="196">
          <cell r="DJ196"/>
          <cell r="DK196"/>
          <cell r="DL196"/>
        </row>
        <row r="197">
          <cell r="DJ197"/>
          <cell r="DK197"/>
          <cell r="DL197"/>
        </row>
        <row r="198">
          <cell r="DJ198"/>
          <cell r="DK198"/>
          <cell r="DL198"/>
        </row>
        <row r="199">
          <cell r="DJ199"/>
          <cell r="DK199"/>
          <cell r="DL199"/>
        </row>
        <row r="200">
          <cell r="DJ200"/>
          <cell r="DK200"/>
          <cell r="DL200"/>
        </row>
        <row r="201">
          <cell r="DJ201"/>
          <cell r="DK201"/>
          <cell r="DL201"/>
        </row>
        <row r="202">
          <cell r="DJ202"/>
          <cell r="DK202"/>
          <cell r="DL202"/>
        </row>
        <row r="203">
          <cell r="DJ203"/>
          <cell r="DK203"/>
          <cell r="DL203"/>
        </row>
        <row r="204">
          <cell r="DJ204"/>
          <cell r="DK204"/>
          <cell r="DL204"/>
        </row>
        <row r="205">
          <cell r="DJ205"/>
          <cell r="DK205"/>
          <cell r="DL205"/>
        </row>
        <row r="206">
          <cell r="DJ206"/>
          <cell r="DK206"/>
          <cell r="DL206"/>
        </row>
        <row r="207">
          <cell r="DJ207"/>
          <cell r="DK207"/>
          <cell r="DL207"/>
        </row>
        <row r="208">
          <cell r="DJ208"/>
          <cell r="DK208"/>
          <cell r="DL208"/>
        </row>
        <row r="209">
          <cell r="DJ209"/>
          <cell r="DK209"/>
          <cell r="DL209"/>
        </row>
        <row r="210">
          <cell r="DJ210"/>
          <cell r="DK210"/>
          <cell r="DL210"/>
        </row>
        <row r="211">
          <cell r="DJ211"/>
          <cell r="DK211"/>
          <cell r="DL211"/>
        </row>
        <row r="212">
          <cell r="DJ212"/>
          <cell r="DK212"/>
          <cell r="DL212"/>
        </row>
        <row r="213">
          <cell r="DJ213"/>
          <cell r="DK213"/>
          <cell r="DL213"/>
        </row>
        <row r="214">
          <cell r="DJ214"/>
          <cell r="DK214"/>
          <cell r="DL214"/>
        </row>
        <row r="215">
          <cell r="DJ215"/>
          <cell r="DK215"/>
          <cell r="DL215"/>
        </row>
        <row r="216">
          <cell r="DJ216"/>
          <cell r="DK216"/>
          <cell r="DL216"/>
        </row>
        <row r="217">
          <cell r="DJ217"/>
          <cell r="DK217"/>
          <cell r="DL217"/>
        </row>
        <row r="218">
          <cell r="DJ218"/>
          <cell r="DK218"/>
          <cell r="DL218"/>
        </row>
        <row r="219">
          <cell r="DJ219"/>
          <cell r="DK219"/>
          <cell r="DL219"/>
        </row>
        <row r="220">
          <cell r="DJ220"/>
          <cell r="DK220"/>
          <cell r="DL220"/>
        </row>
        <row r="221">
          <cell r="DJ221"/>
          <cell r="DK221"/>
          <cell r="DL221"/>
        </row>
        <row r="222">
          <cell r="DJ222"/>
          <cell r="DK222"/>
          <cell r="DL222"/>
        </row>
        <row r="223">
          <cell r="DJ223"/>
          <cell r="DK223"/>
          <cell r="DL223"/>
        </row>
        <row r="224">
          <cell r="DJ224"/>
          <cell r="DK224"/>
          <cell r="DL224"/>
        </row>
        <row r="225">
          <cell r="DJ225"/>
          <cell r="DK225"/>
          <cell r="DL225"/>
        </row>
        <row r="226">
          <cell r="DJ226"/>
          <cell r="DK226"/>
          <cell r="DL226"/>
        </row>
        <row r="227">
          <cell r="DJ227"/>
          <cell r="DK227"/>
          <cell r="DL227"/>
        </row>
        <row r="228">
          <cell r="DJ228"/>
          <cell r="DK228"/>
          <cell r="DL228"/>
        </row>
        <row r="229">
          <cell r="DJ229"/>
          <cell r="DK229"/>
          <cell r="DL229"/>
        </row>
        <row r="230">
          <cell r="DJ230"/>
          <cell r="DK230"/>
          <cell r="DL230"/>
        </row>
        <row r="231">
          <cell r="DJ231"/>
          <cell r="DK231"/>
          <cell r="DL231"/>
        </row>
        <row r="232">
          <cell r="DJ232"/>
          <cell r="DK232"/>
          <cell r="DL232"/>
        </row>
        <row r="233">
          <cell r="DJ233"/>
          <cell r="DK233"/>
          <cell r="DL233"/>
        </row>
        <row r="234">
          <cell r="DJ234"/>
          <cell r="DK234"/>
          <cell r="DL234"/>
        </row>
        <row r="235">
          <cell r="DJ235"/>
          <cell r="DK235"/>
          <cell r="DL235"/>
        </row>
        <row r="236">
          <cell r="DJ236"/>
          <cell r="DK236"/>
          <cell r="DL236"/>
        </row>
        <row r="237">
          <cell r="DJ237"/>
          <cell r="DK237"/>
          <cell r="DL237"/>
        </row>
        <row r="238">
          <cell r="DJ238"/>
          <cell r="DK238"/>
          <cell r="DL238"/>
        </row>
        <row r="239">
          <cell r="DJ239"/>
          <cell r="DK239"/>
          <cell r="DL239"/>
        </row>
        <row r="240">
          <cell r="DJ240"/>
          <cell r="DK240"/>
          <cell r="DL240"/>
        </row>
        <row r="241">
          <cell r="DJ241"/>
          <cell r="DK241"/>
          <cell r="DL241"/>
        </row>
        <row r="242">
          <cell r="DJ242"/>
          <cell r="DK242"/>
          <cell r="DL242"/>
        </row>
        <row r="243">
          <cell r="DJ243"/>
          <cell r="DK243"/>
          <cell r="DL243"/>
        </row>
        <row r="244">
          <cell r="DJ244"/>
          <cell r="DK244"/>
          <cell r="DL244"/>
        </row>
        <row r="245">
          <cell r="DJ245"/>
          <cell r="DK245"/>
          <cell r="DL245"/>
        </row>
        <row r="246">
          <cell r="DJ246"/>
          <cell r="DK246"/>
          <cell r="DL246"/>
        </row>
        <row r="247">
          <cell r="DJ247"/>
          <cell r="DK247"/>
          <cell r="DL247"/>
        </row>
        <row r="248">
          <cell r="DJ248"/>
          <cell r="DK248"/>
          <cell r="DL248"/>
        </row>
        <row r="249">
          <cell r="DJ249"/>
          <cell r="DK249"/>
          <cell r="DL249"/>
        </row>
        <row r="250">
          <cell r="DJ250"/>
          <cell r="DK250"/>
          <cell r="DL250"/>
        </row>
        <row r="251">
          <cell r="DJ251"/>
          <cell r="DK251"/>
          <cell r="DL251"/>
        </row>
        <row r="252">
          <cell r="DJ252"/>
          <cell r="DK252"/>
          <cell r="DL252"/>
        </row>
        <row r="253">
          <cell r="DJ253"/>
          <cell r="DK253"/>
          <cell r="DL253"/>
        </row>
        <row r="254">
          <cell r="DJ254"/>
          <cell r="DK254"/>
          <cell r="DL254"/>
        </row>
        <row r="255">
          <cell r="DJ255"/>
          <cell r="DK255"/>
          <cell r="DL255"/>
        </row>
        <row r="256">
          <cell r="DJ256"/>
          <cell r="DK256"/>
          <cell r="DL256"/>
        </row>
        <row r="257">
          <cell r="DJ257"/>
          <cell r="DK257"/>
          <cell r="DL257"/>
        </row>
        <row r="258">
          <cell r="DJ258"/>
          <cell r="DK258"/>
          <cell r="DL258"/>
        </row>
        <row r="259">
          <cell r="DJ259"/>
          <cell r="DK259"/>
          <cell r="DL259"/>
        </row>
        <row r="260">
          <cell r="DJ260"/>
          <cell r="DK260"/>
          <cell r="DL260"/>
        </row>
        <row r="261">
          <cell r="DJ261"/>
          <cell r="DK261"/>
          <cell r="DL261"/>
        </row>
        <row r="262">
          <cell r="DJ262"/>
          <cell r="DK262"/>
          <cell r="DL262"/>
        </row>
        <row r="263">
          <cell r="DJ263"/>
          <cell r="DK263"/>
          <cell r="DL263"/>
        </row>
        <row r="264">
          <cell r="DJ264"/>
          <cell r="DK264"/>
          <cell r="DL264"/>
        </row>
        <row r="265">
          <cell r="DJ265"/>
          <cell r="DK265"/>
          <cell r="DL265"/>
        </row>
        <row r="266">
          <cell r="DJ266"/>
          <cell r="DK266"/>
          <cell r="DL266"/>
        </row>
        <row r="267">
          <cell r="DJ267"/>
          <cell r="DK267"/>
          <cell r="DL267"/>
        </row>
        <row r="268">
          <cell r="DJ268"/>
          <cell r="DK268"/>
          <cell r="DL268"/>
        </row>
        <row r="269">
          <cell r="DJ269"/>
          <cell r="DK269"/>
          <cell r="DL269"/>
        </row>
        <row r="270">
          <cell r="DJ270"/>
          <cell r="DK270"/>
          <cell r="DL270"/>
        </row>
        <row r="271">
          <cell r="DJ271"/>
          <cell r="DK271"/>
          <cell r="DL271"/>
        </row>
        <row r="272">
          <cell r="DJ272"/>
          <cell r="DK272"/>
          <cell r="DL272"/>
        </row>
        <row r="273">
          <cell r="DJ273"/>
          <cell r="DK273"/>
          <cell r="DL273"/>
        </row>
        <row r="274">
          <cell r="DJ274"/>
          <cell r="DK274"/>
          <cell r="DL274"/>
        </row>
        <row r="275">
          <cell r="DJ275"/>
          <cell r="DK275"/>
          <cell r="DL275"/>
        </row>
        <row r="276">
          <cell r="DJ276"/>
          <cell r="DK276"/>
          <cell r="DL276"/>
        </row>
        <row r="277">
          <cell r="DJ277"/>
          <cell r="DK277"/>
          <cell r="DL277"/>
        </row>
        <row r="278">
          <cell r="DJ278"/>
          <cell r="DK278"/>
          <cell r="DL278"/>
        </row>
        <row r="279">
          <cell r="DJ279"/>
          <cell r="DK279"/>
          <cell r="DL279"/>
        </row>
        <row r="280">
          <cell r="DJ280"/>
          <cell r="DK280"/>
          <cell r="DL280"/>
        </row>
        <row r="281">
          <cell r="DJ281"/>
          <cell r="DK281"/>
          <cell r="DL281"/>
        </row>
        <row r="282">
          <cell r="DJ282"/>
          <cell r="DK282"/>
          <cell r="DL282"/>
        </row>
        <row r="283">
          <cell r="DJ283"/>
          <cell r="DK283"/>
          <cell r="DL283"/>
        </row>
        <row r="284">
          <cell r="DJ284"/>
          <cell r="DK284"/>
          <cell r="DL284"/>
        </row>
        <row r="285">
          <cell r="DJ285"/>
          <cell r="DK285"/>
          <cell r="DL285"/>
        </row>
        <row r="286">
          <cell r="DJ286"/>
          <cell r="DK286"/>
          <cell r="DL286"/>
        </row>
        <row r="287">
          <cell r="DJ287"/>
          <cell r="DK287"/>
          <cell r="DL287"/>
        </row>
        <row r="288">
          <cell r="DJ288"/>
          <cell r="DK288"/>
          <cell r="DL288"/>
        </row>
        <row r="289">
          <cell r="DJ289"/>
          <cell r="DK289"/>
          <cell r="DL289"/>
        </row>
        <row r="290">
          <cell r="DJ290"/>
          <cell r="DK290"/>
          <cell r="DL290"/>
        </row>
        <row r="291">
          <cell r="DJ291"/>
          <cell r="DK291"/>
          <cell r="DL291"/>
        </row>
        <row r="292">
          <cell r="DJ292"/>
          <cell r="DK292"/>
          <cell r="DL292"/>
        </row>
        <row r="293">
          <cell r="DJ293"/>
          <cell r="DK293"/>
          <cell r="DL293"/>
        </row>
        <row r="294">
          <cell r="DJ294"/>
          <cell r="DK294"/>
          <cell r="DL294"/>
        </row>
        <row r="295">
          <cell r="DJ295"/>
          <cell r="DK295"/>
          <cell r="DL295"/>
        </row>
        <row r="296">
          <cell r="DJ296"/>
          <cell r="DK296"/>
          <cell r="DL296"/>
        </row>
        <row r="297">
          <cell r="DJ297"/>
          <cell r="DK297"/>
          <cell r="DL297"/>
        </row>
        <row r="298">
          <cell r="DJ298"/>
          <cell r="DK298"/>
          <cell r="DL298"/>
        </row>
        <row r="299">
          <cell r="DJ299"/>
          <cell r="DK299"/>
          <cell r="DL299"/>
        </row>
        <row r="300">
          <cell r="DJ300"/>
          <cell r="DK300"/>
          <cell r="DL300"/>
        </row>
        <row r="301">
          <cell r="DJ301"/>
          <cell r="DK301"/>
          <cell r="DL301"/>
        </row>
        <row r="302">
          <cell r="DJ302"/>
          <cell r="DK302"/>
          <cell r="DL302"/>
        </row>
        <row r="303">
          <cell r="DJ303"/>
          <cell r="DK303"/>
          <cell r="DL303"/>
        </row>
        <row r="304">
          <cell r="DJ304"/>
          <cell r="DK304"/>
          <cell r="DL304"/>
        </row>
        <row r="305">
          <cell r="DJ305"/>
          <cell r="DK305"/>
          <cell r="DL305"/>
        </row>
        <row r="306">
          <cell r="DJ306"/>
          <cell r="DK306"/>
          <cell r="DL306"/>
        </row>
        <row r="307">
          <cell r="DJ307"/>
          <cell r="DK307"/>
          <cell r="DL307"/>
        </row>
        <row r="308">
          <cell r="DJ308"/>
          <cell r="DK308"/>
          <cell r="DL308"/>
        </row>
        <row r="309">
          <cell r="DJ309"/>
          <cell r="DK309"/>
          <cell r="DL309"/>
        </row>
        <row r="310">
          <cell r="DJ310"/>
          <cell r="DK310"/>
          <cell r="DL310"/>
        </row>
        <row r="311">
          <cell r="DJ311"/>
          <cell r="DK311"/>
          <cell r="DL311"/>
        </row>
        <row r="312">
          <cell r="DJ312"/>
          <cell r="DK312"/>
          <cell r="DL312"/>
        </row>
        <row r="313">
          <cell r="DJ313"/>
          <cell r="DK313"/>
          <cell r="DL313"/>
        </row>
        <row r="314">
          <cell r="DJ314"/>
          <cell r="DK314"/>
          <cell r="DL314"/>
        </row>
        <row r="315">
          <cell r="DJ315"/>
          <cell r="DK315"/>
          <cell r="DL315"/>
        </row>
        <row r="316">
          <cell r="DJ316"/>
          <cell r="DK316"/>
          <cell r="DL316"/>
        </row>
        <row r="317">
          <cell r="DJ317"/>
          <cell r="DK317"/>
          <cell r="DL317"/>
        </row>
        <row r="318">
          <cell r="DJ318"/>
          <cell r="DK318"/>
          <cell r="DL318"/>
        </row>
        <row r="319">
          <cell r="DJ319"/>
          <cell r="DK319"/>
          <cell r="DL319"/>
        </row>
        <row r="320">
          <cell r="DJ320"/>
          <cell r="DK320"/>
          <cell r="DL320"/>
        </row>
        <row r="321">
          <cell r="DJ321"/>
          <cell r="DK321"/>
          <cell r="DL321"/>
        </row>
        <row r="322">
          <cell r="DJ322"/>
          <cell r="DK322"/>
          <cell r="DL322"/>
        </row>
        <row r="323">
          <cell r="DJ323"/>
          <cell r="DK323"/>
          <cell r="DL323"/>
        </row>
        <row r="324">
          <cell r="DJ324"/>
          <cell r="DK324"/>
          <cell r="DL324"/>
        </row>
        <row r="325">
          <cell r="DJ325"/>
          <cell r="DK325"/>
          <cell r="DL325"/>
        </row>
        <row r="326">
          <cell r="DJ326"/>
          <cell r="DK326"/>
          <cell r="DL326"/>
        </row>
        <row r="327">
          <cell r="DJ327"/>
          <cell r="DK327"/>
          <cell r="DL327"/>
        </row>
        <row r="328">
          <cell r="DJ328"/>
          <cell r="DK328"/>
          <cell r="DL328"/>
        </row>
        <row r="329">
          <cell r="DJ329"/>
          <cell r="DK329"/>
          <cell r="DL329"/>
        </row>
        <row r="330">
          <cell r="DJ330"/>
          <cell r="DK330"/>
          <cell r="DL330"/>
        </row>
        <row r="331">
          <cell r="DJ331"/>
          <cell r="DK331"/>
          <cell r="DL331"/>
        </row>
        <row r="332">
          <cell r="DJ332"/>
          <cell r="DK332"/>
          <cell r="DL332"/>
        </row>
        <row r="333">
          <cell r="DJ333"/>
          <cell r="DK333"/>
          <cell r="DL333"/>
        </row>
        <row r="334">
          <cell r="DJ334"/>
          <cell r="DK334"/>
          <cell r="DL334"/>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2">
          <cell r="DJ2"/>
          <cell r="DK2"/>
          <cell r="DL2"/>
        </row>
        <row r="3">
          <cell r="DJ3" t="str">
            <v>Million cubic metres</v>
          </cell>
          <cell r="DK3" t="str">
            <v>Millions mètres cube</v>
          </cell>
          <cell r="DL3" t="str">
            <v>Миллионы кубических метров</v>
          </cell>
        </row>
        <row r="4">
          <cell r="DJ4"/>
          <cell r="DK4"/>
          <cell r="DL4"/>
        </row>
        <row r="5">
          <cell r="DJ5"/>
          <cell r="DK5"/>
          <cell r="DL5"/>
        </row>
        <row r="6">
          <cell r="DJ6"/>
          <cell r="DK6"/>
          <cell r="DL6"/>
        </row>
        <row r="7">
          <cell r="DJ7"/>
          <cell r="DK7"/>
          <cell r="DL7"/>
        </row>
        <row r="8">
          <cell r="DJ8"/>
          <cell r="DK8"/>
          <cell r="DL8"/>
        </row>
        <row r="9">
          <cell r="DJ9"/>
          <cell r="DK9"/>
          <cell r="DL9"/>
        </row>
        <row r="10">
          <cell r="DJ10"/>
          <cell r="DK10"/>
          <cell r="DL10"/>
        </row>
        <row r="11">
          <cell r="DJ11"/>
          <cell r="DK11"/>
          <cell r="DL11"/>
        </row>
        <row r="12">
          <cell r="DJ12"/>
          <cell r="DK12"/>
          <cell r="DL12"/>
        </row>
        <row r="13">
          <cell r="DJ13"/>
          <cell r="DK13"/>
          <cell r="DL13"/>
        </row>
        <row r="14">
          <cell r="DJ14"/>
          <cell r="DK14"/>
          <cell r="DL14"/>
        </row>
        <row r="15">
          <cell r="DJ15"/>
          <cell r="DK15"/>
          <cell r="DL15"/>
        </row>
        <row r="16">
          <cell r="DJ16"/>
          <cell r="DK16"/>
          <cell r="DL16"/>
        </row>
        <row r="17">
          <cell r="DJ17"/>
          <cell r="DK17"/>
          <cell r="DL17"/>
        </row>
        <row r="18">
          <cell r="DJ18"/>
          <cell r="DK18"/>
          <cell r="DL18"/>
        </row>
        <row r="19">
          <cell r="DJ19"/>
          <cell r="DK19"/>
          <cell r="DL19"/>
        </row>
        <row r="20">
          <cell r="DJ20"/>
          <cell r="DK20"/>
          <cell r="DL20"/>
        </row>
        <row r="21">
          <cell r="DJ21"/>
          <cell r="DK21"/>
          <cell r="DL21"/>
        </row>
        <row r="22">
          <cell r="DJ22"/>
          <cell r="DK22"/>
          <cell r="DL22"/>
        </row>
        <row r="23">
          <cell r="DJ23"/>
          <cell r="DK23"/>
          <cell r="DL23"/>
        </row>
        <row r="24">
          <cell r="DJ24"/>
          <cell r="DK24"/>
          <cell r="DL24"/>
        </row>
        <row r="25">
          <cell r="DJ25"/>
          <cell r="DK25"/>
          <cell r="DL25"/>
        </row>
        <row r="26">
          <cell r="DJ26"/>
          <cell r="DK26"/>
          <cell r="DL26"/>
        </row>
        <row r="27">
          <cell r="DJ27"/>
          <cell r="DK27"/>
          <cell r="DL27"/>
        </row>
        <row r="28">
          <cell r="DJ28"/>
          <cell r="DK28"/>
          <cell r="DL28"/>
        </row>
        <row r="29">
          <cell r="DJ29"/>
          <cell r="DK29"/>
          <cell r="DL29"/>
        </row>
        <row r="30">
          <cell r="DJ30"/>
          <cell r="DK30"/>
          <cell r="DL30"/>
        </row>
        <row r="31">
          <cell r="DJ31"/>
          <cell r="DK31"/>
          <cell r="DL31"/>
        </row>
        <row r="32">
          <cell r="DJ32"/>
          <cell r="DK32"/>
          <cell r="DL32"/>
        </row>
        <row r="33">
          <cell r="DJ33"/>
          <cell r="DK33"/>
          <cell r="DL33"/>
        </row>
        <row r="34">
          <cell r="DJ34"/>
          <cell r="DK34"/>
          <cell r="DL34"/>
        </row>
        <row r="35">
          <cell r="DJ35"/>
          <cell r="DK35"/>
          <cell r="DL35"/>
        </row>
        <row r="36">
          <cell r="DJ36"/>
          <cell r="DK36"/>
          <cell r="DL36"/>
        </row>
        <row r="37">
          <cell r="DJ37"/>
          <cell r="DK37"/>
          <cell r="DL37"/>
        </row>
        <row r="38">
          <cell r="DJ38"/>
          <cell r="DK38"/>
          <cell r="DL38"/>
        </row>
        <row r="39">
          <cell r="DJ39"/>
          <cell r="DK39"/>
          <cell r="DL39"/>
        </row>
        <row r="40">
          <cell r="DJ40"/>
          <cell r="DK40"/>
          <cell r="DL40"/>
        </row>
        <row r="41">
          <cell r="DJ41"/>
          <cell r="DK41"/>
          <cell r="DL41"/>
        </row>
        <row r="42">
          <cell r="DJ42"/>
          <cell r="DK42"/>
          <cell r="DL42"/>
        </row>
        <row r="43">
          <cell r="DJ43"/>
          <cell r="DK43"/>
          <cell r="DL43"/>
        </row>
        <row r="44">
          <cell r="DJ44"/>
          <cell r="DK44"/>
          <cell r="DL44"/>
        </row>
        <row r="45">
          <cell r="DJ45"/>
          <cell r="DK45"/>
          <cell r="DL45"/>
        </row>
        <row r="46">
          <cell r="DJ46"/>
          <cell r="DK46"/>
          <cell r="DL46"/>
        </row>
        <row r="47">
          <cell r="DJ47"/>
          <cell r="DK47"/>
          <cell r="DL47"/>
        </row>
        <row r="48">
          <cell r="DJ48"/>
          <cell r="DK48"/>
          <cell r="DL48"/>
        </row>
        <row r="49">
          <cell r="DJ49"/>
          <cell r="DK49"/>
          <cell r="DL49"/>
        </row>
        <row r="50">
          <cell r="DJ50"/>
          <cell r="DK50"/>
          <cell r="DL50"/>
        </row>
        <row r="51">
          <cell r="DJ51"/>
          <cell r="DK51"/>
          <cell r="DL51"/>
        </row>
        <row r="52">
          <cell r="DJ52"/>
          <cell r="DK52"/>
          <cell r="DL52"/>
        </row>
        <row r="53">
          <cell r="DJ53"/>
          <cell r="DK53"/>
          <cell r="DL53"/>
        </row>
        <row r="54">
          <cell r="DJ54"/>
          <cell r="DK54"/>
          <cell r="DL54"/>
        </row>
        <row r="55">
          <cell r="DJ55"/>
          <cell r="DK55"/>
          <cell r="DL55"/>
        </row>
        <row r="56">
          <cell r="DJ56"/>
          <cell r="DK56"/>
          <cell r="DL56"/>
        </row>
        <row r="57">
          <cell r="DJ57"/>
          <cell r="DK57"/>
          <cell r="DL57"/>
        </row>
        <row r="58">
          <cell r="DJ58"/>
          <cell r="DK58"/>
          <cell r="DL58"/>
        </row>
        <row r="59">
          <cell r="DJ59"/>
          <cell r="DK59"/>
          <cell r="DL59"/>
        </row>
        <row r="60">
          <cell r="DJ60"/>
          <cell r="DK60"/>
          <cell r="DL60"/>
        </row>
        <row r="61">
          <cell r="DJ61"/>
          <cell r="DK61"/>
          <cell r="DL61"/>
        </row>
        <row r="62">
          <cell r="DJ62"/>
          <cell r="DK62"/>
          <cell r="DL62"/>
        </row>
        <row r="63">
          <cell r="DJ63"/>
          <cell r="DK63"/>
          <cell r="DL63"/>
        </row>
        <row r="64">
          <cell r="DJ64"/>
          <cell r="DK64"/>
          <cell r="DL64"/>
        </row>
        <row r="65">
          <cell r="DJ65"/>
          <cell r="DK65"/>
          <cell r="DL65"/>
        </row>
        <row r="66">
          <cell r="DJ66"/>
          <cell r="DK66"/>
          <cell r="DL66"/>
        </row>
        <row r="67">
          <cell r="DJ67"/>
          <cell r="DK67"/>
          <cell r="DL67"/>
        </row>
        <row r="68">
          <cell r="DJ68"/>
          <cell r="DK68"/>
          <cell r="DL68"/>
        </row>
        <row r="69">
          <cell r="DJ69"/>
          <cell r="DK69"/>
          <cell r="DL69"/>
        </row>
        <row r="70">
          <cell r="DJ70"/>
          <cell r="DK70"/>
          <cell r="DL70"/>
        </row>
        <row r="71">
          <cell r="DJ71"/>
          <cell r="DK71"/>
          <cell r="DL71"/>
        </row>
        <row r="72">
          <cell r="DJ72"/>
          <cell r="DK72"/>
          <cell r="DL72"/>
        </row>
        <row r="73">
          <cell r="DJ73"/>
          <cell r="DK73"/>
          <cell r="DL73"/>
        </row>
        <row r="74">
          <cell r="DJ74"/>
          <cell r="DK74"/>
          <cell r="DL74"/>
        </row>
        <row r="75">
          <cell r="DJ75"/>
          <cell r="DK75"/>
          <cell r="DL75"/>
        </row>
        <row r="76">
          <cell r="DJ76"/>
          <cell r="DK76"/>
          <cell r="DL76"/>
        </row>
        <row r="77">
          <cell r="DJ77"/>
          <cell r="DK77"/>
          <cell r="DL77"/>
        </row>
        <row r="78">
          <cell r="DJ78"/>
          <cell r="DK78"/>
          <cell r="DL78"/>
        </row>
        <row r="79">
          <cell r="DJ79"/>
          <cell r="DK79"/>
          <cell r="DL79"/>
        </row>
        <row r="80">
          <cell r="DJ80"/>
          <cell r="DK80"/>
          <cell r="DL80"/>
        </row>
        <row r="81">
          <cell r="DJ81"/>
          <cell r="DK81"/>
          <cell r="DL81"/>
        </row>
        <row r="82">
          <cell r="DJ82"/>
          <cell r="DK82"/>
          <cell r="DL82"/>
        </row>
        <row r="83">
          <cell r="DJ83"/>
          <cell r="DK83"/>
          <cell r="DL83"/>
        </row>
        <row r="84">
          <cell r="DJ84"/>
          <cell r="DK84"/>
          <cell r="DL84"/>
        </row>
        <row r="85">
          <cell r="DJ85"/>
          <cell r="DK85"/>
          <cell r="DL85"/>
        </row>
        <row r="86">
          <cell r="DJ86"/>
          <cell r="DK86"/>
          <cell r="DL86"/>
        </row>
        <row r="87">
          <cell r="DJ87"/>
          <cell r="DK87"/>
          <cell r="DL87"/>
        </row>
        <row r="88">
          <cell r="DJ88"/>
          <cell r="DK88"/>
          <cell r="DL88"/>
        </row>
        <row r="89">
          <cell r="DJ89"/>
          <cell r="DK89"/>
          <cell r="DL89"/>
        </row>
        <row r="90">
          <cell r="DJ90"/>
          <cell r="DK90"/>
          <cell r="DL90"/>
        </row>
        <row r="91">
          <cell r="DJ91"/>
          <cell r="DK91"/>
          <cell r="DL91"/>
        </row>
        <row r="92">
          <cell r="DJ92"/>
          <cell r="DK92"/>
          <cell r="DL92"/>
        </row>
        <row r="93">
          <cell r="DJ93"/>
          <cell r="DK93"/>
          <cell r="DL93"/>
        </row>
        <row r="94">
          <cell r="DJ94"/>
          <cell r="DK94"/>
          <cell r="DL94"/>
        </row>
        <row r="95">
          <cell r="DJ95"/>
          <cell r="DK95"/>
          <cell r="DL95"/>
        </row>
        <row r="96">
          <cell r="DJ96"/>
          <cell r="DK96"/>
          <cell r="DL96"/>
        </row>
        <row r="97">
          <cell r="DJ97"/>
          <cell r="DK97"/>
          <cell r="DL97"/>
        </row>
        <row r="98">
          <cell r="DJ98"/>
          <cell r="DK98"/>
          <cell r="DL98"/>
        </row>
        <row r="99">
          <cell r="DJ99"/>
          <cell r="DK99"/>
          <cell r="DL99"/>
        </row>
        <row r="100">
          <cell r="DJ100"/>
          <cell r="DK100"/>
          <cell r="DL100"/>
        </row>
        <row r="101">
          <cell r="DJ101"/>
          <cell r="DK101"/>
          <cell r="DL101"/>
        </row>
        <row r="102">
          <cell r="DJ102"/>
          <cell r="DK102"/>
          <cell r="DL102"/>
        </row>
        <row r="103">
          <cell r="DJ103"/>
          <cell r="DK103"/>
          <cell r="DL103"/>
        </row>
        <row r="104">
          <cell r="DJ104"/>
          <cell r="DK104"/>
          <cell r="DL104"/>
        </row>
        <row r="105">
          <cell r="DJ105"/>
          <cell r="DK105"/>
          <cell r="DL105"/>
        </row>
        <row r="106">
          <cell r="DJ106"/>
          <cell r="DK106"/>
          <cell r="DL106"/>
        </row>
        <row r="107">
          <cell r="DJ107"/>
          <cell r="DK107"/>
          <cell r="DL107"/>
        </row>
        <row r="108">
          <cell r="DJ108"/>
          <cell r="DK108"/>
          <cell r="DL108"/>
        </row>
        <row r="109">
          <cell r="DJ109"/>
          <cell r="DK109"/>
          <cell r="DL109"/>
        </row>
        <row r="110">
          <cell r="DJ110"/>
          <cell r="DK110"/>
          <cell r="DL110"/>
        </row>
        <row r="111">
          <cell r="DJ111"/>
          <cell r="DK111"/>
          <cell r="DL111"/>
        </row>
        <row r="112">
          <cell r="DJ112"/>
          <cell r="DK112"/>
          <cell r="DL112"/>
        </row>
        <row r="113">
          <cell r="DJ113"/>
          <cell r="DK113"/>
          <cell r="DL113"/>
        </row>
        <row r="114">
          <cell r="DJ114"/>
          <cell r="DK114"/>
          <cell r="DL114"/>
        </row>
        <row r="115">
          <cell r="DJ115"/>
          <cell r="DK115"/>
          <cell r="DL115"/>
        </row>
        <row r="116">
          <cell r="DJ116"/>
          <cell r="DK116"/>
          <cell r="DL116"/>
        </row>
        <row r="117">
          <cell r="DJ117"/>
          <cell r="DK117"/>
          <cell r="DL117"/>
        </row>
        <row r="118">
          <cell r="DJ118"/>
          <cell r="DK118"/>
          <cell r="DL118"/>
        </row>
        <row r="119">
          <cell r="DJ119"/>
          <cell r="DK119"/>
          <cell r="DL119"/>
        </row>
        <row r="120">
          <cell r="DJ120"/>
          <cell r="DK120"/>
          <cell r="DL120"/>
        </row>
        <row r="121">
          <cell r="DJ121"/>
          <cell r="DK121"/>
          <cell r="DL121"/>
        </row>
        <row r="122">
          <cell r="DJ122"/>
          <cell r="DK122"/>
          <cell r="DL122"/>
        </row>
        <row r="123">
          <cell r="DJ123"/>
          <cell r="DK123"/>
          <cell r="DL123"/>
        </row>
        <row r="124">
          <cell r="DJ124"/>
          <cell r="DK124"/>
          <cell r="DL124"/>
        </row>
        <row r="125">
          <cell r="DJ125"/>
          <cell r="DK125"/>
          <cell r="DL125"/>
        </row>
        <row r="126">
          <cell r="DJ126"/>
          <cell r="DK126"/>
          <cell r="DL126"/>
        </row>
        <row r="127">
          <cell r="DJ127"/>
          <cell r="DK127"/>
          <cell r="DL127"/>
        </row>
        <row r="128">
          <cell r="DJ128"/>
          <cell r="DK128"/>
          <cell r="DL128"/>
        </row>
        <row r="129">
          <cell r="DJ129"/>
          <cell r="DK129"/>
          <cell r="DL129"/>
        </row>
        <row r="130">
          <cell r="DJ130"/>
          <cell r="DK130"/>
          <cell r="DL130"/>
        </row>
        <row r="131">
          <cell r="DJ131"/>
          <cell r="DK131"/>
          <cell r="DL131"/>
        </row>
        <row r="132">
          <cell r="DJ132"/>
          <cell r="DK132"/>
          <cell r="DL132"/>
        </row>
        <row r="133">
          <cell r="DJ133"/>
          <cell r="DK133"/>
          <cell r="DL133"/>
        </row>
        <row r="134">
          <cell r="DJ134"/>
          <cell r="DK134"/>
          <cell r="DL134"/>
        </row>
        <row r="135">
          <cell r="DJ135"/>
          <cell r="DK135"/>
          <cell r="DL135"/>
        </row>
        <row r="136">
          <cell r="DJ136"/>
          <cell r="DK136"/>
          <cell r="DL136"/>
        </row>
        <row r="137">
          <cell r="DJ137"/>
          <cell r="DK137"/>
          <cell r="DL137"/>
        </row>
        <row r="138">
          <cell r="DJ138"/>
          <cell r="DK138"/>
          <cell r="DL138"/>
        </row>
        <row r="139">
          <cell r="DJ139"/>
          <cell r="DK139"/>
          <cell r="DL139"/>
        </row>
        <row r="140">
          <cell r="DJ140"/>
          <cell r="DK140"/>
          <cell r="DL140"/>
        </row>
        <row r="141">
          <cell r="DJ141"/>
          <cell r="DK141"/>
          <cell r="DL141"/>
        </row>
        <row r="142">
          <cell r="DJ142"/>
          <cell r="DK142"/>
          <cell r="DL142"/>
        </row>
        <row r="143">
          <cell r="DJ143"/>
          <cell r="DK143"/>
          <cell r="DL143"/>
        </row>
        <row r="144">
          <cell r="DJ144"/>
          <cell r="DK144"/>
          <cell r="DL144"/>
        </row>
        <row r="145">
          <cell r="DJ145"/>
          <cell r="DK145"/>
          <cell r="DL145"/>
        </row>
        <row r="146">
          <cell r="DJ146"/>
          <cell r="DK146"/>
          <cell r="DL146"/>
        </row>
        <row r="147">
          <cell r="DJ147"/>
          <cell r="DK147"/>
          <cell r="DL147"/>
        </row>
        <row r="148">
          <cell r="DJ148"/>
          <cell r="DK148"/>
          <cell r="DL148"/>
        </row>
        <row r="149">
          <cell r="DJ149"/>
          <cell r="DK149"/>
          <cell r="DL149"/>
        </row>
        <row r="150">
          <cell r="DJ150"/>
          <cell r="DK150"/>
          <cell r="DL150"/>
        </row>
        <row r="151">
          <cell r="DJ151"/>
          <cell r="DK151"/>
          <cell r="DL151"/>
        </row>
        <row r="152">
          <cell r="DJ152"/>
          <cell r="DK152"/>
          <cell r="DL152"/>
        </row>
        <row r="153">
          <cell r="DJ153"/>
          <cell r="DK153"/>
          <cell r="DL153"/>
        </row>
        <row r="154">
          <cell r="DJ154"/>
          <cell r="DK154"/>
          <cell r="DL154"/>
        </row>
        <row r="155">
          <cell r="DJ155"/>
          <cell r="DK155"/>
          <cell r="DL155"/>
        </row>
        <row r="156">
          <cell r="DJ156"/>
          <cell r="DK156"/>
          <cell r="DL156"/>
        </row>
        <row r="157">
          <cell r="DJ157"/>
          <cell r="DK157"/>
          <cell r="DL157"/>
        </row>
        <row r="158">
          <cell r="DJ158"/>
          <cell r="DK158"/>
          <cell r="DL158"/>
        </row>
        <row r="159">
          <cell r="DJ159"/>
          <cell r="DK159"/>
          <cell r="DL159"/>
        </row>
        <row r="160">
          <cell r="DJ160"/>
          <cell r="DK160"/>
          <cell r="DL160"/>
        </row>
        <row r="161">
          <cell r="DJ161"/>
          <cell r="DK161"/>
          <cell r="DL161"/>
        </row>
        <row r="162">
          <cell r="DJ162"/>
          <cell r="DK162"/>
          <cell r="DL162"/>
        </row>
        <row r="163">
          <cell r="DJ163"/>
          <cell r="DK163"/>
          <cell r="DL163"/>
        </row>
        <row r="164">
          <cell r="DJ164"/>
          <cell r="DK164"/>
          <cell r="DL164"/>
        </row>
        <row r="165">
          <cell r="DJ165"/>
          <cell r="DK165"/>
          <cell r="DL165"/>
        </row>
        <row r="166">
          <cell r="DJ166"/>
          <cell r="DK166"/>
          <cell r="DL166"/>
        </row>
        <row r="167">
          <cell r="DJ167"/>
          <cell r="DK167"/>
          <cell r="DL167"/>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172">
          <cell r="DJ172"/>
          <cell r="DK172"/>
          <cell r="DL172"/>
        </row>
        <row r="173">
          <cell r="DJ173"/>
          <cell r="DK173"/>
          <cell r="DL173"/>
        </row>
        <row r="174">
          <cell r="DJ174"/>
          <cell r="DK174"/>
          <cell r="DL174"/>
        </row>
        <row r="175">
          <cell r="DJ175"/>
          <cell r="DK175"/>
          <cell r="DL175"/>
        </row>
        <row r="176">
          <cell r="DJ176"/>
          <cell r="DK176"/>
          <cell r="DL176"/>
        </row>
        <row r="177">
          <cell r="DJ177"/>
          <cell r="DK177"/>
          <cell r="DL177"/>
        </row>
        <row r="178">
          <cell r="DJ178"/>
          <cell r="DK178"/>
          <cell r="DL178"/>
        </row>
        <row r="179">
          <cell r="DJ179"/>
          <cell r="DK179"/>
          <cell r="DL179"/>
        </row>
        <row r="180">
          <cell r="DJ180"/>
          <cell r="DK180"/>
          <cell r="DL180"/>
        </row>
        <row r="181">
          <cell r="DJ181"/>
          <cell r="DK181"/>
          <cell r="DL181"/>
        </row>
        <row r="182">
          <cell r="DJ182"/>
          <cell r="DK182"/>
          <cell r="DL182"/>
        </row>
        <row r="183">
          <cell r="DJ183"/>
          <cell r="DK183"/>
          <cell r="DL183"/>
        </row>
        <row r="184">
          <cell r="DJ184"/>
          <cell r="DK184"/>
          <cell r="DL184"/>
        </row>
        <row r="185">
          <cell r="DJ185"/>
          <cell r="DK185"/>
          <cell r="DL185"/>
        </row>
        <row r="186">
          <cell r="DJ186"/>
          <cell r="DK186"/>
          <cell r="DL186"/>
        </row>
        <row r="187">
          <cell r="DJ187"/>
          <cell r="DK187"/>
          <cell r="DL187"/>
        </row>
        <row r="188">
          <cell r="DJ188"/>
          <cell r="DK188"/>
          <cell r="DL188"/>
        </row>
        <row r="189">
          <cell r="DJ189"/>
          <cell r="DK189"/>
          <cell r="DL189"/>
        </row>
        <row r="190">
          <cell r="DJ190"/>
          <cell r="DK190"/>
          <cell r="DL190"/>
        </row>
        <row r="191">
          <cell r="DJ191"/>
          <cell r="DK191"/>
          <cell r="DL191"/>
        </row>
        <row r="192">
          <cell r="DJ192"/>
          <cell r="DK192"/>
          <cell r="DL192"/>
        </row>
        <row r="193">
          <cell r="DJ193"/>
          <cell r="DK193"/>
          <cell r="DL193"/>
        </row>
        <row r="194">
          <cell r="DJ194"/>
          <cell r="DK194"/>
          <cell r="DL194"/>
        </row>
        <row r="195">
          <cell r="DJ195"/>
          <cell r="DK195"/>
          <cell r="DL195"/>
        </row>
        <row r="196">
          <cell r="DJ196"/>
          <cell r="DK196"/>
          <cell r="DL196"/>
        </row>
        <row r="197">
          <cell r="DJ197"/>
          <cell r="DK197"/>
          <cell r="DL197"/>
        </row>
        <row r="198">
          <cell r="DJ198"/>
          <cell r="DK198"/>
          <cell r="DL198"/>
        </row>
        <row r="199">
          <cell r="DJ199"/>
          <cell r="DK199"/>
          <cell r="DL199"/>
        </row>
        <row r="200">
          <cell r="DJ200"/>
          <cell r="DK200"/>
          <cell r="DL200"/>
        </row>
        <row r="201">
          <cell r="DJ201"/>
          <cell r="DK201"/>
          <cell r="DL201"/>
        </row>
        <row r="202">
          <cell r="DJ202"/>
          <cell r="DK202"/>
          <cell r="DL202"/>
        </row>
        <row r="203">
          <cell r="DJ203"/>
          <cell r="DK203"/>
          <cell r="DL203"/>
        </row>
        <row r="204">
          <cell r="DJ204"/>
          <cell r="DK204"/>
          <cell r="DL204"/>
        </row>
        <row r="205">
          <cell r="DJ205"/>
          <cell r="DK205"/>
          <cell r="DL205"/>
        </row>
        <row r="206">
          <cell r="DJ206"/>
          <cell r="DK206"/>
          <cell r="DL206"/>
        </row>
        <row r="207">
          <cell r="DJ207"/>
          <cell r="DK207"/>
          <cell r="DL207"/>
        </row>
        <row r="208">
          <cell r="DJ208"/>
          <cell r="DK208"/>
          <cell r="DL208"/>
        </row>
        <row r="209">
          <cell r="DJ209"/>
          <cell r="DK209"/>
          <cell r="DL209"/>
        </row>
        <row r="210">
          <cell r="DJ210"/>
          <cell r="DK210"/>
          <cell r="DL210"/>
        </row>
        <row r="211">
          <cell r="DJ211"/>
          <cell r="DK211"/>
          <cell r="DL211"/>
        </row>
        <row r="212">
          <cell r="DJ212"/>
          <cell r="DK212"/>
          <cell r="DL212"/>
        </row>
        <row r="213">
          <cell r="DJ213"/>
          <cell r="DK213"/>
          <cell r="DL213"/>
        </row>
        <row r="214">
          <cell r="DJ214"/>
          <cell r="DK214"/>
          <cell r="DL214"/>
        </row>
        <row r="215">
          <cell r="DJ215"/>
          <cell r="DK215"/>
          <cell r="DL215"/>
        </row>
        <row r="216">
          <cell r="DJ216"/>
          <cell r="DK216"/>
          <cell r="DL216"/>
        </row>
        <row r="217">
          <cell r="DJ217"/>
          <cell r="DK217"/>
          <cell r="DL217"/>
        </row>
        <row r="218">
          <cell r="DJ218"/>
          <cell r="DK218"/>
          <cell r="DL218"/>
        </row>
        <row r="219">
          <cell r="DJ219"/>
          <cell r="DK219"/>
          <cell r="DL219"/>
        </row>
        <row r="220">
          <cell r="DJ220"/>
          <cell r="DK220"/>
          <cell r="DL220"/>
        </row>
        <row r="221">
          <cell r="DJ221"/>
          <cell r="DK221"/>
          <cell r="DL221"/>
        </row>
        <row r="222">
          <cell r="DJ222"/>
          <cell r="DK222"/>
          <cell r="DL222"/>
        </row>
        <row r="223">
          <cell r="DJ223"/>
          <cell r="DK223"/>
          <cell r="DL223"/>
        </row>
        <row r="224">
          <cell r="DJ224"/>
          <cell r="DK224"/>
          <cell r="DL224"/>
        </row>
        <row r="225">
          <cell r="DJ225"/>
          <cell r="DK225"/>
          <cell r="DL225"/>
        </row>
        <row r="226">
          <cell r="DJ226"/>
          <cell r="DK226"/>
          <cell r="DL226"/>
        </row>
        <row r="227">
          <cell r="DJ227"/>
          <cell r="DK227"/>
          <cell r="DL227"/>
        </row>
        <row r="228">
          <cell r="DJ228"/>
          <cell r="DK228"/>
          <cell r="DL228"/>
        </row>
        <row r="229">
          <cell r="DJ229"/>
          <cell r="DK229"/>
          <cell r="DL229"/>
        </row>
        <row r="230">
          <cell r="DJ230"/>
          <cell r="DK230"/>
          <cell r="DL230"/>
        </row>
        <row r="231">
          <cell r="DJ231"/>
          <cell r="DK231"/>
          <cell r="DL231"/>
        </row>
        <row r="232">
          <cell r="DJ232"/>
          <cell r="DK232"/>
          <cell r="DL232"/>
        </row>
        <row r="233">
          <cell r="DJ233"/>
          <cell r="DK233"/>
          <cell r="DL233"/>
        </row>
        <row r="234">
          <cell r="DJ234"/>
          <cell r="DK234"/>
          <cell r="DL234"/>
        </row>
        <row r="235">
          <cell r="DJ235"/>
          <cell r="DK235"/>
          <cell r="DL235"/>
        </row>
        <row r="236">
          <cell r="DJ236"/>
          <cell r="DK236"/>
          <cell r="DL236"/>
        </row>
        <row r="237">
          <cell r="DJ237"/>
          <cell r="DK237"/>
          <cell r="DL237"/>
        </row>
        <row r="238">
          <cell r="DJ238"/>
          <cell r="DK238"/>
          <cell r="DL238"/>
        </row>
        <row r="239">
          <cell r="DJ239"/>
          <cell r="DK239"/>
          <cell r="DL239"/>
        </row>
        <row r="240">
          <cell r="DJ240"/>
          <cell r="DK240"/>
          <cell r="DL240"/>
        </row>
        <row r="241">
          <cell r="DJ241"/>
          <cell r="DK241"/>
          <cell r="DL241"/>
        </row>
        <row r="242">
          <cell r="DJ242"/>
          <cell r="DK242"/>
          <cell r="DL242"/>
        </row>
        <row r="243">
          <cell r="DJ243"/>
          <cell r="DK243"/>
          <cell r="DL243"/>
        </row>
        <row r="244">
          <cell r="DJ244"/>
          <cell r="DK244"/>
          <cell r="DL244"/>
        </row>
        <row r="245">
          <cell r="DJ245"/>
          <cell r="DK245"/>
          <cell r="DL245"/>
        </row>
        <row r="246">
          <cell r="DJ246"/>
          <cell r="DK246"/>
          <cell r="DL246"/>
        </row>
        <row r="247">
          <cell r="DJ247"/>
          <cell r="DK247"/>
          <cell r="DL247"/>
        </row>
        <row r="248">
          <cell r="DJ248"/>
          <cell r="DK248"/>
          <cell r="DL248"/>
        </row>
        <row r="249">
          <cell r="DJ249"/>
          <cell r="DK249"/>
          <cell r="DL249"/>
        </row>
        <row r="250">
          <cell r="DJ250"/>
          <cell r="DK250"/>
          <cell r="DL250"/>
        </row>
        <row r="251">
          <cell r="DJ251"/>
          <cell r="DK251"/>
          <cell r="DL251"/>
        </row>
        <row r="252">
          <cell r="DJ252"/>
          <cell r="DK252"/>
          <cell r="DL252"/>
        </row>
        <row r="253">
          <cell r="DJ253"/>
          <cell r="DK253"/>
          <cell r="DL253"/>
        </row>
        <row r="254">
          <cell r="DJ254"/>
          <cell r="DK254"/>
          <cell r="DL254"/>
        </row>
        <row r="255">
          <cell r="DJ255"/>
          <cell r="DK255"/>
          <cell r="DL255"/>
        </row>
        <row r="256">
          <cell r="DJ256"/>
          <cell r="DK256"/>
          <cell r="DL256"/>
        </row>
        <row r="257">
          <cell r="DJ257"/>
          <cell r="DK257"/>
          <cell r="DL257"/>
        </row>
        <row r="258">
          <cell r="DJ258"/>
          <cell r="DK258"/>
          <cell r="DL258"/>
        </row>
        <row r="259">
          <cell r="DJ259"/>
          <cell r="DK259"/>
          <cell r="DL259"/>
        </row>
        <row r="260">
          <cell r="DJ260"/>
          <cell r="DK260"/>
          <cell r="DL260"/>
        </row>
        <row r="261">
          <cell r="DJ261"/>
          <cell r="DK261"/>
          <cell r="DL261"/>
        </row>
        <row r="262">
          <cell r="DJ262"/>
          <cell r="DK262"/>
          <cell r="DL262"/>
        </row>
        <row r="263">
          <cell r="DJ263"/>
          <cell r="DK263"/>
          <cell r="DL263"/>
        </row>
        <row r="264">
          <cell r="DJ264"/>
          <cell r="DK264"/>
          <cell r="DL264"/>
        </row>
        <row r="265">
          <cell r="DJ265"/>
          <cell r="DK265"/>
          <cell r="DL265"/>
        </row>
        <row r="266">
          <cell r="DJ266"/>
          <cell r="DK266"/>
          <cell r="DL266"/>
        </row>
        <row r="267">
          <cell r="DJ267"/>
          <cell r="DK267"/>
          <cell r="DL267"/>
        </row>
        <row r="268">
          <cell r="DJ268"/>
          <cell r="DK268"/>
          <cell r="DL268"/>
        </row>
        <row r="269">
          <cell r="DJ269"/>
          <cell r="DK269"/>
          <cell r="DL269"/>
        </row>
        <row r="270">
          <cell r="DJ270"/>
          <cell r="DK270"/>
          <cell r="DL270"/>
        </row>
        <row r="271">
          <cell r="DJ271"/>
          <cell r="DK271"/>
          <cell r="DL271"/>
        </row>
        <row r="272">
          <cell r="DJ272"/>
          <cell r="DK272"/>
          <cell r="DL272"/>
        </row>
        <row r="273">
          <cell r="DJ273"/>
          <cell r="DK273"/>
          <cell r="DL273"/>
        </row>
        <row r="274">
          <cell r="DJ274"/>
          <cell r="DK274"/>
          <cell r="DL274"/>
        </row>
        <row r="275">
          <cell r="DJ275"/>
          <cell r="DK275"/>
          <cell r="DL275"/>
        </row>
        <row r="276">
          <cell r="DJ276"/>
          <cell r="DK276"/>
          <cell r="DL276"/>
        </row>
        <row r="277">
          <cell r="DJ277"/>
          <cell r="DK277"/>
          <cell r="DL277"/>
        </row>
        <row r="278">
          <cell r="DJ278"/>
          <cell r="DK278"/>
          <cell r="DL278"/>
        </row>
        <row r="279">
          <cell r="DJ279"/>
          <cell r="DK279"/>
          <cell r="DL279"/>
        </row>
        <row r="280">
          <cell r="DJ280"/>
          <cell r="DK280"/>
          <cell r="DL280"/>
        </row>
        <row r="281">
          <cell r="DJ281"/>
          <cell r="DK281"/>
          <cell r="DL281"/>
        </row>
        <row r="282">
          <cell r="DJ282"/>
          <cell r="DK282"/>
          <cell r="DL282"/>
        </row>
        <row r="283">
          <cell r="DJ283"/>
          <cell r="DK283"/>
          <cell r="DL283"/>
        </row>
        <row r="284">
          <cell r="DJ284"/>
          <cell r="DK284"/>
          <cell r="DL284"/>
        </row>
        <row r="285">
          <cell r="DJ285"/>
          <cell r="DK285"/>
          <cell r="DL285"/>
        </row>
        <row r="286">
          <cell r="DJ286"/>
          <cell r="DK286"/>
          <cell r="DL286"/>
        </row>
        <row r="287">
          <cell r="DJ287"/>
          <cell r="DK287"/>
          <cell r="DL287"/>
        </row>
        <row r="288">
          <cell r="DJ288"/>
          <cell r="DK288"/>
          <cell r="DL288"/>
        </row>
        <row r="289">
          <cell r="DJ289"/>
          <cell r="DK289"/>
          <cell r="DL289"/>
        </row>
        <row r="290">
          <cell r="DJ290"/>
          <cell r="DK290"/>
          <cell r="DL290"/>
        </row>
        <row r="291">
          <cell r="DJ291"/>
          <cell r="DK291"/>
          <cell r="DL291"/>
        </row>
        <row r="292">
          <cell r="DJ292"/>
          <cell r="DK292"/>
          <cell r="DL292"/>
        </row>
        <row r="293">
          <cell r="DJ293"/>
          <cell r="DK293"/>
          <cell r="DL293"/>
        </row>
        <row r="294">
          <cell r="DJ294"/>
          <cell r="DK294"/>
          <cell r="DL294"/>
        </row>
        <row r="295">
          <cell r="DJ295"/>
          <cell r="DK295"/>
          <cell r="DL295"/>
        </row>
        <row r="296">
          <cell r="DJ296"/>
          <cell r="DK296"/>
          <cell r="DL296"/>
        </row>
        <row r="297">
          <cell r="DJ297"/>
          <cell r="DK297"/>
          <cell r="DL297"/>
        </row>
        <row r="298">
          <cell r="DJ298"/>
          <cell r="DK298"/>
          <cell r="DL298"/>
        </row>
        <row r="299">
          <cell r="DJ299"/>
          <cell r="DK299"/>
          <cell r="DL299"/>
        </row>
        <row r="300">
          <cell r="DJ300"/>
          <cell r="DK300"/>
          <cell r="DL300"/>
        </row>
        <row r="301">
          <cell r="DJ301"/>
          <cell r="DK301"/>
          <cell r="DL301"/>
        </row>
        <row r="302">
          <cell r="DJ302"/>
          <cell r="DK302"/>
          <cell r="DL302"/>
        </row>
        <row r="303">
          <cell r="DJ303"/>
          <cell r="DK303"/>
          <cell r="DL303"/>
        </row>
        <row r="304">
          <cell r="DJ304"/>
          <cell r="DK304"/>
          <cell r="DL304"/>
        </row>
        <row r="305">
          <cell r="DJ305"/>
          <cell r="DK305"/>
          <cell r="DL305"/>
        </row>
        <row r="306">
          <cell r="DJ306"/>
          <cell r="DK306"/>
          <cell r="DL306"/>
        </row>
        <row r="307">
          <cell r="DJ307"/>
          <cell r="DK307"/>
          <cell r="DL307"/>
        </row>
        <row r="308">
          <cell r="DJ308"/>
          <cell r="DK308"/>
          <cell r="DL308"/>
        </row>
        <row r="309">
          <cell r="DJ309"/>
          <cell r="DK309"/>
          <cell r="DL309"/>
        </row>
        <row r="310">
          <cell r="DJ310"/>
          <cell r="DK310"/>
          <cell r="DL310"/>
        </row>
        <row r="311">
          <cell r="DJ311"/>
          <cell r="DK311"/>
          <cell r="DL311"/>
        </row>
        <row r="312">
          <cell r="DJ312"/>
          <cell r="DK312"/>
          <cell r="DL312"/>
        </row>
        <row r="313">
          <cell r="DJ313"/>
          <cell r="DK313"/>
          <cell r="DL313"/>
        </row>
        <row r="314">
          <cell r="DJ314"/>
          <cell r="DK314"/>
          <cell r="DL314"/>
        </row>
        <row r="315">
          <cell r="DJ315"/>
          <cell r="DK315"/>
          <cell r="DL315"/>
        </row>
        <row r="316">
          <cell r="DJ316"/>
          <cell r="DK316"/>
          <cell r="DL316"/>
        </row>
        <row r="317">
          <cell r="DJ317"/>
          <cell r="DK317"/>
          <cell r="DL317"/>
        </row>
        <row r="318">
          <cell r="DJ318"/>
          <cell r="DK318"/>
          <cell r="DL318"/>
        </row>
        <row r="319">
          <cell r="DJ319"/>
          <cell r="DK319"/>
          <cell r="DL319"/>
        </row>
        <row r="320">
          <cell r="DJ320"/>
          <cell r="DK320"/>
          <cell r="DL320"/>
        </row>
        <row r="321">
          <cell r="DJ321"/>
          <cell r="DK321"/>
          <cell r="DL321"/>
        </row>
        <row r="322">
          <cell r="DJ322"/>
          <cell r="DK322"/>
          <cell r="DL322"/>
        </row>
        <row r="323">
          <cell r="DJ323"/>
          <cell r="DK323"/>
          <cell r="DL323"/>
        </row>
        <row r="324">
          <cell r="DJ324"/>
          <cell r="DK324"/>
          <cell r="DL324"/>
        </row>
        <row r="325">
          <cell r="DJ325"/>
          <cell r="DK325"/>
          <cell r="DL325"/>
        </row>
        <row r="326">
          <cell r="DJ326"/>
          <cell r="DK326"/>
          <cell r="DL326"/>
        </row>
        <row r="327">
          <cell r="DJ327"/>
          <cell r="DK327"/>
          <cell r="DL327"/>
        </row>
        <row r="328">
          <cell r="DJ328"/>
          <cell r="DK328"/>
          <cell r="DL328"/>
        </row>
        <row r="329">
          <cell r="DJ329"/>
          <cell r="DK329"/>
          <cell r="DL329"/>
        </row>
        <row r="330">
          <cell r="DJ330"/>
          <cell r="DK330"/>
          <cell r="DL330"/>
        </row>
        <row r="331">
          <cell r="DJ331"/>
          <cell r="DK331"/>
          <cell r="DL331"/>
        </row>
        <row r="332">
          <cell r="DJ332"/>
          <cell r="DK332"/>
          <cell r="DL332"/>
        </row>
        <row r="333">
          <cell r="DJ333"/>
          <cell r="DK333"/>
          <cell r="DL333"/>
        </row>
        <row r="334">
          <cell r="DJ334"/>
          <cell r="DK334"/>
          <cell r="DL334"/>
        </row>
        <row r="335">
          <cell r="DJ335"/>
          <cell r="DK335"/>
          <cell r="DL335"/>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2">
          <cell r="DJ2"/>
          <cell r="DK2"/>
          <cell r="DL2"/>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2">
          <cell r="DL2"/>
        </row>
        <row r="3">
          <cell r="DJ3" t="str">
            <v>Million cubic metres</v>
          </cell>
          <cell r="DK3" t="str">
            <v>Millions mètres cube</v>
          </cell>
          <cell r="DL3" t="str">
            <v>Миллионы кубических метров</v>
          </cell>
        </row>
        <row r="167">
          <cell r="DJ167"/>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row r="336">
          <cell r="DK336"/>
        </row>
        <row r="337">
          <cell r="DK337"/>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ckblatt"/>
      <sheetName val="Grundbegriffe"/>
      <sheetName val="Klassifikation"/>
      <sheetName val="Kokskohle"/>
      <sheetName val="Anthrazit"/>
      <sheetName val="Steinkohlen-Briketts"/>
      <sheetName val="Sonstige Steinkohle"/>
      <sheetName val="Steinkohle"/>
      <sheetName val="Subbituminöse Kohle"/>
      <sheetName val="Sonstige Braunkohle"/>
      <sheetName val="Braunkohle"/>
      <sheetName val="Braunkohlen-Briketts"/>
      <sheetName val="Brenntorf"/>
      <sheetName val="Koks"/>
      <sheetName val="Rohöl"/>
      <sheetName val="NGL"/>
      <sheetName val="Erdöl"/>
      <sheetName val="Steinkohleteer"/>
      <sheetName val="Benzol"/>
      <sheetName val="Feedstocks"/>
      <sheetName val="Sonstiger Raffinerieeinsatz"/>
      <sheetName val="Motorbenzin"/>
      <sheetName val="Industriebenzin"/>
      <sheetName val="Flugbenzin"/>
      <sheetName val="Benzin"/>
      <sheetName val="Flugturbinenkraftstoff"/>
      <sheetName val="Sonstiges Petroleum"/>
      <sheetName val="Petroleum"/>
      <sheetName val="Diesel"/>
      <sheetName val="Gasöl für Heizzwecke"/>
      <sheetName val="Heizöl&lt;1%"/>
      <sheetName val="Heizöl&gt;1%"/>
      <sheetName val="Heizöl"/>
      <sheetName val="Flüssiggas"/>
      <sheetName val="Naphta"/>
      <sheetName val="Bitumen"/>
      <sheetName val="Schmiermittel"/>
      <sheetName val="Petrolkoks"/>
      <sheetName val="Sonstige"/>
      <sheetName val="Sonstige Prod. d. Erdölverarb."/>
      <sheetName val="Raffinerie-Restgas"/>
      <sheetName val="Mischgas"/>
      <sheetName val="Erdgas"/>
      <sheetName val="Generatorgas"/>
      <sheetName val="Tiegelgas"/>
      <sheetName val="Hochofengas"/>
      <sheetName val="Gichtgas"/>
      <sheetName val="Kokereigas"/>
      <sheetName val="Industrieabfall"/>
      <sheetName val="Hausmüll nicht erneuerbar"/>
      <sheetName val="Brennbare Abfälle"/>
      <sheetName val="Scheitholz"/>
      <sheetName val="Hausmüll Bioanteil"/>
      <sheetName val="Pellets+Holzbriketts"/>
      <sheetName val="Holzabfall"/>
      <sheetName val="Holzkohle"/>
      <sheetName val="Ablaugen"/>
      <sheetName val="Deponiegas"/>
      <sheetName val="Klärgas"/>
      <sheetName val="Biogas"/>
      <sheetName val="Bioethanol"/>
      <sheetName val="Biodiesel"/>
      <sheetName val="Sonst. Biogene flüssig"/>
      <sheetName val="Sonst. Biogene fest"/>
      <sheetName val="Biogene Brenn- u. Treibstoffe"/>
      <sheetName val="Geothermie"/>
      <sheetName val="Umgebungswärme"/>
      <sheetName val="Solarwärme"/>
      <sheetName val="Reaktionswärme"/>
      <sheetName val="Umgebungswärme etc."/>
      <sheetName val="WK&lt;=1MW"/>
      <sheetName val="WK&lt;=10MW"/>
      <sheetName val="WK&gt;10MW"/>
      <sheetName val="Wasserkraft"/>
      <sheetName val="Wind"/>
      <sheetName val="Photovoltaik"/>
      <sheetName val="Wind und Photovoltaik"/>
      <sheetName val="Fernwärme"/>
      <sheetName val="Elektrische Energie"/>
      <sheetName val="KOHLE"/>
      <sheetName val="ÖL"/>
      <sheetName val="GAS"/>
      <sheetName val="ERNEUERBARE"/>
      <sheetName val="ABFÄLLE"/>
      <sheetName val="Gesamtenergiebilanz"/>
      <sheetName val="Wirkungsgrade"/>
      <sheetName val="Erneuerbare EU-Richtlinie"/>
      <sheetName val="checkFormal"/>
      <sheetName val="Erneuerbare_SHAR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row r="222">
          <cell r="AP222">
            <v>2570.7165031448549</v>
          </cell>
          <cell r="AQ222">
            <v>1670.128287946648</v>
          </cell>
          <cell r="AR222">
            <v>1756.9985830132446</v>
          </cell>
          <cell r="AS222">
            <v>1331.597900754186</v>
          </cell>
          <cell r="AT222">
            <v>1133.7910847992805</v>
          </cell>
          <cell r="AU222">
            <v>895.12021014270601</v>
          </cell>
          <cell r="AV222">
            <v>860.00528774529778</v>
          </cell>
          <cell r="AW222">
            <v>928.14217076994396</v>
          </cell>
          <cell r="AX222">
            <v>828.05402318314577</v>
          </cell>
        </row>
      </sheetData>
      <sheetData sheetId="80">
        <row r="222">
          <cell r="AP222">
            <v>55880.613079580355</v>
          </cell>
          <cell r="AQ222">
            <v>48338.446624728</v>
          </cell>
          <cell r="AR222">
            <v>44005.813280148352</v>
          </cell>
          <cell r="AS222">
            <v>47326.516100611567</v>
          </cell>
          <cell r="AT222">
            <v>41461.594254566764</v>
          </cell>
          <cell r="AU222">
            <v>43194.773198959789</v>
          </cell>
          <cell r="AV222">
            <v>42845.338423911664</v>
          </cell>
          <cell r="AW222">
            <v>43371.648942716696</v>
          </cell>
          <cell r="AX222">
            <v>39077.198461097425</v>
          </cell>
        </row>
      </sheetData>
      <sheetData sheetId="81"/>
      <sheetData sheetId="82"/>
      <sheetData sheetId="83"/>
      <sheetData sheetId="84"/>
      <sheetData sheetId="85"/>
      <sheetData sheetId="86"/>
      <sheetData sheetId="87"/>
      <sheetData sheetId="8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a"/>
      <sheetName val="Table3b"/>
      <sheetName val="Table3"/>
      <sheetName val="Table4"/>
      <sheetName val="Table5"/>
      <sheetName val="Table 6 (kt)"/>
      <sheetName val="Table 6 (Bbl)"/>
      <sheetName val="Remarks"/>
      <sheetName val="Parameter_mapping"/>
      <sheetName val="Parameters"/>
      <sheetName val="Parameters_table6"/>
      <sheetName val="Crude oil"/>
      <sheetName val="Natural gas liquids"/>
      <sheetName val="Refinery feedstocks"/>
      <sheetName val="Additives-oxygenates"/>
      <sheetName val="Of which biofuels"/>
      <sheetName val="Other hydrocarbons"/>
      <sheetName val="Total - crngfeed"/>
      <sheetName val="Refinery gas"/>
      <sheetName val="Ethane"/>
      <sheetName val="LPG"/>
      <sheetName val="Naphtha"/>
      <sheetName val="Total motor gasoline"/>
      <sheetName val="Biogasoline"/>
      <sheetName val="Non biogasoline"/>
      <sheetName val="Aviation gasoline"/>
      <sheetName val="Gasoline type jet fuel"/>
      <sheetName val="Kerosene type jet fuel"/>
      <sheetName val="Bio jet kerosene"/>
      <sheetName val="Non-bio jet kerosene"/>
      <sheetName val="Other kerosene"/>
      <sheetName val="Road diesel"/>
      <sheetName val="Heating and other gasoil"/>
      <sheetName val="Gas-Diesel Oil"/>
      <sheetName val="Biodiesel"/>
      <sheetName val="Non-bio gasdiesel oil"/>
      <sheetName val="Total fuel oil"/>
      <sheetName val="Fuel oil - low sulphur"/>
      <sheetName val="Fuel oil - high sulphur"/>
      <sheetName val="White spirit SBP"/>
      <sheetName val="Lubricants"/>
      <sheetName val="Bitumen"/>
      <sheetName val="Paraffin wax"/>
      <sheetName val="Petroleum coke"/>
      <sheetName val="Other products"/>
      <sheetName val="Total products"/>
      <sheetName val="2018-Errors"/>
      <sheetName val="2008-Errors"/>
      <sheetName val="2007-Errors"/>
      <sheetName val="2005-Error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32">
          <cell r="Y32">
            <v>46000</v>
          </cell>
          <cell r="Z32">
            <v>46000</v>
          </cell>
          <cell r="AA32">
            <v>46120</v>
          </cell>
          <cell r="AB32">
            <v>46000</v>
          </cell>
          <cell r="AC32">
            <v>46120</v>
          </cell>
          <cell r="AD32">
            <v>46120</v>
          </cell>
          <cell r="AE32">
            <v>46120</v>
          </cell>
          <cell r="AF32">
            <v>46120</v>
          </cell>
          <cell r="AG32">
            <v>46120</v>
          </cell>
        </row>
      </sheetData>
      <sheetData sheetId="27"/>
      <sheetData sheetId="28"/>
      <sheetData sheetId="29">
        <row r="11">
          <cell r="U11">
            <v>9.32</v>
          </cell>
        </row>
      </sheetData>
      <sheetData sheetId="30"/>
      <sheetData sheetId="31"/>
      <sheetData sheetId="32"/>
      <sheetData sheetId="33"/>
      <sheetData sheetId="34"/>
      <sheetData sheetId="35"/>
      <sheetData sheetId="36"/>
      <sheetData sheetId="37"/>
      <sheetData sheetId="38">
        <row r="32">
          <cell r="Y32">
            <v>42800</v>
          </cell>
          <cell r="Z32">
            <v>42800</v>
          </cell>
          <cell r="AA32">
            <v>42790.445</v>
          </cell>
          <cell r="AB32">
            <v>42788</v>
          </cell>
          <cell r="AC32">
            <v>42940</v>
          </cell>
          <cell r="AD32">
            <v>42940.004999999997</v>
          </cell>
          <cell r="AE32">
            <v>42803.993000000002</v>
          </cell>
          <cell r="AF32">
            <v>42804</v>
          </cell>
          <cell r="AG32">
            <v>42804</v>
          </cell>
        </row>
      </sheetData>
      <sheetData sheetId="39">
        <row r="92">
          <cell r="Y92">
            <v>1240.9880000000001</v>
          </cell>
        </row>
      </sheetData>
      <sheetData sheetId="40"/>
      <sheetData sheetId="41"/>
      <sheetData sheetId="42"/>
      <sheetData sheetId="43"/>
      <sheetData sheetId="44"/>
      <sheetData sheetId="45"/>
      <sheetData sheetId="46"/>
      <sheetData sheetId="47"/>
      <sheetData sheetId="48"/>
      <sheetData sheetId="49"/>
      <sheetData sheetId="50"/>
      <sheetData sheetId="51">
        <row r="198">
          <cell r="Y198">
            <v>1304.585</v>
          </cell>
        </row>
      </sheetData>
      <sheetData sheetId="52"/>
      <sheetData sheetId="53"/>
      <sheetData sheetId="54"/>
      <sheetData sheetId="5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 val="Info"/>
    </sheetNames>
    <sheetDataSet>
      <sheetData sheetId="0">
        <row r="21">
          <cell r="AZ21">
            <v>8351643</v>
          </cell>
          <cell r="BA21">
            <v>8375164</v>
          </cell>
          <cell r="BB21">
            <v>8408121</v>
          </cell>
          <cell r="BC21">
            <v>8451860</v>
          </cell>
          <cell r="BD21">
            <v>8507786</v>
          </cell>
          <cell r="BE21">
            <v>8584926</v>
          </cell>
          <cell r="BF21">
            <v>8700471</v>
          </cell>
          <cell r="BG21">
            <v>8772865</v>
          </cell>
          <cell r="BH21">
            <v>8822267</v>
          </cell>
        </row>
        <row r="33">
          <cell r="AZ33">
            <v>7785806</v>
          </cell>
          <cell r="BA33">
            <v>7870134</v>
          </cell>
          <cell r="BB33">
            <v>7954662</v>
          </cell>
          <cell r="BC33">
            <v>8039060</v>
          </cell>
          <cell r="BD33">
            <v>8139631</v>
          </cell>
          <cell r="BE33">
            <v>8237666</v>
          </cell>
          <cell r="BF33">
            <v>8327126</v>
          </cell>
          <cell r="BG33">
            <v>8419550</v>
          </cell>
          <cell r="BH33">
            <v>8484130</v>
          </cell>
        </row>
      </sheetData>
      <sheetData sheetId="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trlProp" Target="../ctrlProps/ctrlProp2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25.bin"/><Relationship Id="rId4" Type="http://schemas.openxmlformats.org/officeDocument/2006/relationships/ctrlProp" Target="../ctrlProps/ctrlProp2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6.bin"/><Relationship Id="rId4" Type="http://schemas.openxmlformats.org/officeDocument/2006/relationships/ctrlProp" Target="../ctrlProps/ctrlProp2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7.bin"/><Relationship Id="rId4" Type="http://schemas.openxmlformats.org/officeDocument/2006/relationships/ctrlProp" Target="../ctrlProps/ctrlProp2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8.bin"/><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9.bin"/><Relationship Id="rId4" Type="http://schemas.openxmlformats.org/officeDocument/2006/relationships/ctrlProp" Target="../ctrlProps/ctrlProp29.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E44"/>
  <sheetViews>
    <sheetView zoomScale="90" zoomScaleNormal="90" workbookViewId="0">
      <selection activeCell="D15" sqref="D15"/>
    </sheetView>
  </sheetViews>
  <sheetFormatPr baseColWidth="10" defaultColWidth="9.140625" defaultRowHeight="15" x14ac:dyDescent="0.25"/>
  <cols>
    <col min="1" max="1" width="15.5703125" style="19" customWidth="1"/>
    <col min="2" max="3" width="30.7109375" style="19" customWidth="1"/>
    <col min="4" max="4" width="42.5703125" style="19" customWidth="1"/>
    <col min="5" max="5" width="15.5703125" style="19" customWidth="1"/>
    <col min="6" max="6" width="24.7109375" style="19" customWidth="1"/>
    <col min="7" max="16384" width="9.140625" style="19"/>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41" t="s">
        <v>144</v>
      </c>
      <c r="B13" s="141"/>
      <c r="C13" s="141"/>
      <c r="D13" s="141"/>
      <c r="E13" s="141"/>
    </row>
    <row r="14" spans="1:5" ht="15" customHeight="1" thickBot="1" x14ac:dyDescent="0.3">
      <c r="A14" s="23"/>
      <c r="B14" s="24"/>
      <c r="C14" s="24"/>
      <c r="D14" s="24"/>
      <c r="E14" s="24"/>
    </row>
    <row r="15" spans="1:5" ht="21" customHeight="1" thickBot="1" x14ac:dyDescent="0.3">
      <c r="A15" s="23"/>
      <c r="B15" s="23"/>
      <c r="C15" s="49" t="s">
        <v>32</v>
      </c>
      <c r="D15" s="53" t="s">
        <v>47</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42"/>
      <c r="D19" s="143"/>
      <c r="E19" s="23"/>
    </row>
    <row r="20" spans="1:5" ht="15" customHeight="1" thickBot="1" x14ac:dyDescent="0.3">
      <c r="A20" s="23"/>
      <c r="B20" s="27"/>
      <c r="C20" s="24"/>
      <c r="D20" s="24"/>
      <c r="E20" s="23"/>
    </row>
    <row r="21" spans="1:5" ht="21" customHeight="1" thickBot="1" x14ac:dyDescent="0.3">
      <c r="A21" s="23"/>
      <c r="B21" s="27" t="s">
        <v>35</v>
      </c>
      <c r="C21" s="142"/>
      <c r="D21" s="143"/>
      <c r="E21" s="23"/>
    </row>
    <row r="22" spans="1:5" ht="15" customHeight="1" thickBot="1" x14ac:dyDescent="0.3">
      <c r="A22" s="23"/>
      <c r="B22" s="27"/>
      <c r="C22" s="24"/>
      <c r="D22" s="24"/>
      <c r="E22" s="23"/>
    </row>
    <row r="23" spans="1:5" ht="21" customHeight="1" thickBot="1" x14ac:dyDescent="0.3">
      <c r="A23" s="23"/>
      <c r="B23" s="27" t="s">
        <v>36</v>
      </c>
      <c r="C23" s="142"/>
      <c r="D23" s="143"/>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2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40" t="s">
        <v>142</v>
      </c>
      <c r="B37" s="140"/>
      <c r="C37" s="140"/>
      <c r="D37" s="140"/>
      <c r="E37" s="140"/>
    </row>
    <row r="38" spans="1:5" ht="15" customHeight="1" x14ac:dyDescent="0.25">
      <c r="A38" s="50"/>
      <c r="B38" s="50"/>
      <c r="C38" s="50"/>
      <c r="D38" s="50"/>
      <c r="E38" s="50"/>
    </row>
    <row r="39" spans="1:5" ht="21" customHeight="1" x14ac:dyDescent="0.25">
      <c r="A39" s="140" t="s">
        <v>39</v>
      </c>
      <c r="B39" s="140"/>
      <c r="C39" s="140"/>
      <c r="D39" s="140"/>
      <c r="E39" s="140"/>
    </row>
    <row r="40" spans="1:5" ht="45" customHeight="1" x14ac:dyDescent="0.25">
      <c r="A40" s="140" t="s">
        <v>148</v>
      </c>
      <c r="B40" s="140"/>
      <c r="C40" s="140"/>
      <c r="D40" s="140"/>
      <c r="E40" s="140"/>
    </row>
    <row r="41" spans="1:5" ht="21" customHeight="1" x14ac:dyDescent="0.25">
      <c r="A41" s="50"/>
      <c r="B41" s="49" t="s">
        <v>34</v>
      </c>
      <c r="C41" s="51" t="s">
        <v>40</v>
      </c>
      <c r="D41" s="51"/>
      <c r="E41" s="51"/>
    </row>
    <row r="42" spans="1:5" ht="21" customHeight="1" x14ac:dyDescent="0.25">
      <c r="A42" s="50"/>
      <c r="B42" s="49" t="s">
        <v>37</v>
      </c>
      <c r="C42" s="139" t="s">
        <v>314</v>
      </c>
      <c r="D42" s="51"/>
      <c r="E42" s="51"/>
    </row>
    <row r="43" spans="1:5" ht="21" customHeight="1" x14ac:dyDescent="0.25">
      <c r="A43" s="50"/>
      <c r="B43" s="49" t="s">
        <v>38</v>
      </c>
      <c r="C43" s="52" t="s">
        <v>41</v>
      </c>
      <c r="D43" s="51"/>
      <c r="E43" s="51"/>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xr:uid="{00000000-0002-0000-0000-000000000000}">
      <formula1>Submission_country</formula1>
    </dataValidation>
  </dataValidations>
  <hyperlinks>
    <hyperlink ref="C42" r:id="rId2" xr:uid="{00000000-0004-0000-0000-000000000000}"/>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C82"/>
  <sheetViews>
    <sheetView zoomScale="90" zoomScaleNormal="90" workbookViewId="0"/>
  </sheetViews>
  <sheetFormatPr baseColWidth="10"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44" t="s">
        <v>145</v>
      </c>
      <c r="C2" s="145"/>
    </row>
    <row r="3" spans="2:3" ht="9.75" customHeight="1" x14ac:dyDescent="0.25">
      <c r="B3" s="60"/>
      <c r="C3" s="61"/>
    </row>
    <row r="4" spans="2:3" ht="36" customHeight="1" x14ac:dyDescent="0.25">
      <c r="B4" s="146" t="s">
        <v>82</v>
      </c>
      <c r="C4" s="62" t="s">
        <v>83</v>
      </c>
    </row>
    <row r="5" spans="2:3" ht="36" customHeight="1" x14ac:dyDescent="0.25">
      <c r="B5" s="147"/>
      <c r="C5" s="63" t="s">
        <v>134</v>
      </c>
    </row>
    <row r="6" spans="2:3" ht="36" customHeight="1" x14ac:dyDescent="0.25">
      <c r="B6" s="147"/>
      <c r="C6" s="63" t="s">
        <v>146</v>
      </c>
    </row>
    <row r="7" spans="2:3" ht="45" customHeight="1" x14ac:dyDescent="0.25">
      <c r="B7" s="148"/>
      <c r="C7" s="64" t="s">
        <v>84</v>
      </c>
    </row>
    <row r="8" spans="2:3" ht="9.75" customHeight="1" x14ac:dyDescent="0.25">
      <c r="B8" s="65"/>
      <c r="C8" s="66"/>
    </row>
    <row r="9" spans="2:3" ht="30" customHeight="1" x14ac:dyDescent="0.25">
      <c r="B9" s="67" t="s">
        <v>112</v>
      </c>
      <c r="C9" s="68"/>
    </row>
    <row r="10" spans="2:3" ht="9" customHeight="1" x14ac:dyDescent="0.25">
      <c r="B10" s="69"/>
      <c r="C10" s="63"/>
    </row>
    <row r="11" spans="2:3" ht="30" customHeight="1" x14ac:dyDescent="0.25">
      <c r="B11" s="70" t="s">
        <v>13</v>
      </c>
      <c r="C11" s="63" t="s">
        <v>147</v>
      </c>
    </row>
    <row r="12" spans="2:3" ht="15" customHeight="1" x14ac:dyDescent="0.25">
      <c r="B12" s="69"/>
      <c r="C12" s="63"/>
    </row>
    <row r="13" spans="2:3" ht="60" customHeight="1" x14ac:dyDescent="0.25">
      <c r="B13" s="70" t="s">
        <v>15</v>
      </c>
      <c r="C13" s="63" t="s">
        <v>136</v>
      </c>
    </row>
    <row r="14" spans="2:3" ht="15" customHeight="1" x14ac:dyDescent="0.25">
      <c r="B14" s="69"/>
      <c r="C14" s="63"/>
    </row>
    <row r="15" spans="2:3" ht="45" customHeight="1" x14ac:dyDescent="0.25">
      <c r="B15" s="149" t="s">
        <v>29</v>
      </c>
      <c r="C15" s="63" t="s">
        <v>312</v>
      </c>
    </row>
    <row r="16" spans="2:3" ht="63" customHeight="1" x14ac:dyDescent="0.25">
      <c r="B16" s="150"/>
      <c r="C16" s="63" t="s">
        <v>310</v>
      </c>
    </row>
    <row r="17" spans="2:3" ht="30" hidden="1" customHeight="1" x14ac:dyDescent="0.25">
      <c r="B17" s="69"/>
      <c r="C17" s="63" t="s">
        <v>120</v>
      </c>
    </row>
    <row r="18" spans="2:3" ht="63" hidden="1" customHeight="1" x14ac:dyDescent="0.25">
      <c r="B18" s="69"/>
      <c r="C18" s="63" t="s">
        <v>121</v>
      </c>
    </row>
    <row r="19" spans="2:3" ht="135" hidden="1" customHeight="1" x14ac:dyDescent="0.25">
      <c r="B19" s="69"/>
      <c r="C19" s="63" t="s">
        <v>122</v>
      </c>
    </row>
    <row r="20" spans="2:3" ht="60" hidden="1" customHeight="1" x14ac:dyDescent="0.25">
      <c r="B20" s="69"/>
      <c r="C20" s="63" t="s">
        <v>123</v>
      </c>
    </row>
    <row r="21" spans="2:3" ht="15" customHeight="1" x14ac:dyDescent="0.25">
      <c r="B21" s="69"/>
      <c r="C21" s="63"/>
    </row>
    <row r="22" spans="2:3" ht="30" customHeight="1" x14ac:dyDescent="0.25">
      <c r="B22" s="70" t="s">
        <v>156</v>
      </c>
      <c r="C22" s="63" t="s">
        <v>309</v>
      </c>
    </row>
    <row r="23" spans="2:3" ht="15" customHeight="1" x14ac:dyDescent="0.25">
      <c r="B23" s="69"/>
      <c r="C23" s="63"/>
    </row>
    <row r="24" spans="2:3" ht="75" customHeight="1" x14ac:dyDescent="0.25">
      <c r="B24" s="70" t="s">
        <v>110</v>
      </c>
      <c r="C24" s="63" t="s">
        <v>313</v>
      </c>
    </row>
    <row r="25" spans="2:3" ht="9" customHeight="1" x14ac:dyDescent="0.25">
      <c r="B25" s="71"/>
      <c r="C25" s="63"/>
    </row>
    <row r="26" spans="2:3" ht="15" customHeight="1" x14ac:dyDescent="0.25">
      <c r="B26" s="72" t="s">
        <v>124</v>
      </c>
      <c r="C26" s="63"/>
    </row>
    <row r="27" spans="2:3" ht="60" customHeight="1" x14ac:dyDescent="0.25">
      <c r="B27" s="69" t="s">
        <v>113</v>
      </c>
      <c r="C27" s="63" t="s">
        <v>308</v>
      </c>
    </row>
    <row r="28" spans="2:3" ht="9" customHeight="1" x14ac:dyDescent="0.25">
      <c r="B28" s="69"/>
      <c r="C28" s="63"/>
    </row>
    <row r="29" spans="2:3" ht="30" customHeight="1" x14ac:dyDescent="0.25">
      <c r="B29" s="69" t="s">
        <v>114</v>
      </c>
      <c r="C29" s="63" t="s">
        <v>137</v>
      </c>
    </row>
    <row r="30" spans="2:3" ht="9" customHeight="1" x14ac:dyDescent="0.25">
      <c r="B30" s="69"/>
      <c r="C30" s="63"/>
    </row>
    <row r="31" spans="2:3" ht="105" customHeight="1" x14ac:dyDescent="0.25">
      <c r="B31" s="151" t="s">
        <v>115</v>
      </c>
      <c r="C31" s="63" t="s">
        <v>311</v>
      </c>
    </row>
    <row r="32" spans="2:3" ht="105" customHeight="1" x14ac:dyDescent="0.25">
      <c r="B32" s="152"/>
      <c r="C32" s="63" t="s">
        <v>119</v>
      </c>
    </row>
    <row r="33" spans="1:3" ht="15" customHeight="1" x14ac:dyDescent="0.25">
      <c r="B33" s="69"/>
      <c r="C33" s="63"/>
    </row>
    <row r="34" spans="1:3" ht="30" customHeight="1" x14ac:dyDescent="0.25">
      <c r="B34" s="72" t="s">
        <v>129</v>
      </c>
      <c r="C34" s="63" t="s">
        <v>130</v>
      </c>
    </row>
    <row r="35" spans="1:3" ht="15" customHeight="1" x14ac:dyDescent="0.25">
      <c r="B35" s="69"/>
      <c r="C35" s="63"/>
    </row>
    <row r="36" spans="1:3" ht="18" customHeight="1" x14ac:dyDescent="0.25">
      <c r="B36" s="70" t="s">
        <v>111</v>
      </c>
      <c r="C36" s="63" t="s">
        <v>125</v>
      </c>
    </row>
    <row r="37" spans="1:3" ht="9" customHeight="1" x14ac:dyDescent="0.25">
      <c r="B37" s="71"/>
      <c r="C37" s="63"/>
    </row>
    <row r="38" spans="1:3" ht="15" customHeight="1" x14ac:dyDescent="0.25">
      <c r="B38" s="72" t="s">
        <v>124</v>
      </c>
      <c r="C38" s="63"/>
    </row>
    <row r="39" spans="1:3" ht="30" customHeight="1" x14ac:dyDescent="0.25">
      <c r="B39" s="69" t="s">
        <v>116</v>
      </c>
      <c r="C39" s="63" t="s">
        <v>126</v>
      </c>
    </row>
    <row r="40" spans="1:3" ht="9" customHeight="1" x14ac:dyDescent="0.25">
      <c r="B40" s="69"/>
      <c r="C40" s="63"/>
    </row>
    <row r="41" spans="1:3" ht="30" customHeight="1" x14ac:dyDescent="0.25">
      <c r="B41" s="151" t="s">
        <v>117</v>
      </c>
      <c r="C41" s="63" t="s">
        <v>127</v>
      </c>
    </row>
    <row r="42" spans="1:3" ht="59.25" customHeight="1" x14ac:dyDescent="0.25">
      <c r="B42" s="152"/>
      <c r="C42" s="63" t="s">
        <v>172</v>
      </c>
    </row>
    <row r="43" spans="1:3" ht="9" customHeight="1" x14ac:dyDescent="0.25">
      <c r="A43" s="43"/>
      <c r="B43" s="69"/>
      <c r="C43" s="63"/>
    </row>
    <row r="44" spans="1:3" ht="90" customHeight="1" x14ac:dyDescent="0.25">
      <c r="B44" s="69" t="s">
        <v>118</v>
      </c>
      <c r="C44" s="63" t="s">
        <v>128</v>
      </c>
    </row>
    <row r="45" spans="1:3" ht="14.25" customHeight="1" x14ac:dyDescent="0.25">
      <c r="B45" s="69"/>
      <c r="C45" s="63"/>
    </row>
    <row r="46" spans="1:3" ht="42" customHeight="1" x14ac:dyDescent="0.25">
      <c r="B46" s="69" t="s">
        <v>184</v>
      </c>
      <c r="C46" s="63" t="s">
        <v>186</v>
      </c>
    </row>
    <row r="47" spans="1:3" ht="15" customHeight="1" x14ac:dyDescent="0.25">
      <c r="B47" s="69"/>
      <c r="C47" s="63"/>
    </row>
    <row r="48" spans="1:3" ht="30" customHeight="1" x14ac:dyDescent="0.25">
      <c r="B48" s="72" t="s">
        <v>129</v>
      </c>
      <c r="C48" s="63" t="s">
        <v>131</v>
      </c>
    </row>
    <row r="49" spans="2:3" ht="18" customHeight="1" x14ac:dyDescent="0.25">
      <c r="B49" s="73"/>
      <c r="C49" s="64"/>
    </row>
    <row r="50" spans="2:3" ht="9" customHeight="1" x14ac:dyDescent="0.25">
      <c r="B50" s="74"/>
      <c r="C50" s="74"/>
    </row>
    <row r="51" spans="2:3" ht="36" customHeight="1" x14ac:dyDescent="0.25">
      <c r="B51" s="75" t="s">
        <v>85</v>
      </c>
      <c r="C51" s="68"/>
    </row>
    <row r="52" spans="2:3" ht="24" customHeight="1" x14ac:dyDescent="0.25">
      <c r="B52" s="76" t="s">
        <v>86</v>
      </c>
      <c r="C52" s="63"/>
    </row>
    <row r="53" spans="2:3" ht="12" customHeight="1" x14ac:dyDescent="0.25">
      <c r="B53" s="77"/>
      <c r="C53" s="63"/>
    </row>
    <row r="54" spans="2:3" x14ac:dyDescent="0.25">
      <c r="B54" s="71" t="s">
        <v>93</v>
      </c>
      <c r="C54" s="63" t="s">
        <v>87</v>
      </c>
    </row>
    <row r="55" spans="2:3" ht="12" customHeight="1" x14ac:dyDescent="0.25">
      <c r="B55" s="77"/>
      <c r="C55" s="63"/>
    </row>
    <row r="56" spans="2:3" x14ac:dyDescent="0.25">
      <c r="B56" s="71" t="s">
        <v>94</v>
      </c>
      <c r="C56" s="63" t="s">
        <v>180</v>
      </c>
    </row>
    <row r="57" spans="2:3" ht="30" x14ac:dyDescent="0.25">
      <c r="B57" s="77"/>
      <c r="C57" s="63" t="s">
        <v>88</v>
      </c>
    </row>
    <row r="58" spans="2:3" ht="12" customHeight="1" x14ac:dyDescent="0.25">
      <c r="B58" s="77"/>
      <c r="C58" s="63"/>
    </row>
    <row r="59" spans="2:3" x14ac:dyDescent="0.25">
      <c r="B59" s="71" t="s">
        <v>95</v>
      </c>
      <c r="C59" s="63" t="s">
        <v>181</v>
      </c>
    </row>
    <row r="60" spans="2:3" x14ac:dyDescent="0.25">
      <c r="B60" s="77"/>
      <c r="C60" s="63" t="s">
        <v>89</v>
      </c>
    </row>
    <row r="61" spans="2:3" ht="12" customHeight="1" x14ac:dyDescent="0.25">
      <c r="B61" s="77"/>
      <c r="C61" s="63"/>
    </row>
    <row r="62" spans="2:3" x14ac:dyDescent="0.25">
      <c r="B62" s="71" t="s">
        <v>96</v>
      </c>
      <c r="C62" s="63" t="s">
        <v>182</v>
      </c>
    </row>
    <row r="63" spans="2:3" ht="18" customHeight="1" x14ac:dyDescent="0.25">
      <c r="B63" s="77"/>
      <c r="C63" s="63" t="s">
        <v>90</v>
      </c>
    </row>
    <row r="64" spans="2:3" ht="12" customHeight="1" x14ac:dyDescent="0.25">
      <c r="B64" s="77"/>
      <c r="C64" s="63"/>
    </row>
    <row r="65" spans="2:3" x14ac:dyDescent="0.25">
      <c r="B65" s="71" t="s">
        <v>97</v>
      </c>
      <c r="C65" s="63" t="s">
        <v>99</v>
      </c>
    </row>
    <row r="66" spans="2:3" ht="12" customHeight="1" x14ac:dyDescent="0.25">
      <c r="B66" s="77"/>
      <c r="C66" s="63"/>
    </row>
    <row r="67" spans="2:3" ht="30" x14ac:dyDescent="0.25">
      <c r="B67" s="71" t="s">
        <v>98</v>
      </c>
      <c r="C67" s="63" t="s">
        <v>91</v>
      </c>
    </row>
    <row r="68" spans="2:3" ht="12" customHeight="1" x14ac:dyDescent="0.25">
      <c r="B68" s="77"/>
      <c r="C68" s="63"/>
    </row>
    <row r="69" spans="2:3" ht="12" customHeight="1" x14ac:dyDescent="0.25">
      <c r="B69" s="77"/>
      <c r="C69" s="63"/>
    </row>
    <row r="70" spans="2:3" ht="45" x14ac:dyDescent="0.25">
      <c r="B70" s="78" t="s">
        <v>5</v>
      </c>
      <c r="C70" s="64" t="s">
        <v>92</v>
      </c>
    </row>
    <row r="71" spans="2:3" ht="9" customHeight="1" x14ac:dyDescent="0.25">
      <c r="B71" s="74"/>
      <c r="C71" s="74"/>
    </row>
    <row r="72" spans="2:3" ht="45" x14ac:dyDescent="0.25">
      <c r="B72" s="87" t="s">
        <v>135</v>
      </c>
      <c r="C72" s="79" t="s">
        <v>183</v>
      </c>
    </row>
    <row r="73" spans="2:3" ht="9" customHeight="1" x14ac:dyDescent="0.25">
      <c r="B73" s="74"/>
      <c r="C73" s="74"/>
    </row>
    <row r="74" spans="2:3" ht="24" customHeight="1" x14ac:dyDescent="0.25">
      <c r="B74" s="80" t="s">
        <v>100</v>
      </c>
      <c r="C74" s="81"/>
    </row>
    <row r="75" spans="2:3" ht="12" customHeight="1" x14ac:dyDescent="0.25">
      <c r="B75" s="82"/>
      <c r="C75" s="83"/>
    </row>
    <row r="76" spans="2:3" x14ac:dyDescent="0.25">
      <c r="B76" s="84" t="s">
        <v>102</v>
      </c>
      <c r="C76" s="83" t="s">
        <v>101</v>
      </c>
    </row>
    <row r="77" spans="2:3" x14ac:dyDescent="0.25">
      <c r="B77" s="84" t="s">
        <v>103</v>
      </c>
      <c r="C77" s="83" t="s">
        <v>109</v>
      </c>
    </row>
    <row r="78" spans="2:3" x14ac:dyDescent="0.25">
      <c r="B78" s="84" t="s">
        <v>132</v>
      </c>
      <c r="C78" s="83" t="s">
        <v>133</v>
      </c>
    </row>
    <row r="79" spans="2:3" x14ac:dyDescent="0.25">
      <c r="B79" s="84" t="s">
        <v>16</v>
      </c>
      <c r="C79" s="83" t="s">
        <v>106</v>
      </c>
    </row>
    <row r="80" spans="2:3" x14ac:dyDescent="0.25">
      <c r="B80" s="84" t="s">
        <v>107</v>
      </c>
      <c r="C80" s="83" t="s">
        <v>104</v>
      </c>
    </row>
    <row r="81" spans="2:3" x14ac:dyDescent="0.25">
      <c r="B81" s="85" t="s">
        <v>108</v>
      </c>
      <c r="C81" s="86"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K9" sqref="K9"/>
    </sheetView>
  </sheetViews>
  <sheetFormatPr baseColWidth="10"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58" t="s">
        <v>0</v>
      </c>
      <c r="B1" s="159"/>
      <c r="C1" s="20"/>
      <c r="D1" s="1"/>
      <c r="E1" s="2"/>
      <c r="F1" s="2"/>
      <c r="G1" s="2"/>
      <c r="H1" s="2"/>
      <c r="I1" s="2"/>
      <c r="J1" s="2"/>
      <c r="K1" s="2"/>
      <c r="L1" s="2"/>
      <c r="M1" s="2"/>
      <c r="N1" s="2"/>
      <c r="O1" s="2"/>
    </row>
    <row r="2" spans="1:134" ht="18" customHeight="1" x14ac:dyDescent="0.25">
      <c r="A2" s="160"/>
      <c r="B2" s="161"/>
      <c r="C2" s="1"/>
      <c r="D2" s="1"/>
      <c r="E2" s="5"/>
      <c r="F2" s="3"/>
      <c r="G2" s="3"/>
      <c r="H2" s="3"/>
      <c r="I2" s="3"/>
      <c r="J2" s="3"/>
      <c r="K2" s="3"/>
      <c r="L2" s="3"/>
      <c r="M2" s="3"/>
      <c r="N2" s="3"/>
      <c r="O2" s="3"/>
    </row>
    <row r="3" spans="1:134" ht="18" customHeight="1" x14ac:dyDescent="0.3">
      <c r="A3" s="162" t="s">
        <v>12</v>
      </c>
      <c r="B3" s="163"/>
      <c r="C3" s="1"/>
      <c r="D3" s="1"/>
      <c r="E3" s="5"/>
      <c r="F3" s="3"/>
      <c r="G3" s="3"/>
      <c r="H3" s="3"/>
      <c r="I3" s="3"/>
      <c r="J3" s="3"/>
      <c r="K3" s="3"/>
      <c r="L3" s="3"/>
      <c r="M3" s="3"/>
      <c r="N3" s="3"/>
      <c r="O3" s="3"/>
      <c r="DS3" s="4" t="s">
        <v>229</v>
      </c>
    </row>
    <row r="4" spans="1:134" ht="18" customHeight="1" x14ac:dyDescent="0.25">
      <c r="A4" s="164"/>
      <c r="B4" s="161"/>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65" t="s">
        <v>3</v>
      </c>
      <c r="B5" s="16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54"/>
      <c r="C6" s="46"/>
      <c r="D6" s="47"/>
      <c r="E6" s="48"/>
      <c r="F6" s="48"/>
      <c r="G6" s="48"/>
      <c r="H6" s="48"/>
      <c r="I6" s="48"/>
      <c r="J6" s="48"/>
      <c r="K6" s="48"/>
      <c r="L6" s="48"/>
      <c r="M6" s="48"/>
      <c r="N6" s="48"/>
      <c r="O6" s="48"/>
      <c r="DS6" s="4" t="str">
        <f>VLOOKUP(Cover!$D$15, Country_list!$B$3:$C$44, 2, 0)</f>
        <v>AT</v>
      </c>
      <c r="DV6" s="4" t="s">
        <v>298</v>
      </c>
    </row>
    <row r="7" spans="1:134" ht="24" customHeight="1" x14ac:dyDescent="0.2">
      <c r="A7" s="156" t="s">
        <v>15</v>
      </c>
      <c r="B7" s="157"/>
      <c r="C7" s="44"/>
      <c r="D7" s="15"/>
      <c r="E7" s="45"/>
      <c r="F7" s="45"/>
      <c r="G7" s="45"/>
      <c r="H7" s="45"/>
      <c r="I7" s="45"/>
      <c r="J7" s="45"/>
      <c r="K7" s="45"/>
      <c r="L7" s="45"/>
      <c r="M7" s="45"/>
      <c r="N7" s="45"/>
      <c r="O7" s="45"/>
    </row>
    <row r="8" spans="1:134" ht="24" customHeight="1" x14ac:dyDescent="0.2">
      <c r="A8" s="156" t="s">
        <v>29</v>
      </c>
      <c r="B8" s="157"/>
      <c r="C8" s="44"/>
      <c r="D8" s="15"/>
      <c r="E8" s="45"/>
      <c r="F8" s="45"/>
      <c r="G8" s="45"/>
      <c r="H8" s="45"/>
      <c r="I8" s="45"/>
      <c r="J8" s="45"/>
      <c r="K8" s="45"/>
      <c r="L8" s="45"/>
      <c r="M8" s="45"/>
      <c r="N8" s="45"/>
      <c r="O8" s="45"/>
    </row>
    <row r="9" spans="1:134" ht="24" customHeight="1" x14ac:dyDescent="0.2">
      <c r="A9" s="156" t="s">
        <v>156</v>
      </c>
      <c r="B9" s="157"/>
      <c r="C9" s="9" t="s">
        <v>132</v>
      </c>
      <c r="D9" s="88">
        <f>[4]KOHLE!AP$222/('1a_SpaceHeating'!D9+'1c_WaterHeating'!D9+'1d_Cooking'!D9)*1000</f>
        <v>27385.934302653619</v>
      </c>
      <c r="E9" s="88">
        <f>[4]KOHLE!AQ$222/('1a_SpaceHeating'!E9+'1c_WaterHeating'!E9+'1d_Cooking'!E9)*1000</f>
        <v>27081.446382356044</v>
      </c>
      <c r="F9" s="88">
        <f>[4]KOHLE!AR$222/('1a_SpaceHeating'!F9+'1c_WaterHeating'!F9+'1d_Cooking'!F9)*1000</f>
        <v>27207.903230263957</v>
      </c>
      <c r="G9" s="88">
        <f>[4]KOHLE!AS$222/('1a_SpaceHeating'!G9+'1c_WaterHeating'!G9+'1d_Cooking'!G9)*1000</f>
        <v>26536.782615614688</v>
      </c>
      <c r="H9" s="88">
        <f>[4]KOHLE!AT$222/('1a_SpaceHeating'!H9+'1c_WaterHeating'!H9+'1d_Cooking'!H9)*1000</f>
        <v>26852.296116451933</v>
      </c>
      <c r="I9" s="88">
        <f>[4]KOHLE!AU$222/('1a_SpaceHeating'!I9+'1c_WaterHeating'!I9+'1d_Cooking'!I9)*1000</f>
        <v>26069.757479359116</v>
      </c>
      <c r="J9" s="88">
        <f>[4]KOHLE!AV$222/('1a_SpaceHeating'!J9+'1c_WaterHeating'!J9+'1d_Cooking'!J9)*1000</f>
        <v>26899.875758815608</v>
      </c>
      <c r="K9" s="88">
        <f>[4]KOHLE!AW$222/('1a_SpaceHeating'!K9+'1c_WaterHeating'!K9+'1d_Cooking'!K9)*1000</f>
        <v>25869.099040588848</v>
      </c>
      <c r="L9" s="88">
        <f>[4]KOHLE!AX$222/('1a_SpaceHeating'!L9+'1c_WaterHeating'!L9+'1d_Cooking'!L9)*1000</f>
        <v>25709.313011034323</v>
      </c>
      <c r="M9" s="89"/>
      <c r="N9" s="89"/>
      <c r="O9" s="89"/>
      <c r="DT9" s="4" t="s">
        <v>279</v>
      </c>
      <c r="EB9" s="4" t="s">
        <v>300</v>
      </c>
      <c r="ED9" s="4" t="s">
        <v>301</v>
      </c>
    </row>
    <row r="10" spans="1:134" ht="24" customHeight="1" x14ac:dyDescent="0.2">
      <c r="A10" s="156" t="s">
        <v>20</v>
      </c>
      <c r="B10" s="157"/>
      <c r="C10" s="9" t="s">
        <v>132</v>
      </c>
      <c r="D10" s="88">
        <f>[4]ÖL!AP$222/('1a_SpaceHeating'!D10+'1c_WaterHeating'!D10+'1d_Cooking'!D10)*1000</f>
        <v>45946.996253070145</v>
      </c>
      <c r="E10" s="88">
        <f>[4]ÖL!AQ$222/('1a_SpaceHeating'!E10+'1c_WaterHeating'!E10+'1d_Cooking'!E10)*1000</f>
        <v>45589.644776428991</v>
      </c>
      <c r="F10" s="88">
        <f>[4]ÖL!AR$222/('1a_SpaceHeating'!F10+'1c_WaterHeating'!F10+'1d_Cooking'!F10)*1000</f>
        <v>45293.806490706324</v>
      </c>
      <c r="G10" s="88">
        <f>[4]ÖL!AS$222/('1a_SpaceHeating'!G10+'1c_WaterHeating'!G10+'1d_Cooking'!G10)*1000</f>
        <v>45059.596504728768</v>
      </c>
      <c r="H10" s="88">
        <f>[4]ÖL!AT$222/('1a_SpaceHeating'!H10+'1c_WaterHeating'!H10+'1d_Cooking'!H10)*1000</f>
        <v>44959.160969465484</v>
      </c>
      <c r="I10" s="88">
        <f>[4]ÖL!AU$222/('1a_SpaceHeating'!I10+'1c_WaterHeating'!I10+'1d_Cooking'!I10)*1000</f>
        <v>44824.567968553536</v>
      </c>
      <c r="J10" s="88">
        <f>[4]ÖL!AV$222/('1a_SpaceHeating'!J10+'1c_WaterHeating'!J10+'1d_Cooking'!J10)*1000</f>
        <v>44799.990047490115</v>
      </c>
      <c r="K10" s="88">
        <f>[4]ÖL!AW$222/('1a_SpaceHeating'!K10+'1c_WaterHeating'!K10+'1d_Cooking'!K10)*1000</f>
        <v>44692.28973907193</v>
      </c>
      <c r="L10" s="88">
        <f>[4]ÖL!AX$222/('1a_SpaceHeating'!L10+'1c_WaterHeating'!L10+'1d_Cooking'!L10)*1000</f>
        <v>44604.716839300403</v>
      </c>
      <c r="M10" s="89"/>
      <c r="N10" s="89"/>
      <c r="O10" s="89"/>
      <c r="DT10" s="4" t="s">
        <v>280</v>
      </c>
      <c r="EB10" s="4" t="s">
        <v>300</v>
      </c>
      <c r="ED10" s="4" t="s">
        <v>301</v>
      </c>
    </row>
    <row r="11" spans="1:134" s="13" customFormat="1" ht="15" customHeight="1" x14ac:dyDescent="0.2">
      <c r="A11" s="155" t="s">
        <v>18</v>
      </c>
      <c r="B11" s="102" t="s">
        <v>21</v>
      </c>
      <c r="C11" s="103" t="s">
        <v>132</v>
      </c>
      <c r="D11" s="107">
        <f>[5]LPG!Y$32</f>
        <v>46000</v>
      </c>
      <c r="E11" s="107">
        <f>[5]LPG!Z$32</f>
        <v>46000</v>
      </c>
      <c r="F11" s="107">
        <f>[5]LPG!AA$32</f>
        <v>46120</v>
      </c>
      <c r="G11" s="107">
        <f>[5]LPG!AB$32</f>
        <v>46000</v>
      </c>
      <c r="H11" s="107">
        <f>[5]LPG!AC$32</f>
        <v>46120</v>
      </c>
      <c r="I11" s="107">
        <f>[5]LPG!AD$32</f>
        <v>46120</v>
      </c>
      <c r="J11" s="107">
        <f>[5]LPG!AE$32</f>
        <v>46120</v>
      </c>
      <c r="K11" s="107">
        <f>[5]LPG!AF$32</f>
        <v>46120</v>
      </c>
      <c r="L11" s="107">
        <f>[5]LPG!AG$32</f>
        <v>46120</v>
      </c>
      <c r="M11" s="108"/>
      <c r="N11" s="108"/>
      <c r="O11" s="108"/>
      <c r="DT11" s="13" t="s">
        <v>281</v>
      </c>
      <c r="EB11" s="13" t="s">
        <v>300</v>
      </c>
      <c r="ED11" s="13" t="s">
        <v>301</v>
      </c>
    </row>
    <row r="12" spans="1:134" s="13" customFormat="1" ht="15" customHeight="1" x14ac:dyDescent="0.2">
      <c r="A12" s="155"/>
      <c r="B12" s="102" t="s">
        <v>22</v>
      </c>
      <c r="C12" s="103" t="s">
        <v>132</v>
      </c>
      <c r="D12" s="107"/>
      <c r="E12" s="107"/>
      <c r="F12" s="107"/>
      <c r="G12" s="107"/>
      <c r="H12" s="107"/>
      <c r="I12" s="107"/>
      <c r="J12" s="107"/>
      <c r="K12" s="107"/>
      <c r="L12" s="107"/>
      <c r="M12" s="107"/>
      <c r="N12" s="107"/>
      <c r="O12" s="107"/>
      <c r="DT12" s="13" t="s">
        <v>282</v>
      </c>
      <c r="EB12" s="13" t="s">
        <v>300</v>
      </c>
      <c r="ED12" s="13" t="s">
        <v>301</v>
      </c>
    </row>
    <row r="13" spans="1:134" s="13" customFormat="1" ht="15" customHeight="1" x14ac:dyDescent="0.2">
      <c r="A13" s="155"/>
      <c r="B13" s="102" t="s">
        <v>23</v>
      </c>
      <c r="C13" s="103" t="s">
        <v>132</v>
      </c>
      <c r="D13" s="107">
        <f>'[5]Heating and other gasoil'!Y$32</f>
        <v>42800</v>
      </c>
      <c r="E13" s="107">
        <f>'[5]Heating and other gasoil'!Z$32</f>
        <v>42800</v>
      </c>
      <c r="F13" s="107">
        <f>'[5]Heating and other gasoil'!AA$32</f>
        <v>42790.445</v>
      </c>
      <c r="G13" s="107">
        <f>'[5]Heating and other gasoil'!AB$32</f>
        <v>42788</v>
      </c>
      <c r="H13" s="107">
        <f>'[5]Heating and other gasoil'!AC$32</f>
        <v>42940</v>
      </c>
      <c r="I13" s="107">
        <f>'[5]Heating and other gasoil'!AD$32</f>
        <v>42940.004999999997</v>
      </c>
      <c r="J13" s="107">
        <f>'[5]Heating and other gasoil'!AE$32</f>
        <v>42803.993000000002</v>
      </c>
      <c r="K13" s="107">
        <f>'[5]Heating and other gasoil'!AF$32</f>
        <v>42804</v>
      </c>
      <c r="L13" s="107">
        <f>'[5]Heating and other gasoil'!AG$32</f>
        <v>42804</v>
      </c>
      <c r="M13" s="107"/>
      <c r="N13" s="107"/>
      <c r="O13" s="107"/>
      <c r="DT13" s="13" t="s">
        <v>283</v>
      </c>
      <c r="EB13" s="13" t="s">
        <v>300</v>
      </c>
      <c r="ED13" s="13" t="s">
        <v>301</v>
      </c>
    </row>
    <row r="14" spans="1:134" ht="24" customHeight="1" x14ac:dyDescent="0.2">
      <c r="A14" s="156" t="s">
        <v>24</v>
      </c>
      <c r="B14" s="157"/>
      <c r="C14" s="44"/>
      <c r="D14" s="15"/>
      <c r="E14" s="45"/>
      <c r="F14" s="45"/>
      <c r="G14" s="45"/>
      <c r="H14" s="45"/>
      <c r="I14" s="45"/>
      <c r="J14" s="45"/>
      <c r="K14" s="45"/>
      <c r="L14" s="45"/>
      <c r="M14" s="45"/>
      <c r="N14" s="45"/>
      <c r="O14" s="45"/>
    </row>
    <row r="15" spans="1:134" s="13" customFormat="1" ht="15" customHeight="1" x14ac:dyDescent="0.2">
      <c r="A15" s="155" t="s">
        <v>18</v>
      </c>
      <c r="B15" s="102" t="s">
        <v>26</v>
      </c>
      <c r="C15" s="14"/>
      <c r="D15" s="15"/>
      <c r="E15" s="12"/>
      <c r="F15" s="12"/>
      <c r="G15" s="12"/>
      <c r="H15" s="12"/>
      <c r="I15" s="12"/>
      <c r="J15" s="12"/>
      <c r="K15" s="12"/>
      <c r="L15" s="12"/>
      <c r="M15" s="12"/>
      <c r="N15" s="12"/>
      <c r="O15" s="12"/>
    </row>
    <row r="16" spans="1:134" s="13" customFormat="1" ht="15" customHeight="1" x14ac:dyDescent="0.2">
      <c r="A16" s="155"/>
      <c r="B16" s="102" t="s">
        <v>27</v>
      </c>
      <c r="C16" s="14"/>
      <c r="D16" s="15"/>
      <c r="E16" s="12"/>
      <c r="F16" s="12"/>
      <c r="G16" s="12"/>
      <c r="H16" s="12"/>
      <c r="I16" s="12"/>
      <c r="J16" s="12"/>
      <c r="K16" s="12"/>
      <c r="L16" s="12"/>
      <c r="M16" s="12"/>
      <c r="N16" s="12"/>
      <c r="O16" s="12"/>
    </row>
    <row r="17" spans="1:15" s="13" customFormat="1" ht="15" customHeight="1" x14ac:dyDescent="0.2">
      <c r="A17" s="155"/>
      <c r="B17" s="102" t="s">
        <v>28</v>
      </c>
      <c r="C17" s="14"/>
      <c r="D17" s="15"/>
      <c r="E17" s="12"/>
      <c r="F17" s="12"/>
      <c r="G17" s="12"/>
      <c r="H17" s="12"/>
      <c r="I17" s="12"/>
      <c r="J17" s="12"/>
      <c r="K17" s="12"/>
      <c r="L17" s="12"/>
      <c r="M17" s="12"/>
      <c r="N17" s="12"/>
      <c r="O17" s="12"/>
    </row>
    <row r="18" spans="1:15" s="13" customFormat="1" ht="15" customHeight="1" x14ac:dyDescent="0.2">
      <c r="A18" s="155"/>
      <c r="B18" s="102"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xr:uid="{00000000-0002-0000-02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5" sqref="D15:D18"/>
    </sheetView>
  </sheetViews>
  <sheetFormatPr baseColWidth="10"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8" t="s">
        <v>0</v>
      </c>
      <c r="B1" s="169"/>
      <c r="C1" s="20"/>
      <c r="D1" s="1"/>
      <c r="E1" s="2"/>
      <c r="F1" s="2"/>
      <c r="G1" s="2"/>
      <c r="H1" s="2"/>
      <c r="I1" s="2"/>
      <c r="J1" s="2"/>
      <c r="K1" s="3"/>
    </row>
    <row r="2" spans="1:11" ht="18" customHeight="1" x14ac:dyDescent="0.25">
      <c r="A2" s="170" t="s">
        <v>1</v>
      </c>
      <c r="B2" s="171"/>
      <c r="C2" s="1" t="str">
        <f>Cover!D15</f>
        <v>Austria</v>
      </c>
      <c r="D2" s="1"/>
      <c r="E2" s="5"/>
      <c r="F2" s="3"/>
      <c r="G2" s="3"/>
      <c r="H2" s="3"/>
      <c r="I2" s="3"/>
      <c r="J2" s="3"/>
      <c r="K2" s="3"/>
    </row>
    <row r="3" spans="1:11" ht="18" customHeight="1" x14ac:dyDescent="0.25">
      <c r="A3" s="170" t="s">
        <v>2</v>
      </c>
      <c r="B3" s="172"/>
      <c r="C3" s="106">
        <v>2018</v>
      </c>
      <c r="D3" s="1"/>
      <c r="E3" s="5"/>
      <c r="F3" s="3"/>
      <c r="G3" s="3"/>
      <c r="H3" s="3"/>
      <c r="I3" s="3"/>
      <c r="J3" s="3"/>
      <c r="K3" s="3"/>
    </row>
    <row r="4" spans="1:11" ht="18" customHeight="1" x14ac:dyDescent="0.25">
      <c r="A4" s="173"/>
      <c r="B4" s="174"/>
      <c r="C4" s="20"/>
      <c r="D4" s="1"/>
      <c r="E4" s="5"/>
      <c r="F4" s="3"/>
      <c r="G4" s="3"/>
      <c r="H4" s="3"/>
      <c r="I4" s="3"/>
      <c r="J4" s="3"/>
      <c r="K4" s="3"/>
    </row>
    <row r="5" spans="1:11" ht="37.5" customHeight="1" x14ac:dyDescent="0.25">
      <c r="A5" s="165" t="s">
        <v>3</v>
      </c>
      <c r="B5" s="175"/>
      <c r="C5" s="6" t="s">
        <v>4</v>
      </c>
      <c r="D5" s="7" t="s">
        <v>5</v>
      </c>
      <c r="E5" s="6" t="s">
        <v>6</v>
      </c>
      <c r="F5" s="6" t="s">
        <v>7</v>
      </c>
      <c r="G5" s="6" t="s">
        <v>8</v>
      </c>
      <c r="H5" s="6" t="s">
        <v>9</v>
      </c>
      <c r="I5" s="6" t="s">
        <v>10</v>
      </c>
      <c r="J5" s="6" t="s">
        <v>11</v>
      </c>
      <c r="K5" s="7" t="s">
        <v>12</v>
      </c>
    </row>
    <row r="6" spans="1:11" ht="24" customHeight="1" x14ac:dyDescent="0.25">
      <c r="A6" s="167" t="s">
        <v>13</v>
      </c>
      <c r="B6" s="168"/>
      <c r="C6" s="100" t="s">
        <v>14</v>
      </c>
      <c r="D6" s="109">
        <f ca="1">SUM(E6:J6)</f>
        <v>17032.498749503953</v>
      </c>
      <c r="E6" s="110">
        <f ca="1">INDIRECT(ADDRESS(ROW(K6),$C$3 -2010 + 4,,,"1a_SpaceHeating"))</f>
        <v>2387.2479157360085</v>
      </c>
      <c r="F6" s="110">
        <f ca="1">INDIRECT(ADDRESS(ROW(K6),$C$3-2010+4,,,"1b_SpaceCooling"))</f>
        <v>7.5533930129320321</v>
      </c>
      <c r="G6" s="110">
        <f ca="1">INDIRECT(ADDRESS(ROW(K6),$C$3-2010+4,,,"1c_WaterHeating"))</f>
        <v>3075.2161528275265</v>
      </c>
      <c r="H6" s="110">
        <f ca="1">INDIRECT(ADDRESS(ROW(K6),$C$3-2010+4,,,"1d_Cooking"))</f>
        <v>1756.9208235832477</v>
      </c>
      <c r="I6" s="110">
        <f ca="1">INDIRECT(ADDRESS(ROW(K6),$C$3-2010+4,,,"1e_LightingAndAppliances"))</f>
        <v>7516.0326167331523</v>
      </c>
      <c r="J6" s="110">
        <f ca="1">INDIRECT(ADDRESS(ROW(K6),$C$3-2010+4,,,"1f_OtherEndUses"))</f>
        <v>2289.527847611088</v>
      </c>
      <c r="K6" s="111"/>
    </row>
    <row r="7" spans="1:11" ht="24" customHeight="1" x14ac:dyDescent="0.25">
      <c r="A7" s="177" t="s">
        <v>15</v>
      </c>
      <c r="B7" s="178"/>
      <c r="C7" s="101" t="s">
        <v>16</v>
      </c>
      <c r="D7" s="112">
        <f t="shared" ref="D7:D16" ca="1" si="0">SUM(E7:J7)</f>
        <v>30780.332592711147</v>
      </c>
      <c r="E7" s="113">
        <f t="shared" ref="E7:E16" ca="1" si="1">INDIRECT(ADDRESS(ROW(K7),$C$3 -2010 + 4,,,"1a_SpaceHeating"))</f>
        <v>26217.392806532986</v>
      </c>
      <c r="F7" s="114"/>
      <c r="G7" s="113">
        <f t="shared" ref="G7:G16" ca="1" si="2">INDIRECT(ADDRESS(ROW(K7),$C$3-2010+4,,,"1c_WaterHeating"))</f>
        <v>4562.9397861781608</v>
      </c>
      <c r="H7" s="113">
        <f t="shared" ref="H7:H16" ca="1" si="3">INDIRECT(ADDRESS(ROW(K7),$C$3-2010+4,,,"1d_Cooking"))</f>
        <v>0</v>
      </c>
      <c r="I7" s="114"/>
      <c r="J7" s="113">
        <f t="shared" ref="J7:J17" ca="1" si="4">INDIRECT(ADDRESS(ROW(K7),$C$3-2010+4,,,"1f_OtherEndUses"))</f>
        <v>0</v>
      </c>
      <c r="K7" s="114"/>
    </row>
    <row r="8" spans="1:11" ht="24" customHeight="1" x14ac:dyDescent="0.25">
      <c r="A8" s="177" t="s">
        <v>29</v>
      </c>
      <c r="B8" s="178"/>
      <c r="C8" s="101" t="s">
        <v>17</v>
      </c>
      <c r="D8" s="112">
        <f t="shared" ca="1" si="0"/>
        <v>60451.885847175101</v>
      </c>
      <c r="E8" s="113">
        <f t="shared" ca="1" si="1"/>
        <v>52500.536902726817</v>
      </c>
      <c r="F8" s="114"/>
      <c r="G8" s="113">
        <f t="shared" ca="1" si="2"/>
        <v>7581.3511962984494</v>
      </c>
      <c r="H8" s="113">
        <f t="shared" ca="1" si="3"/>
        <v>369.99774814983846</v>
      </c>
      <c r="I8" s="114"/>
      <c r="J8" s="113">
        <f t="shared" ca="1" si="4"/>
        <v>0</v>
      </c>
      <c r="K8" s="114"/>
    </row>
    <row r="9" spans="1:11" ht="24" customHeight="1" x14ac:dyDescent="0.25">
      <c r="A9" s="177" t="s">
        <v>156</v>
      </c>
      <c r="B9" s="178"/>
      <c r="C9" s="101" t="s">
        <v>19</v>
      </c>
      <c r="D9" s="112">
        <f t="shared" ca="1" si="0"/>
        <v>32.208329441854346</v>
      </c>
      <c r="E9" s="113">
        <f t="shared" ca="1" si="1"/>
        <v>30.256056339061747</v>
      </c>
      <c r="F9" s="114"/>
      <c r="G9" s="113">
        <f t="shared" ca="1" si="2"/>
        <v>1.859283822814471</v>
      </c>
      <c r="H9" s="113">
        <f t="shared" ca="1" si="3"/>
        <v>9.2989279978125172E-2</v>
      </c>
      <c r="I9" s="114"/>
      <c r="J9" s="113">
        <f t="shared" ca="1" si="4"/>
        <v>0</v>
      </c>
      <c r="K9" s="115">
        <f ca="1">INDIRECT(ADDRESS(ROW(K9),$C$3-2010+4,,,"Calorific_Values"))</f>
        <v>25709.313011034323</v>
      </c>
    </row>
    <row r="10" spans="1:11" ht="24" customHeight="1" x14ac:dyDescent="0.25">
      <c r="A10" s="177" t="s">
        <v>42</v>
      </c>
      <c r="B10" s="178"/>
      <c r="C10" s="101" t="s">
        <v>19</v>
      </c>
      <c r="D10" s="112">
        <f t="shared" ca="1" si="0"/>
        <v>876.07771621738493</v>
      </c>
      <c r="E10" s="113">
        <f t="shared" ca="1" si="1"/>
        <v>782.44521975334283</v>
      </c>
      <c r="F10" s="114"/>
      <c r="G10" s="113">
        <f t="shared" ca="1" si="2"/>
        <v>93.189077630312113</v>
      </c>
      <c r="H10" s="113">
        <f t="shared" ca="1" si="3"/>
        <v>0.44341883372995716</v>
      </c>
      <c r="I10" s="114"/>
      <c r="J10" s="113">
        <f t="shared" ca="1" si="4"/>
        <v>0</v>
      </c>
      <c r="K10" s="115">
        <f ca="1">INDIRECT(ADDRESS(ROW(K10),$C$3-2010+4,,,"Calorific_Values"))</f>
        <v>44604.716839300403</v>
      </c>
    </row>
    <row r="11" spans="1:11" s="33" customFormat="1" ht="15" customHeight="1" x14ac:dyDescent="0.25">
      <c r="A11" s="176" t="s">
        <v>18</v>
      </c>
      <c r="B11" s="10" t="s">
        <v>21</v>
      </c>
      <c r="C11" s="11" t="s">
        <v>19</v>
      </c>
      <c r="D11" s="116">
        <f t="shared" ca="1" si="0"/>
        <v>25.717041261616775</v>
      </c>
      <c r="E11" s="117">
        <f t="shared" ca="1" si="1"/>
        <v>22.644599386855109</v>
      </c>
      <c r="F11" s="118"/>
      <c r="G11" s="117">
        <f t="shared" ca="1" si="2"/>
        <v>2.6290230410317066</v>
      </c>
      <c r="H11" s="117">
        <f t="shared" ca="1" si="3"/>
        <v>0.44341883372995716</v>
      </c>
      <c r="I11" s="118"/>
      <c r="J11" s="117">
        <f t="shared" ca="1" si="4"/>
        <v>0</v>
      </c>
      <c r="K11" s="119">
        <f t="shared" ref="K11:K13" ca="1" si="5">INDIRECT(ADDRESS(ROW(K11),$C$3-2010+4,,,"Calorific_Values"))</f>
        <v>46120</v>
      </c>
    </row>
    <row r="12" spans="1:11" s="33" customFormat="1" ht="15" customHeight="1" x14ac:dyDescent="0.25">
      <c r="A12" s="176"/>
      <c r="B12" s="10" t="s">
        <v>22</v>
      </c>
      <c r="C12" s="11" t="s">
        <v>19</v>
      </c>
      <c r="D12" s="116">
        <f t="shared" ca="1" si="0"/>
        <v>0</v>
      </c>
      <c r="E12" s="117">
        <f t="shared" ca="1" si="1"/>
        <v>0</v>
      </c>
      <c r="F12" s="118"/>
      <c r="G12" s="117">
        <f t="shared" ca="1" si="2"/>
        <v>0</v>
      </c>
      <c r="H12" s="117">
        <f t="shared" ca="1" si="3"/>
        <v>0</v>
      </c>
      <c r="I12" s="118"/>
      <c r="J12" s="117">
        <f t="shared" ca="1" si="4"/>
        <v>0</v>
      </c>
      <c r="K12" s="119">
        <f t="shared" ca="1" si="5"/>
        <v>0</v>
      </c>
    </row>
    <row r="13" spans="1:11" s="33" customFormat="1" ht="15" customHeight="1" x14ac:dyDescent="0.25">
      <c r="A13" s="176"/>
      <c r="B13" s="10" t="s">
        <v>23</v>
      </c>
      <c r="C13" s="11" t="s">
        <v>19</v>
      </c>
      <c r="D13" s="116">
        <f t="shared" ca="1" si="0"/>
        <v>850.22796417519442</v>
      </c>
      <c r="E13" s="117">
        <f t="shared" ca="1" si="1"/>
        <v>759.667909585914</v>
      </c>
      <c r="F13" s="118"/>
      <c r="G13" s="117">
        <f t="shared" ca="1" si="2"/>
        <v>90.560054589280426</v>
      </c>
      <c r="H13" s="117">
        <f t="shared" ca="1" si="3"/>
        <v>0</v>
      </c>
      <c r="I13" s="118"/>
      <c r="J13" s="117">
        <f t="shared" ca="1" si="4"/>
        <v>0</v>
      </c>
      <c r="K13" s="119">
        <f t="shared" ca="1" si="5"/>
        <v>42804</v>
      </c>
    </row>
    <row r="14" spans="1:11" ht="24" customHeight="1" x14ac:dyDescent="0.25">
      <c r="A14" s="177" t="s">
        <v>43</v>
      </c>
      <c r="B14" s="178"/>
      <c r="C14" s="101" t="s">
        <v>16</v>
      </c>
      <c r="D14" s="112">
        <f t="shared" ca="1" si="0"/>
        <v>76801.885589993079</v>
      </c>
      <c r="E14" s="113">
        <f t="shared" ca="1" si="1"/>
        <v>64184.274420952563</v>
      </c>
      <c r="F14" s="114"/>
      <c r="G14" s="113">
        <f t="shared" ca="1" si="2"/>
        <v>12344.28226525257</v>
      </c>
      <c r="H14" s="113">
        <f t="shared" ca="1" si="3"/>
        <v>273.328903787939</v>
      </c>
      <c r="I14" s="114"/>
      <c r="J14" s="113">
        <f t="shared" ca="1" si="4"/>
        <v>0</v>
      </c>
      <c r="K14" s="114"/>
    </row>
    <row r="15" spans="1:11" s="33" customFormat="1" ht="15" customHeight="1" x14ac:dyDescent="0.25">
      <c r="A15" s="176" t="s">
        <v>18</v>
      </c>
      <c r="B15" s="10" t="s">
        <v>26</v>
      </c>
      <c r="C15" s="11" t="s">
        <v>16</v>
      </c>
      <c r="D15" s="116">
        <f t="shared" ca="1" si="0"/>
        <v>4465.0455573527752</v>
      </c>
      <c r="E15" s="117">
        <f t="shared" ca="1" si="1"/>
        <v>1276.0286793990897</v>
      </c>
      <c r="F15" s="118"/>
      <c r="G15" s="117">
        <f t="shared" ca="1" si="2"/>
        <v>3189.0168779536857</v>
      </c>
      <c r="H15" s="117">
        <f t="shared" ca="1" si="3"/>
        <v>0</v>
      </c>
      <c r="I15" s="118"/>
      <c r="J15" s="117">
        <f t="shared" ca="1" si="4"/>
        <v>0</v>
      </c>
      <c r="K15" s="118"/>
    </row>
    <row r="16" spans="1:11" s="33" customFormat="1" ht="15" customHeight="1" x14ac:dyDescent="0.25">
      <c r="A16" s="176"/>
      <c r="B16" s="10" t="s">
        <v>27</v>
      </c>
      <c r="C16" s="11" t="s">
        <v>16</v>
      </c>
      <c r="D16" s="116">
        <f t="shared" ca="1" si="0"/>
        <v>65094.886944554048</v>
      </c>
      <c r="E16" s="117">
        <f t="shared" ca="1" si="1"/>
        <v>58813.926349540554</v>
      </c>
      <c r="F16" s="118"/>
      <c r="G16" s="117">
        <f t="shared" ca="1" si="2"/>
        <v>6008.588510764017</v>
      </c>
      <c r="H16" s="117">
        <f t="shared" ca="1" si="3"/>
        <v>272.37208424947903</v>
      </c>
      <c r="I16" s="118"/>
      <c r="J16" s="117">
        <f t="shared" ca="1" si="4"/>
        <v>0</v>
      </c>
      <c r="K16" s="118"/>
    </row>
    <row r="17" spans="1:11" s="33" customFormat="1" ht="15" customHeight="1" x14ac:dyDescent="0.25">
      <c r="A17" s="176"/>
      <c r="B17" s="10" t="s">
        <v>28</v>
      </c>
      <c r="C17" s="11" t="s">
        <v>16</v>
      </c>
      <c r="D17" s="116">
        <f t="shared" ref="D17" ca="1" si="6">SUM(E17:J17)</f>
        <v>156.32945282658071</v>
      </c>
      <c r="E17" s="117">
        <f t="shared" ref="E17" ca="1" si="7">INDIRECT(ADDRESS(ROW(K17),$C$3 -2010 + 4,,,"1a_SpaceHeating"))</f>
        <v>135.76714923093701</v>
      </c>
      <c r="F17" s="118"/>
      <c r="G17" s="117">
        <f t="shared" ref="G17" ca="1" si="8">INDIRECT(ADDRESS(ROW(K17),$C$3-2010+4,,,"1c_WaterHeating"))</f>
        <v>19.605484057183691</v>
      </c>
      <c r="H17" s="117">
        <f t="shared" ref="H17" ca="1" si="9">INDIRECT(ADDRESS(ROW(K17),$C$3-2010+4,,,"1d_Cooking"))</f>
        <v>0.95681953846000956</v>
      </c>
      <c r="I17" s="118"/>
      <c r="J17" s="117">
        <f t="shared" ca="1" si="4"/>
        <v>0</v>
      </c>
      <c r="K17" s="118"/>
    </row>
    <row r="18" spans="1:11" s="33" customFormat="1" ht="15" customHeight="1" x14ac:dyDescent="0.25">
      <c r="A18" s="176"/>
      <c r="B18" s="33" t="s">
        <v>184</v>
      </c>
      <c r="C18" s="11" t="s">
        <v>16</v>
      </c>
      <c r="D18" s="116">
        <f ca="1">SUM(E18:J18)</f>
        <v>6843.0688776626248</v>
      </c>
      <c r="E18" s="117">
        <f ca="1">INDIRECT(ADDRESS(ROW(K18),$C$3 -2010 + 4,,,"1a_SpaceHeating"))</f>
        <v>3715.9974851849402</v>
      </c>
      <c r="F18" s="118"/>
      <c r="G18" s="117">
        <f ca="1">INDIRECT(ADDRESS(ROW(K18),$C$3-2010+4,,,"1c_WaterHeating"))</f>
        <v>3127.0713924776842</v>
      </c>
      <c r="H18" s="117">
        <f ca="1">INDIRECT(ADDRESS(ROW(K18),$C$3-2010+4,,,"1d_Cooking"))</f>
        <v>0</v>
      </c>
      <c r="I18" s="118"/>
      <c r="J18" s="117">
        <f ca="1">INDIRECT(ADDRESS(ROW(K18),$C$3-2010+4,,,"1f_OtherEndUses"))</f>
        <v>0</v>
      </c>
      <c r="K18" s="118"/>
    </row>
    <row r="19" spans="1:11" ht="21" customHeight="1" x14ac:dyDescent="0.25">
      <c r="A19" s="34"/>
      <c r="B19" s="34"/>
      <c r="C19" s="34"/>
      <c r="D19" s="35"/>
      <c r="E19" s="34"/>
      <c r="F19" s="34"/>
      <c r="G19" s="34"/>
      <c r="H19" s="34"/>
      <c r="I19" s="34"/>
      <c r="J19" s="34"/>
      <c r="K19" s="36"/>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E23" sqref="E23"/>
    </sheetView>
  </sheetViews>
  <sheetFormatPr baseColWidth="10"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8" t="s">
        <v>0</v>
      </c>
      <c r="B1" s="169"/>
      <c r="C1" s="20"/>
      <c r="D1" s="1"/>
      <c r="E1" s="2"/>
      <c r="F1" s="2"/>
      <c r="G1" s="2"/>
      <c r="H1" s="2"/>
      <c r="I1" s="2"/>
      <c r="J1" s="2"/>
      <c r="K1" s="3"/>
    </row>
    <row r="2" spans="1:11" ht="18" customHeight="1" x14ac:dyDescent="0.25">
      <c r="A2" s="170" t="s">
        <v>1</v>
      </c>
      <c r="B2" s="171"/>
      <c r="C2" s="1" t="str">
        <f>Cover!D15</f>
        <v>Austria</v>
      </c>
      <c r="D2" s="1"/>
      <c r="E2" s="5"/>
      <c r="F2" s="3"/>
      <c r="G2" s="3"/>
      <c r="H2" s="3"/>
      <c r="I2" s="3"/>
      <c r="J2" s="3"/>
      <c r="K2" s="3"/>
    </row>
    <row r="3" spans="1:11" ht="18" customHeight="1" x14ac:dyDescent="0.25">
      <c r="A3" s="170" t="s">
        <v>2</v>
      </c>
      <c r="B3" s="171"/>
      <c r="C3" s="1">
        <f>Table1_Totals!C3</f>
        <v>2018</v>
      </c>
      <c r="D3" s="1"/>
      <c r="E3" s="5"/>
      <c r="F3" s="3"/>
      <c r="G3" s="3"/>
      <c r="H3" s="3"/>
      <c r="I3" s="3"/>
      <c r="J3" s="3"/>
      <c r="K3" s="3"/>
    </row>
    <row r="4" spans="1:11" ht="18" customHeight="1" x14ac:dyDescent="0.25">
      <c r="A4" s="173"/>
      <c r="B4" s="174"/>
      <c r="C4" s="20"/>
      <c r="D4" s="1"/>
      <c r="E4" s="5"/>
      <c r="F4" s="3"/>
      <c r="G4" s="3"/>
      <c r="H4" s="3"/>
      <c r="I4" s="3"/>
      <c r="J4" s="3"/>
      <c r="K4" s="3"/>
    </row>
    <row r="5" spans="1:11" ht="37.5" customHeight="1" x14ac:dyDescent="0.25">
      <c r="A5" s="165" t="s">
        <v>3</v>
      </c>
      <c r="B5" s="175"/>
      <c r="C5" s="6" t="s">
        <v>4</v>
      </c>
      <c r="D5" s="7" t="s">
        <v>5</v>
      </c>
      <c r="E5" s="6" t="s">
        <v>6</v>
      </c>
      <c r="F5" s="6" t="s">
        <v>7</v>
      </c>
      <c r="G5" s="6" t="s">
        <v>8</v>
      </c>
      <c r="H5" s="6" t="s">
        <v>9</v>
      </c>
      <c r="I5" s="6" t="s">
        <v>10</v>
      </c>
      <c r="J5" s="6" t="s">
        <v>11</v>
      </c>
      <c r="K5" s="7" t="s">
        <v>12</v>
      </c>
    </row>
    <row r="6" spans="1:11" ht="24" customHeight="1" x14ac:dyDescent="0.25">
      <c r="A6" s="167" t="s">
        <v>13</v>
      </c>
      <c r="B6" s="168"/>
      <c r="C6" s="100" t="s">
        <v>16</v>
      </c>
      <c r="D6" s="109">
        <f ca="1">SUM(E6:J6)</f>
        <v>61316.99549821423</v>
      </c>
      <c r="E6" s="110">
        <f ca="1">Table1_Totals!E6*3.6</f>
        <v>8594.0924966496314</v>
      </c>
      <c r="F6" s="110">
        <f ca="1">Table1_Totals!F6*3.6</f>
        <v>27.192214846555316</v>
      </c>
      <c r="G6" s="110">
        <f ca="1">Table1_Totals!G6*3.6</f>
        <v>11070.778150179096</v>
      </c>
      <c r="H6" s="110">
        <f ca="1">Table1_Totals!H6*3.6</f>
        <v>6324.9149648996918</v>
      </c>
      <c r="I6" s="110">
        <f ca="1">Table1_Totals!I6*3.6</f>
        <v>27057.717420239347</v>
      </c>
      <c r="J6" s="110">
        <f ca="1">Table1_Totals!J6*3.6</f>
        <v>8242.3002513999163</v>
      </c>
      <c r="K6" s="111"/>
    </row>
    <row r="7" spans="1:11" ht="24" customHeight="1" x14ac:dyDescent="0.25">
      <c r="A7" s="177" t="s">
        <v>15</v>
      </c>
      <c r="B7" s="178"/>
      <c r="C7" s="101" t="s">
        <v>16</v>
      </c>
      <c r="D7" s="112">
        <f t="shared" ref="D7:D18" ca="1" si="0">SUM(E7:J7)</f>
        <v>30780.332592711147</v>
      </c>
      <c r="E7" s="113">
        <f ca="1">Table1_Totals!E7</f>
        <v>26217.392806532986</v>
      </c>
      <c r="F7" s="114"/>
      <c r="G7" s="113">
        <f ca="1">Table1_Totals!G7</f>
        <v>4562.9397861781608</v>
      </c>
      <c r="H7" s="113">
        <f ca="1">Table1_Totals!H7</f>
        <v>0</v>
      </c>
      <c r="I7" s="114"/>
      <c r="J7" s="113">
        <f ca="1">Table1_Totals!J7</f>
        <v>0</v>
      </c>
      <c r="K7" s="114"/>
    </row>
    <row r="8" spans="1:11" ht="24" customHeight="1" x14ac:dyDescent="0.25">
      <c r="A8" s="177" t="s">
        <v>29</v>
      </c>
      <c r="B8" s="178"/>
      <c r="C8" s="101" t="s">
        <v>16</v>
      </c>
      <c r="D8" s="112">
        <f t="shared" ca="1" si="0"/>
        <v>54406.697262457594</v>
      </c>
      <c r="E8" s="113">
        <f ca="1">Table1_Totals!E8*0.9</f>
        <v>47250.483212454135</v>
      </c>
      <c r="F8" s="114"/>
      <c r="G8" s="113">
        <f ca="1">Table1_Totals!G8*0.9</f>
        <v>6823.2160766686047</v>
      </c>
      <c r="H8" s="113">
        <f ca="1">Table1_Totals!H8*0.9</f>
        <v>332.99797333485463</v>
      </c>
      <c r="I8" s="114"/>
      <c r="J8" s="113">
        <f ca="1">Table1_Totals!J8*0.9</f>
        <v>0</v>
      </c>
      <c r="K8" s="114"/>
    </row>
    <row r="9" spans="1:11" ht="24" customHeight="1" x14ac:dyDescent="0.25">
      <c r="A9" s="177" t="s">
        <v>156</v>
      </c>
      <c r="B9" s="178"/>
      <c r="C9" s="101" t="s">
        <v>16</v>
      </c>
      <c r="D9" s="112">
        <f t="shared" ca="1" si="0"/>
        <v>828.05402318314577</v>
      </c>
      <c r="E9" s="113">
        <f ca="1">IF(Table1_Totals!E9&lt;&gt;0,IF(Table1_Totals!$K9&lt;&gt;0,Table1_Totals!E9*Table1_Totals!$K9/1000,"Please check CV"),"0,000")</f>
        <v>777.86242290042776</v>
      </c>
      <c r="F9" s="114"/>
      <c r="G9" s="113">
        <f ca="1">IF(Table1_Totals!G9&lt;&gt;0,IF(Table1_Totals!$K9&lt;&gt;0,Table1_Totals!G9*Table1_Totals!$K$9/1000,"Please check CV"),"0,000")</f>
        <v>47.800909777089714</v>
      </c>
      <c r="H9" s="113">
        <f ca="1">IF(Table1_Totals!H9&lt;&gt;0,IF(Table1_Totals!$K9&lt;&gt;0,Table1_Totals!H9*Table1_Totals!$K$9/1000,"Please check CV"),"0,000")</f>
        <v>2.3906905056283265</v>
      </c>
      <c r="I9" s="114"/>
      <c r="J9" s="113" t="str">
        <f ca="1">IF(Table1_Totals!J9&lt;&gt;0,IF(Table1_Totals!$K9&lt;&gt;0,Table1_Totals!J9*Table1_Totals!$K$9/1000,"Please check CV"),"0,000")</f>
        <v>0,000</v>
      </c>
      <c r="K9" s="115">
        <f ca="1">Table1_Totals!K9</f>
        <v>25709.313011034323</v>
      </c>
    </row>
    <row r="10" spans="1:11" ht="24" customHeight="1" x14ac:dyDescent="0.25">
      <c r="A10" s="177" t="s">
        <v>42</v>
      </c>
      <c r="B10" s="178"/>
      <c r="C10" s="101" t="s">
        <v>16</v>
      </c>
      <c r="D10" s="112">
        <f t="shared" ca="1" si="0"/>
        <v>39077.198461097432</v>
      </c>
      <c r="E10" s="113">
        <f ca="1">IF(Table1_Totals!E10&lt;&gt;0,IF(Table1_Totals!$K10&lt;&gt;0,Table1_Totals!E10*Table1_Totals!$K10/1000,"Please check CV"),"0,000")</f>
        <v>34900.747469362039</v>
      </c>
      <c r="F10" s="114"/>
      <c r="G10" s="113">
        <f ca="1">IF(Table1_Totals!G10&lt;&gt;0,IF(Table1_Totals!$K10&lt;&gt;0,Table1_Totals!G10*Table1_Totals!$K10/1000,"Please check CV"),"0,000")</f>
        <v>4156.6724202156547</v>
      </c>
      <c r="H10" s="113">
        <f ca="1">IF(Table1_Totals!H10&lt;&gt;0,IF(Table1_Totals!$K10&lt;&gt;0,Table1_Totals!H10*Table1_Totals!$K10/1000,"Please check CV"),"0,000")</f>
        <v>19.778571519737564</v>
      </c>
      <c r="I10" s="114"/>
      <c r="J10" s="113" t="str">
        <f ca="1">IF(Table1_Totals!J10&lt;&gt;0,IF(Table1_Totals!$K10&lt;&gt;0,Table1_Totals!J10*Table1_Totals!$K10/1000,"Please check CV"),"0,000")</f>
        <v>0,000</v>
      </c>
      <c r="K10" s="115">
        <f ca="1">Table1_Totals!K10</f>
        <v>44604.716839300403</v>
      </c>
    </row>
    <row r="11" spans="1:11" s="33" customFormat="1" ht="15" customHeight="1" x14ac:dyDescent="0.25">
      <c r="A11" s="176" t="s">
        <v>18</v>
      </c>
      <c r="B11" s="10" t="s">
        <v>21</v>
      </c>
      <c r="C11" s="11" t="s">
        <v>16</v>
      </c>
      <c r="D11" s="116">
        <f t="shared" ca="1" si="0"/>
        <v>1186.0699429857657</v>
      </c>
      <c r="E11" s="117">
        <f ca="1">IF(Table1_Totals!E11&lt;&gt;0,IF(Table1_Totals!$K11&lt;&gt;0,Table1_Totals!E11*Table1_Totals!$K11/1000,"Please check CV"),"0,000")</f>
        <v>1044.3689237217577</v>
      </c>
      <c r="F11" s="118"/>
      <c r="G11" s="117">
        <f ca="1">IF(Table1_Totals!G11&lt;&gt;0,IF(Table1_Totals!$K11&lt;&gt;0,Table1_Totals!G11*Table1_Totals!$K11/1000,"Please check CV"),"0,000")</f>
        <v>121.25054265238231</v>
      </c>
      <c r="H11" s="117">
        <f ca="1">IF(Table1_Totals!H11&lt;&gt;0,IF(Table1_Totals!$K11&lt;&gt;0,Table1_Totals!H11*Table1_Totals!$K11/1000,"Please check CV"),"0,000")</f>
        <v>20.450476611625625</v>
      </c>
      <c r="I11" s="118"/>
      <c r="J11" s="117" t="str">
        <f ca="1">IF(Table1_Totals!J11&lt;&gt;0,IF(Table1_Totals!$K11&lt;&gt;0,Table1_Totals!J11*Table1_Totals!$K11/1000,"Please check CV"),"0,000")</f>
        <v>0,000</v>
      </c>
      <c r="K11" s="119">
        <f ca="1">Table1_Totals!K11</f>
        <v>46120</v>
      </c>
    </row>
    <row r="12" spans="1:11" s="33" customFormat="1" ht="15" customHeight="1" x14ac:dyDescent="0.25">
      <c r="A12" s="176"/>
      <c r="B12" s="10" t="s">
        <v>22</v>
      </c>
      <c r="C12" s="11" t="s">
        <v>16</v>
      </c>
      <c r="D12" s="116">
        <f t="shared" ca="1" si="0"/>
        <v>0</v>
      </c>
      <c r="E12" s="117" t="str">
        <f ca="1">IF(Table1_Totals!E12&lt;&gt;0,IF(Table1_Totals!$K12&lt;&gt;0,Table1_Totals!E12*Table1_Totals!$K12/1000,"Please check CV"),"0,000")</f>
        <v>0,000</v>
      </c>
      <c r="F12" s="118"/>
      <c r="G12" s="117" t="str">
        <f ca="1">IF(Table1_Totals!G12&lt;&gt;0,IF(Table1_Totals!$K12&lt;&gt;0,Table1_Totals!G12*Table1_Totals!$K12/1000,"Please check CV"),"0,000")</f>
        <v>0,000</v>
      </c>
      <c r="H12" s="117" t="str">
        <f ca="1">IF(Table1_Totals!H12&lt;&gt;0,IF(Table1_Totals!$K12&lt;&gt;0,Table1_Totals!H12*Table1_Totals!$K12/1000,"Please check CV"),"0,000")</f>
        <v>0,000</v>
      </c>
      <c r="I12" s="118"/>
      <c r="J12" s="117" t="str">
        <f ca="1">IF(Table1_Totals!J12&lt;&gt;0,IF(Table1_Totals!$K12&lt;&gt;0,Table1_Totals!J12*Table1_Totals!$K12/1000,"Please check CV"),"0,000")</f>
        <v>0,000</v>
      </c>
      <c r="K12" s="119">
        <f ca="1">Table1_Totals!K12</f>
        <v>0</v>
      </c>
    </row>
    <row r="13" spans="1:11" s="33" customFormat="1" ht="15" customHeight="1" x14ac:dyDescent="0.25">
      <c r="A13" s="176"/>
      <c r="B13" s="10" t="s">
        <v>23</v>
      </c>
      <c r="C13" s="11" t="s">
        <v>16</v>
      </c>
      <c r="D13" s="116">
        <f t="shared" ca="1" si="0"/>
        <v>36393.157778555018</v>
      </c>
      <c r="E13" s="117">
        <f ca="1">IF(Table1_Totals!E13&lt;&gt;0,IF(Table1_Totals!$K13&lt;&gt;0,Table1_Totals!E13*Table1_Totals!$K13/1000,"Please check CV"),"0,000")</f>
        <v>32516.825201915461</v>
      </c>
      <c r="F13" s="118"/>
      <c r="G13" s="117">
        <f ca="1">IF(Table1_Totals!G13&lt;&gt;0,IF(Table1_Totals!$K13&lt;&gt;0,Table1_Totals!G13*Table1_Totals!$K13/1000,"Please check CV"),"0,000")</f>
        <v>3876.3325766395596</v>
      </c>
      <c r="H13" s="117" t="str">
        <f ca="1">IF(Table1_Totals!H13&lt;&gt;0,IF(Table1_Totals!$K13&lt;&gt;0,Table1_Totals!H13*Table1_Totals!$K13/1000,"Please check CV"),"0,000")</f>
        <v>0,000</v>
      </c>
      <c r="I13" s="118"/>
      <c r="J13" s="117" t="str">
        <f ca="1">IF(Table1_Totals!J13&lt;&gt;0,IF(Table1_Totals!$K13&lt;&gt;0,Table1_Totals!J13*Table1_Totals!$K13/1000,"Please check CV"),"0,000")</f>
        <v>0,000</v>
      </c>
      <c r="K13" s="119">
        <f ca="1">Table1_Totals!K13</f>
        <v>42804</v>
      </c>
    </row>
    <row r="14" spans="1:11" ht="24" customHeight="1" x14ac:dyDescent="0.25">
      <c r="A14" s="177" t="s">
        <v>43</v>
      </c>
      <c r="B14" s="178"/>
      <c r="C14" s="101" t="s">
        <v>16</v>
      </c>
      <c r="D14" s="112">
        <f t="shared" ca="1" si="0"/>
        <v>76801.885589993079</v>
      </c>
      <c r="E14" s="113">
        <f ca="1">Table1_Totals!E14</f>
        <v>64184.274420952563</v>
      </c>
      <c r="F14" s="114"/>
      <c r="G14" s="113">
        <f ca="1">Table1_Totals!G14</f>
        <v>12344.28226525257</v>
      </c>
      <c r="H14" s="113">
        <f ca="1">Table1_Totals!H14</f>
        <v>273.328903787939</v>
      </c>
      <c r="I14" s="114"/>
      <c r="J14" s="113">
        <f ca="1">Table1_Totals!J14</f>
        <v>0</v>
      </c>
      <c r="K14" s="114"/>
    </row>
    <row r="15" spans="1:11" s="33" customFormat="1" ht="15" customHeight="1" x14ac:dyDescent="0.25">
      <c r="A15" s="176" t="s">
        <v>18</v>
      </c>
      <c r="B15" s="10" t="s">
        <v>26</v>
      </c>
      <c r="C15" s="11" t="s">
        <v>16</v>
      </c>
      <c r="D15" s="116">
        <f t="shared" ca="1" si="0"/>
        <v>4465.0455573527752</v>
      </c>
      <c r="E15" s="117">
        <f ca="1">Table1_Totals!E15</f>
        <v>1276.0286793990897</v>
      </c>
      <c r="F15" s="118"/>
      <c r="G15" s="117">
        <f ca="1">Table1_Totals!G15</f>
        <v>3189.0168779536857</v>
      </c>
      <c r="H15" s="117">
        <f ca="1">Table1_Totals!H15</f>
        <v>0</v>
      </c>
      <c r="I15" s="118"/>
      <c r="J15" s="117">
        <f ca="1">Table1_Totals!J15</f>
        <v>0</v>
      </c>
      <c r="K15" s="118"/>
    </row>
    <row r="16" spans="1:11" s="33" customFormat="1" ht="15" customHeight="1" x14ac:dyDescent="0.25">
      <c r="A16" s="176"/>
      <c r="B16" s="10" t="s">
        <v>27</v>
      </c>
      <c r="C16" s="11" t="s">
        <v>16</v>
      </c>
      <c r="D16" s="116">
        <f t="shared" ca="1" si="0"/>
        <v>65094.886944554048</v>
      </c>
      <c r="E16" s="117">
        <f ca="1">Table1_Totals!E16</f>
        <v>58813.926349540554</v>
      </c>
      <c r="F16" s="118"/>
      <c r="G16" s="117">
        <f ca="1">Table1_Totals!G16</f>
        <v>6008.588510764017</v>
      </c>
      <c r="H16" s="117">
        <f ca="1">Table1_Totals!H16</f>
        <v>272.37208424947903</v>
      </c>
      <c r="I16" s="118"/>
      <c r="J16" s="117">
        <f ca="1">Table1_Totals!J16</f>
        <v>0</v>
      </c>
      <c r="K16" s="118"/>
    </row>
    <row r="17" spans="1:11" s="33" customFormat="1" ht="15" customHeight="1" x14ac:dyDescent="0.25">
      <c r="A17" s="176"/>
      <c r="B17" s="10" t="s">
        <v>28</v>
      </c>
      <c r="C17" s="11"/>
      <c r="D17" s="116">
        <f t="shared" ref="D17" ca="1" si="1">SUM(E17:J17)</f>
        <v>156.32945282658071</v>
      </c>
      <c r="E17" s="117">
        <f ca="1">Table1_Totals!E17</f>
        <v>135.76714923093701</v>
      </c>
      <c r="F17" s="118"/>
      <c r="G17" s="117">
        <f ca="1">Table1_Totals!G17</f>
        <v>19.605484057183691</v>
      </c>
      <c r="H17" s="117">
        <f ca="1">Table1_Totals!H17</f>
        <v>0.95681953846000956</v>
      </c>
      <c r="I17" s="118"/>
      <c r="J17" s="117">
        <f ca="1">Table1_Totals!J17</f>
        <v>0</v>
      </c>
      <c r="K17" s="118"/>
    </row>
    <row r="18" spans="1:11" s="33" customFormat="1" ht="15" customHeight="1" x14ac:dyDescent="0.25">
      <c r="A18" s="176"/>
      <c r="B18" s="33" t="s">
        <v>184</v>
      </c>
      <c r="C18" s="11" t="s">
        <v>16</v>
      </c>
      <c r="D18" s="116">
        <f t="shared" ca="1" si="0"/>
        <v>6843.0688776626248</v>
      </c>
      <c r="E18" s="117">
        <f ca="1">Table1_Totals!E18</f>
        <v>3715.9974851849402</v>
      </c>
      <c r="F18" s="118"/>
      <c r="G18" s="117">
        <f ca="1">Table1_Totals!G18</f>
        <v>3127.0713924776842</v>
      </c>
      <c r="H18" s="117">
        <f ca="1">Table1_Totals!H18</f>
        <v>0</v>
      </c>
      <c r="I18" s="118"/>
      <c r="J18" s="117">
        <f ca="1">Table1_Totals!J18</f>
        <v>0</v>
      </c>
      <c r="K18" s="118"/>
    </row>
    <row r="19" spans="1:11" ht="24" customHeight="1" x14ac:dyDescent="0.25">
      <c r="A19" s="177" t="s">
        <v>171</v>
      </c>
      <c r="B19" s="178"/>
      <c r="C19" s="101" t="s">
        <v>16</v>
      </c>
      <c r="D19" s="112">
        <f t="shared" ref="D19" ca="1" si="2">SUM(E19:J19)</f>
        <v>263211.16342765663</v>
      </c>
      <c r="E19" s="113">
        <f ca="1">SUM(E6:E10,E14)</f>
        <v>181924.85282885178</v>
      </c>
      <c r="F19" s="113">
        <f t="shared" ref="F19:J19" ca="1" si="3">SUM(F6:F10,F14)</f>
        <v>27.192214846555316</v>
      </c>
      <c r="G19" s="113">
        <f t="shared" ca="1" si="3"/>
        <v>39005.689608271176</v>
      </c>
      <c r="H19" s="113">
        <f t="shared" ca="1" si="3"/>
        <v>6953.411104047851</v>
      </c>
      <c r="I19" s="113">
        <f t="shared" ca="1" si="3"/>
        <v>27057.717420239347</v>
      </c>
      <c r="J19" s="113">
        <f t="shared" ca="1" si="3"/>
        <v>8242.3002513999163</v>
      </c>
      <c r="K19" s="114"/>
    </row>
    <row r="20" spans="1:11" ht="21" customHeight="1" x14ac:dyDescent="0.25">
      <c r="A20" s="34"/>
      <c r="B20" s="34"/>
      <c r="C20" s="92" t="s">
        <v>157</v>
      </c>
      <c r="D20" s="93" t="str">
        <f ca="1">IF(ABS(SUM(D6:D10,D14)-D19)&gt;0.01,"check values","")</f>
        <v/>
      </c>
      <c r="E20" s="93" t="str">
        <f t="shared" ref="E20:J20" ca="1" si="4">IF(SUM(E6:E10,E14)&lt;&gt;E19,"check values","")</f>
        <v/>
      </c>
      <c r="F20" s="93" t="str">
        <f t="shared" ca="1" si="4"/>
        <v/>
      </c>
      <c r="G20" s="93" t="str">
        <f t="shared" ca="1" si="4"/>
        <v/>
      </c>
      <c r="H20" s="93" t="str">
        <f t="shared" ca="1" si="4"/>
        <v/>
      </c>
      <c r="I20" s="93"/>
      <c r="J20" s="93" t="str">
        <f t="shared" ca="1" si="4"/>
        <v/>
      </c>
      <c r="K20" s="93"/>
    </row>
    <row r="21" spans="1:11" x14ac:dyDescent="0.25">
      <c r="D21" s="94"/>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ED19"/>
  <sheetViews>
    <sheetView showGridLines="0" zoomScale="90" zoomScaleNormal="90" workbookViewId="0">
      <pane xSplit="3" topLeftCell="D1" activePane="topRight" state="frozen"/>
      <selection activeCell="D11" sqref="D11:L13"/>
      <selection pane="topRight" activeCell="L18" sqref="L18"/>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30</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79"/>
      <c r="C6" s="8" t="s">
        <v>14</v>
      </c>
      <c r="D6" s="55">
        <f>'1a_SpaceHeating (2)'!D6/[6]Data!AZ$21*[6]Data!AZ$33</f>
        <v>2358.3430089905719</v>
      </c>
      <c r="E6" s="55">
        <f>'1a_SpaceHeating (2)'!E6/[6]Data!BA$21*[6]Data!BA$33</f>
        <v>2386.3769447927266</v>
      </c>
      <c r="F6" s="55">
        <f>'1a_SpaceHeating (2)'!F6/[6]Data!BB$21*[6]Data!BB$33</f>
        <v>2589.4218696431853</v>
      </c>
      <c r="G6" s="55">
        <f>'1a_SpaceHeating (2)'!G6/[6]Data!BC$21*[6]Data!BC$33</f>
        <v>2606.1517888082008</v>
      </c>
      <c r="H6" s="55">
        <f>'1a_SpaceHeating (2)'!H6/[6]Data!BD$21*[6]Data!BD$33</f>
        <v>2468.6653665189169</v>
      </c>
      <c r="I6" s="55">
        <f>'1a_SpaceHeating (2)'!I6/[6]Data!BE$21*[6]Data!BE$33</f>
        <v>2447.2365174061729</v>
      </c>
      <c r="J6" s="55">
        <f>'1a_SpaceHeating (2)'!J6/[6]Data!BF$21*[6]Data!BF$33</f>
        <v>2398.5932368827089</v>
      </c>
      <c r="K6" s="56">
        <f>'1a_SpaceHeating (2)'!K6/[6]Data!BG$21*[6]Data!BG$33</f>
        <v>2418.6646090590862</v>
      </c>
      <c r="L6" s="56">
        <f>'1a_SpaceHeating (2)'!L6/[6]Data!BH$21*[6]Data!BH$33</f>
        <v>2387.2479157360085</v>
      </c>
      <c r="M6" s="56"/>
      <c r="N6" s="56"/>
      <c r="O6" s="56"/>
      <c r="DS6" s="4" t="str">
        <f>VLOOKUP(Cover!$D$15, Country_list!$B$3:$C$44, 2, 0)</f>
        <v>AT</v>
      </c>
      <c r="DT6" s="32" t="s">
        <v>289</v>
      </c>
      <c r="DV6" s="32" t="s">
        <v>302</v>
      </c>
      <c r="EB6" s="32" t="s">
        <v>291</v>
      </c>
      <c r="ED6" s="32" t="s">
        <v>294</v>
      </c>
    </row>
    <row r="7" spans="1:134" ht="24" customHeight="1" x14ac:dyDescent="0.25">
      <c r="A7" s="156" t="s">
        <v>15</v>
      </c>
      <c r="B7" s="180"/>
      <c r="C7" s="9" t="s">
        <v>25</v>
      </c>
      <c r="D7" s="54">
        <f>'1a_SpaceHeating (2)'!D7/[6]Data!AZ$21*[6]Data!AZ$33</f>
        <v>19620.380557407225</v>
      </c>
      <c r="E7" s="54">
        <f>'1a_SpaceHeating (2)'!E7/[6]Data!BA$21*[6]Data!BA$33</f>
        <v>19290.378951217761</v>
      </c>
      <c r="F7" s="54">
        <f>'1a_SpaceHeating (2)'!F7/[6]Data!BB$21*[6]Data!BB$33</f>
        <v>22018.300633243707</v>
      </c>
      <c r="G7" s="54">
        <f>'1a_SpaceHeating (2)'!G7/[6]Data!BC$21*[6]Data!BC$33</f>
        <v>25477.348920897173</v>
      </c>
      <c r="H7" s="54">
        <f>'1a_SpaceHeating (2)'!H7/[6]Data!BD$21*[6]Data!BD$33</f>
        <v>23165.814275838522</v>
      </c>
      <c r="I7" s="54">
        <f>'1a_SpaceHeating (2)'!I7/[6]Data!BE$21*[6]Data!BE$33</f>
        <v>25671.696369071902</v>
      </c>
      <c r="J7" s="54">
        <f>'1a_SpaceHeating (2)'!J7/[6]Data!BF$21*[6]Data!BF$33</f>
        <v>26612.252400951373</v>
      </c>
      <c r="K7" s="54">
        <f>'1a_SpaceHeating (2)'!K7/[6]Data!BG$21*[6]Data!BG$33</f>
        <v>28511.211473602219</v>
      </c>
      <c r="L7" s="54">
        <f>'1a_SpaceHeating (2)'!L7/[6]Data!BH$21*[6]Data!BH$33</f>
        <v>26217.392806532986</v>
      </c>
      <c r="M7" s="54"/>
      <c r="N7" s="54"/>
      <c r="O7" s="54"/>
      <c r="DT7" s="32" t="s">
        <v>290</v>
      </c>
      <c r="EB7" s="32" t="s">
        <v>291</v>
      </c>
      <c r="ED7" s="32" t="s">
        <v>295</v>
      </c>
    </row>
    <row r="8" spans="1:134" ht="24" customHeight="1" x14ac:dyDescent="0.25">
      <c r="A8" s="156" t="s">
        <v>29</v>
      </c>
      <c r="B8" s="180"/>
      <c r="C8" s="9" t="s">
        <v>17</v>
      </c>
      <c r="D8" s="54">
        <f>'1a_SpaceHeating (2)'!D8/[6]Data!AZ$21*[6]Data!AZ$33</f>
        <v>59526.265412636516</v>
      </c>
      <c r="E8" s="54">
        <f>'1a_SpaceHeating (2)'!E8/[6]Data!BA$21*[6]Data!BA$33</f>
        <v>51993.778286826637</v>
      </c>
      <c r="F8" s="54">
        <f>'1a_SpaceHeating (2)'!F8/[6]Data!BB$21*[6]Data!BB$33</f>
        <v>53574.478039686823</v>
      </c>
      <c r="G8" s="54">
        <f>'1a_SpaceHeating (2)'!G8/[6]Data!BC$21*[6]Data!BC$33</f>
        <v>54812.089715690992</v>
      </c>
      <c r="H8" s="54">
        <f>'1a_SpaceHeating (2)'!H8/[6]Data!BD$21*[6]Data!BD$33</f>
        <v>46425.897360532013</v>
      </c>
      <c r="I8" s="54">
        <f>'1a_SpaceHeating (2)'!I8/[6]Data!BE$21*[6]Data!BE$33</f>
        <v>51880.492913049653</v>
      </c>
      <c r="J8" s="54">
        <f>'1a_SpaceHeating (2)'!J8/[6]Data!BF$21*[6]Data!BF$33</f>
        <v>58232.171146885856</v>
      </c>
      <c r="K8" s="54">
        <f>'1a_SpaceHeating (2)'!K8/[6]Data!BG$21*[6]Data!BG$33</f>
        <v>57471.389798351564</v>
      </c>
      <c r="L8" s="54">
        <f>'1a_SpaceHeating (2)'!L8/[6]Data!BH$21*[6]Data!BH$33</f>
        <v>52500.536902726817</v>
      </c>
      <c r="M8" s="54"/>
      <c r="N8" s="54"/>
      <c r="O8" s="54"/>
      <c r="DT8" s="32" t="s">
        <v>231</v>
      </c>
      <c r="EB8" s="32" t="s">
        <v>291</v>
      </c>
      <c r="ED8" s="32" t="s">
        <v>296</v>
      </c>
    </row>
    <row r="9" spans="1:134" ht="24" customHeight="1" x14ac:dyDescent="0.25">
      <c r="A9" s="156" t="s">
        <v>156</v>
      </c>
      <c r="B9" s="180"/>
      <c r="C9" s="9" t="s">
        <v>19</v>
      </c>
      <c r="D9" s="54">
        <f>'1a_SpaceHeating (2)'!D9/[6]Data!AZ$21*[6]Data!AZ$33</f>
        <v>87.206610585833005</v>
      </c>
      <c r="E9" s="54">
        <f>'1a_SpaceHeating (2)'!E9/[6]Data!BA$21*[6]Data!BA$33</f>
        <v>56.408922828375452</v>
      </c>
      <c r="F9" s="54">
        <f>'1a_SpaceHeating (2)'!F9/[6]Data!BB$21*[6]Data!BB$33</f>
        <v>61.051801226067823</v>
      </c>
      <c r="G9" s="54">
        <f>'1a_SpaceHeating (2)'!G9/[6]Data!BC$21*[6]Data!BC$33</f>
        <v>46.746952361218668</v>
      </c>
      <c r="H9" s="54">
        <f>'1a_SpaceHeating (2)'!H9/[6]Data!BD$21*[6]Data!BD$33</f>
        <v>38.513511298438686</v>
      </c>
      <c r="I9" s="54">
        <f>'1a_SpaceHeating (2)'!I9/[6]Data!BE$21*[6]Data!BE$33</f>
        <v>31.499726254657222</v>
      </c>
      <c r="J9" s="54">
        <f>'1a_SpaceHeating (2)'!J9/[6]Data!BF$21*[6]Data!BF$33</f>
        <v>30.016449340978895</v>
      </c>
      <c r="K9" s="54">
        <f>'1a_SpaceHeating (2)'!K9/[6]Data!BG$21*[6]Data!BG$33</f>
        <v>33.70367998331097</v>
      </c>
      <c r="L9" s="54">
        <f>'1a_SpaceHeating (2)'!L9/[6]Data!BH$21*[6]Data!BH$33</f>
        <v>30.256056339061747</v>
      </c>
      <c r="M9" s="54"/>
      <c r="N9" s="54"/>
      <c r="O9" s="54"/>
      <c r="DT9" s="32" t="s">
        <v>279</v>
      </c>
      <c r="EB9" s="32" t="s">
        <v>292</v>
      </c>
      <c r="ED9" s="32" t="s">
        <v>293</v>
      </c>
    </row>
    <row r="10" spans="1:134" ht="24" customHeight="1" x14ac:dyDescent="0.25">
      <c r="A10" s="156" t="s">
        <v>20</v>
      </c>
      <c r="B10" s="180"/>
      <c r="C10" s="9" t="s">
        <v>19</v>
      </c>
      <c r="D10" s="54">
        <f>'1a_SpaceHeating (2)'!D10/[6]Data!AZ$21*[6]Data!AZ$33</f>
        <v>1080.812294168134</v>
      </c>
      <c r="E10" s="54">
        <f>'1a_SpaceHeating (2)'!E10/[6]Data!BA$21*[6]Data!BA$33</f>
        <v>929.86972005545465</v>
      </c>
      <c r="F10" s="54">
        <f>'1a_SpaceHeating (2)'!F10/[6]Data!BB$21*[6]Data!BB$33</f>
        <v>860.80638552774451</v>
      </c>
      <c r="G10" s="54">
        <f>'1a_SpaceHeating (2)'!G10/[6]Data!BC$21*[6]Data!BC$33</f>
        <v>933.92587113973536</v>
      </c>
      <c r="H10" s="54">
        <f>'1a_SpaceHeating (2)'!H10/[6]Data!BD$21*[6]Data!BD$33</f>
        <v>808.69674026508642</v>
      </c>
      <c r="I10" s="54">
        <f>'1a_SpaceHeating (2)'!I10/[6]Data!BE$21*[6]Data!BE$33</f>
        <v>855.45912705709395</v>
      </c>
      <c r="J10" s="54">
        <f>'1a_SpaceHeating (2)'!J10/[6]Data!BF$21*[6]Data!BF$33</f>
        <v>853.45984382798429</v>
      </c>
      <c r="K10" s="54">
        <f>'1a_SpaceHeating (2)'!K10/[6]Data!BG$21*[6]Data!BG$33</f>
        <v>866.74193597905651</v>
      </c>
      <c r="L10" s="54">
        <f>'1a_SpaceHeating (2)'!L10/[6]Data!BH$21*[6]Data!BH$33</f>
        <v>782.44521975334283</v>
      </c>
      <c r="M10" s="54"/>
      <c r="N10" s="54"/>
      <c r="O10" s="54"/>
      <c r="DT10" s="32" t="s">
        <v>280</v>
      </c>
      <c r="EB10" s="32" t="s">
        <v>292</v>
      </c>
      <c r="ED10" s="32" t="s">
        <v>293</v>
      </c>
    </row>
    <row r="11" spans="1:134" s="33" customFormat="1" ht="15" customHeight="1" x14ac:dyDescent="0.25">
      <c r="A11" s="155" t="s">
        <v>18</v>
      </c>
      <c r="B11" s="102" t="s">
        <v>21</v>
      </c>
      <c r="C11" s="103" t="s">
        <v>19</v>
      </c>
      <c r="D11" s="105">
        <f>'1a_SpaceHeating (2)'!D11/[6]Data!AZ$21*[6]Data!AZ$33</f>
        <v>26.936082716722257</v>
      </c>
      <c r="E11" s="105">
        <f>'1a_SpaceHeating (2)'!E11/[6]Data!BA$21*[6]Data!BA$33</f>
        <v>17.966641814917924</v>
      </c>
      <c r="F11" s="105">
        <f>'1a_SpaceHeating (2)'!F11/[6]Data!BB$21*[6]Data!BB$33</f>
        <v>19.242888018749465</v>
      </c>
      <c r="G11" s="105">
        <f>'1a_SpaceHeating (2)'!G11/[6]Data!BC$21*[6]Data!BC$33</f>
        <v>23.502219080983043</v>
      </c>
      <c r="H11" s="105">
        <f>'1a_SpaceHeating (2)'!H11/[6]Data!BD$21*[6]Data!BD$33</f>
        <v>19.505655516599234</v>
      </c>
      <c r="I11" s="105">
        <f>'1a_SpaceHeating (2)'!I11/[6]Data!BE$21*[6]Data!BE$33</f>
        <v>19.696457857402727</v>
      </c>
      <c r="J11" s="105">
        <f>'1a_SpaceHeating (2)'!J11/[6]Data!BF$21*[6]Data!BF$33</f>
        <v>20.2297050759977</v>
      </c>
      <c r="K11" s="105">
        <f>'1a_SpaceHeating (2)'!K11/[6]Data!BG$21*[6]Data!BG$33</f>
        <v>24.568629012397381</v>
      </c>
      <c r="L11" s="105">
        <f>'1a_SpaceHeating (2)'!L11/[6]Data!BH$21*[6]Data!BH$33</f>
        <v>22.644599386855109</v>
      </c>
      <c r="M11" s="105"/>
      <c r="N11" s="105"/>
      <c r="O11" s="105"/>
      <c r="DT11" s="33" t="s">
        <v>281</v>
      </c>
      <c r="EB11" s="33" t="s">
        <v>292</v>
      </c>
      <c r="ED11" s="33" t="s">
        <v>293</v>
      </c>
    </row>
    <row r="12" spans="1:134" s="33" customFormat="1" ht="15" customHeight="1" x14ac:dyDescent="0.25">
      <c r="A12" s="155"/>
      <c r="B12" s="102" t="s">
        <v>22</v>
      </c>
      <c r="C12" s="103" t="s">
        <v>19</v>
      </c>
      <c r="D12" s="104">
        <f>'1a_SpaceHeating (2)'!D12/[6]Data!AZ$21*[6]Data!AZ$33</f>
        <v>0</v>
      </c>
      <c r="E12" s="104">
        <f>'1a_SpaceHeating (2)'!E12/[6]Data!BA$21*[6]Data!BA$33</f>
        <v>0</v>
      </c>
      <c r="F12" s="104">
        <f>'1a_SpaceHeating (2)'!F12/[6]Data!BB$21*[6]Data!BB$33</f>
        <v>0</v>
      </c>
      <c r="G12" s="104">
        <f>'1a_SpaceHeating (2)'!G12/[6]Data!BC$21*[6]Data!BC$33</f>
        <v>0</v>
      </c>
      <c r="H12" s="104">
        <f>'1a_SpaceHeating (2)'!H12/[6]Data!BD$21*[6]Data!BD$33</f>
        <v>0</v>
      </c>
      <c r="I12" s="104">
        <f>'1a_SpaceHeating (2)'!I12/[6]Data!BE$21*[6]Data!BE$33</f>
        <v>0</v>
      </c>
      <c r="J12" s="104">
        <f>'1a_SpaceHeating (2)'!J12/[6]Data!BF$21*[6]Data!BF$33</f>
        <v>0</v>
      </c>
      <c r="K12" s="104">
        <f>'1a_SpaceHeating (2)'!K12/[6]Data!BG$21*[6]Data!BG$33</f>
        <v>0</v>
      </c>
      <c r="L12" s="104">
        <f>'1a_SpaceHeating (2)'!L12/[6]Data!BH$21*[6]Data!BH$33</f>
        <v>0</v>
      </c>
      <c r="M12" s="105"/>
      <c r="N12" s="105"/>
      <c r="O12" s="105"/>
      <c r="DT12" s="33" t="s">
        <v>282</v>
      </c>
      <c r="EB12" s="33" t="s">
        <v>292</v>
      </c>
      <c r="ED12" s="33" t="s">
        <v>293</v>
      </c>
    </row>
    <row r="13" spans="1:134" s="33" customFormat="1" ht="15" customHeight="1" x14ac:dyDescent="0.25">
      <c r="A13" s="155"/>
      <c r="B13" s="102" t="s">
        <v>23</v>
      </c>
      <c r="C13" s="103" t="s">
        <v>19</v>
      </c>
      <c r="D13" s="105">
        <f>'1a_SpaceHeating (2)'!D13/[6]Data!AZ$21*[6]Data!AZ$33</f>
        <v>1028.5123759672215</v>
      </c>
      <c r="E13" s="105">
        <f>'1a_SpaceHeating (2)'!E13/[6]Data!BA$21*[6]Data!BA$33</f>
        <v>901.28367183706337</v>
      </c>
      <c r="F13" s="105">
        <f>'1a_SpaceHeating (2)'!F13/[6]Data!BB$21*[6]Data!BB$33</f>
        <v>835.75065021956743</v>
      </c>
      <c r="G13" s="105">
        <f>'1a_SpaceHeating (2)'!G13/[6]Data!BC$21*[6]Data!BC$33</f>
        <v>906.51965926544983</v>
      </c>
      <c r="H13" s="105">
        <f>'1a_SpaceHeating (2)'!H13/[6]Data!BD$21*[6]Data!BD$33</f>
        <v>789.04566220118761</v>
      </c>
      <c r="I13" s="105">
        <f>'1a_SpaceHeating (2)'!I13/[6]Data!BE$21*[6]Data!BE$33</f>
        <v>835.62449399538559</v>
      </c>
      <c r="J13" s="105">
        <f>'1a_SpaceHeating (2)'!J13/[6]Data!BF$21*[6]Data!BF$33</f>
        <v>833.07413322791786</v>
      </c>
      <c r="K13" s="105">
        <f>'1a_SpaceHeating (2)'!K13/[6]Data!BG$21*[6]Data!BG$33</f>
        <v>842.00055621761669</v>
      </c>
      <c r="L13" s="105">
        <f>'1a_SpaceHeating (2)'!L13/[6]Data!BH$21*[6]Data!BH$33</f>
        <v>759.667909585914</v>
      </c>
      <c r="M13" s="105"/>
      <c r="N13" s="105"/>
      <c r="O13" s="105"/>
      <c r="DT13" s="33" t="s">
        <v>283</v>
      </c>
      <c r="EB13" s="33" t="s">
        <v>292</v>
      </c>
      <c r="ED13" s="33" t="s">
        <v>293</v>
      </c>
    </row>
    <row r="14" spans="1:134" ht="24" customHeight="1" x14ac:dyDescent="0.25">
      <c r="A14" s="156" t="s">
        <v>24</v>
      </c>
      <c r="B14" s="180"/>
      <c r="C14" s="9" t="s">
        <v>25</v>
      </c>
      <c r="D14" s="57">
        <f>'1a_SpaceHeating (2)'!D14/[6]Data!AZ$21*[6]Data!AZ$33</f>
        <v>66233.644367946006</v>
      </c>
      <c r="E14" s="57">
        <f>'1a_SpaceHeating (2)'!E14/[6]Data!BA$21*[6]Data!BA$33</f>
        <v>62709.018934188382</v>
      </c>
      <c r="F14" s="57">
        <f>'1a_SpaceHeating (2)'!F14/[6]Data!BB$21*[6]Data!BB$33</f>
        <v>66845.194504799263</v>
      </c>
      <c r="G14" s="57">
        <f>'1a_SpaceHeating (2)'!G14/[6]Data!BC$21*[6]Data!BC$33</f>
        <v>70502.33946360655</v>
      </c>
      <c r="H14" s="57">
        <f>'1a_SpaceHeating (2)'!H14/[6]Data!BD$21*[6]Data!BD$33</f>
        <v>61211.156900149166</v>
      </c>
      <c r="I14" s="57">
        <f>'1a_SpaceHeating (2)'!I14/[6]Data!BE$21*[6]Data!BE$33</f>
        <v>66222.781248876956</v>
      </c>
      <c r="J14" s="57">
        <f>'1a_SpaceHeating (2)'!J14/[6]Data!BF$21*[6]Data!BF$33</f>
        <v>68478.985144605947</v>
      </c>
      <c r="K14" s="57">
        <f>'1a_SpaceHeating (2)'!K14/[6]Data!BG$21*[6]Data!BG$33</f>
        <v>69534.707985251414</v>
      </c>
      <c r="L14" s="57">
        <f>'1a_SpaceHeating (2)'!L14/[6]Data!BH$21*[6]Data!BH$33</f>
        <v>64184.274420952563</v>
      </c>
      <c r="M14" s="54"/>
      <c r="N14" s="54"/>
      <c r="O14" s="54"/>
      <c r="DT14" s="32" t="s">
        <v>284</v>
      </c>
      <c r="EB14" s="32" t="s">
        <v>291</v>
      </c>
      <c r="ED14" s="32" t="s">
        <v>295</v>
      </c>
    </row>
    <row r="15" spans="1:134" s="33" customFormat="1" ht="15" customHeight="1" x14ac:dyDescent="0.25">
      <c r="A15" s="155" t="s">
        <v>18</v>
      </c>
      <c r="B15" s="102" t="s">
        <v>26</v>
      </c>
      <c r="C15" s="103" t="s">
        <v>25</v>
      </c>
      <c r="D15" s="105">
        <f>'1a_SpaceHeating (2)'!D15/[6]Data!AZ$21*[6]Data!AZ$33</f>
        <v>1383.8837181301969</v>
      </c>
      <c r="E15" s="105">
        <f>'1a_SpaceHeating (2)'!E15/[6]Data!BA$21*[6]Data!BA$33</f>
        <v>1198.7220420258168</v>
      </c>
      <c r="F15" s="105">
        <f>'1a_SpaceHeating (2)'!F15/[6]Data!BB$21*[6]Data!BB$33</f>
        <v>1143.7478318012688</v>
      </c>
      <c r="G15" s="105">
        <f>'1a_SpaceHeating (2)'!G15/[6]Data!BC$21*[6]Data!BC$33</f>
        <v>1293.9445961232536</v>
      </c>
      <c r="H15" s="105">
        <f>'1a_SpaceHeating (2)'!H15/[6]Data!BD$21*[6]Data!BD$33</f>
        <v>1301.2011433056525</v>
      </c>
      <c r="I15" s="105">
        <f>'1a_SpaceHeating (2)'!I15/[6]Data!BE$21*[6]Data!BE$33</f>
        <v>1458.0179080623907</v>
      </c>
      <c r="J15" s="105">
        <f>'1a_SpaceHeating (2)'!J15/[6]Data!BF$21*[6]Data!BF$33</f>
        <v>1535.0444920128832</v>
      </c>
      <c r="K15" s="105">
        <f>'1a_SpaceHeating (2)'!K15/[6]Data!BG$21*[6]Data!BG$33</f>
        <v>1396.7775769849688</v>
      </c>
      <c r="L15" s="105">
        <f>'1a_SpaceHeating (2)'!L15/[6]Data!BH$21*[6]Data!BH$33</f>
        <v>1276.0286793990897</v>
      </c>
      <c r="M15" s="105"/>
      <c r="N15" s="105"/>
      <c r="O15" s="105"/>
      <c r="DT15" s="33" t="s">
        <v>285</v>
      </c>
      <c r="EB15" s="33" t="s">
        <v>291</v>
      </c>
      <c r="ED15" s="33" t="s">
        <v>295</v>
      </c>
    </row>
    <row r="16" spans="1:134" s="33" customFormat="1" ht="15" customHeight="1" x14ac:dyDescent="0.25">
      <c r="A16" s="155"/>
      <c r="B16" s="102" t="s">
        <v>27</v>
      </c>
      <c r="C16" s="103" t="s">
        <v>25</v>
      </c>
      <c r="D16" s="105">
        <f>'1a_SpaceHeating (2)'!D16/[6]Data!AZ$21*[6]Data!AZ$33</f>
        <v>62879.511843675573</v>
      </c>
      <c r="E16" s="105">
        <f>'1a_SpaceHeating (2)'!E16/[6]Data!BA$21*[6]Data!BA$33</f>
        <v>59656.702313213929</v>
      </c>
      <c r="F16" s="105">
        <f>'1a_SpaceHeating (2)'!F16/[6]Data!BB$21*[6]Data!BB$33</f>
        <v>63681.824636998055</v>
      </c>
      <c r="G16" s="105">
        <f>'1a_SpaceHeating (2)'!G16/[6]Data!BC$21*[6]Data!BC$33</f>
        <v>66823.564572612915</v>
      </c>
      <c r="H16" s="105">
        <f>'1a_SpaceHeating (2)'!H16/[6]Data!BD$21*[6]Data!BD$33</f>
        <v>57658.855024959637</v>
      </c>
      <c r="I16" s="105">
        <f>'1a_SpaceHeating (2)'!I16/[6]Data!BE$21*[6]Data!BE$33</f>
        <v>61468.498649898451</v>
      </c>
      <c r="J16" s="105">
        <f>'1a_SpaceHeating (2)'!J16/[6]Data!BF$21*[6]Data!BF$33</f>
        <v>63431.743805076825</v>
      </c>
      <c r="K16" s="105">
        <f>'1a_SpaceHeating (2)'!K16/[6]Data!BG$21*[6]Data!BG$33</f>
        <v>64508.19194277576</v>
      </c>
      <c r="L16" s="105">
        <f>'1a_SpaceHeating (2)'!L16/[6]Data!BH$21*[6]Data!BH$33</f>
        <v>58813.926349540554</v>
      </c>
      <c r="M16" s="105"/>
      <c r="N16" s="105"/>
      <c r="O16" s="105"/>
      <c r="DT16" s="33" t="s">
        <v>286</v>
      </c>
      <c r="EB16" s="33" t="s">
        <v>291</v>
      </c>
      <c r="ED16" s="33" t="s">
        <v>295</v>
      </c>
    </row>
    <row r="17" spans="1:134" s="33" customFormat="1" ht="15" customHeight="1" x14ac:dyDescent="0.25">
      <c r="A17" s="155"/>
      <c r="B17" s="102" t="s">
        <v>28</v>
      </c>
      <c r="C17" s="103" t="s">
        <v>25</v>
      </c>
      <c r="D17" s="104">
        <f>'1a_SpaceHeating (2)'!D17/[6]Data!AZ$21*[6]Data!AZ$33</f>
        <v>5.5061411976038901</v>
      </c>
      <c r="E17" s="104">
        <f>'1a_SpaceHeating (2)'!E17/[6]Data!BA$21*[6]Data!BA$33</f>
        <v>17.635393681143544</v>
      </c>
      <c r="F17" s="104">
        <f>'1a_SpaceHeating (2)'!F17/[6]Data!BB$21*[6]Data!BB$33</f>
        <v>21.651190927092614</v>
      </c>
      <c r="G17" s="104">
        <f>'1a_SpaceHeating (2)'!G17/[6]Data!BC$21*[6]Data!BC$33</f>
        <v>36.278654134391722</v>
      </c>
      <c r="H17" s="104">
        <f>'1a_SpaceHeating (2)'!H17/[6]Data!BD$21*[6]Data!BD$33</f>
        <v>53.515311497535365</v>
      </c>
      <c r="I17" s="104">
        <f>'1a_SpaceHeating (2)'!I17/[6]Data!BE$21*[6]Data!BE$33</f>
        <v>82.142743288189109</v>
      </c>
      <c r="J17" s="104">
        <f>'1a_SpaceHeating (2)'!J17/[6]Data!BF$21*[6]Data!BF$33</f>
        <v>115.32322650877535</v>
      </c>
      <c r="K17" s="104">
        <f>'1a_SpaceHeating (2)'!K17/[6]Data!BG$21*[6]Data!BG$33</f>
        <v>179.12017813135787</v>
      </c>
      <c r="L17" s="104">
        <f>'1a_SpaceHeating (2)'!L17/[6]Data!BH$21*[6]Data!BH$33</f>
        <v>135.76714923093701</v>
      </c>
      <c r="M17" s="104"/>
      <c r="N17" s="104"/>
      <c r="O17" s="104"/>
      <c r="DT17" s="33" t="s">
        <v>287</v>
      </c>
      <c r="EB17" s="33" t="s">
        <v>291</v>
      </c>
      <c r="ED17" s="33" t="s">
        <v>295</v>
      </c>
    </row>
    <row r="18" spans="1:134" s="33" customFormat="1" ht="15" customHeight="1" x14ac:dyDescent="0.25">
      <c r="A18" s="155"/>
      <c r="B18" s="102" t="s">
        <v>184</v>
      </c>
      <c r="C18" s="103" t="s">
        <v>25</v>
      </c>
      <c r="D18" s="104">
        <f>'1a_SpaceHeating (2)'!D18/[6]Data!AZ$21*[6]Data!AZ$33</f>
        <v>1757.1759086936952</v>
      </c>
      <c r="E18" s="104">
        <f>'1a_SpaceHeating (2)'!E18/[6]Data!BA$21*[6]Data!BA$33</f>
        <v>1641.454710155778</v>
      </c>
      <c r="F18" s="104">
        <f>'1a_SpaceHeating (2)'!F18/[6]Data!BB$21*[6]Data!BB$33</f>
        <v>1772.5682393419643</v>
      </c>
      <c r="G18" s="104">
        <f>'1a_SpaceHeating (2)'!G18/[6]Data!BC$21*[6]Data!BC$33</f>
        <v>2145.9559159610535</v>
      </c>
      <c r="H18" s="104">
        <f>'1a_SpaceHeating (2)'!H18/[6]Data!BD$21*[6]Data!BD$33</f>
        <v>2006.2293611556254</v>
      </c>
      <c r="I18" s="104">
        <f>'1a_SpaceHeating (2)'!I18/[6]Data!BE$21*[6]Data!BE$33</f>
        <v>2970.3173571136704</v>
      </c>
      <c r="J18" s="104">
        <f>'1a_SpaceHeating (2)'!J18/[6]Data!BF$21*[6]Data!BF$33</f>
        <v>3140.3706492133879</v>
      </c>
      <c r="K18" s="104">
        <f>'1a_SpaceHeating (2)'!K18/[6]Data!BG$21*[6]Data!BG$33</f>
        <v>3235.151916448363</v>
      </c>
      <c r="L18" s="104">
        <f>'1a_SpaceHeating (2)'!L18/[6]Data!BH$21*[6]Data!BH$33</f>
        <v>3715.9974851849402</v>
      </c>
      <c r="M18" s="104"/>
      <c r="N18" s="104"/>
      <c r="O18" s="104"/>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5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ED19"/>
  <sheetViews>
    <sheetView showGridLines="0" zoomScale="90" zoomScaleNormal="90" workbookViewId="0">
      <pane xSplit="3" topLeftCell="D1" activePane="topRight" state="frozen"/>
      <selection activeCell="D11" sqref="D11:L13"/>
      <selection pane="topRight" activeCell="D6" sqref="D6:L6"/>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31</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53"/>
      <c r="C6" s="8" t="s">
        <v>14</v>
      </c>
      <c r="D6" s="55">
        <f>'1b_SpaceCooling (2)'!D6/[6]Data!AZ$21*[6]Data!AZ$33</f>
        <v>5.5309896249720376</v>
      </c>
      <c r="E6" s="55">
        <f>'1b_SpaceCooling (2)'!E6/[6]Data!BA$21*[6]Data!BA$33</f>
        <v>6.5577688305501942</v>
      </c>
      <c r="F6" s="55">
        <f>'1b_SpaceCooling (2)'!F6/[6]Data!BB$21*[6]Data!BB$33</f>
        <v>8.99152923206913</v>
      </c>
      <c r="G6" s="55">
        <f>'1b_SpaceCooling (2)'!G6/[6]Data!BC$21*[6]Data!BC$33</f>
        <v>8.1996523308688296</v>
      </c>
      <c r="H6" s="55">
        <f>'1b_SpaceCooling (2)'!H6/[6]Data!BD$21*[6]Data!BD$33</f>
        <v>7.3467898605443889</v>
      </c>
      <c r="I6" s="55">
        <f>'1b_SpaceCooling (2)'!I6/[6]Data!BE$21*[6]Data!BE$33</f>
        <v>6.8539577922720873</v>
      </c>
      <c r="J6" s="55">
        <f>'1b_SpaceCooling (2)'!J6/[6]Data!BF$21*[6]Data!BF$33</f>
        <v>5.8379155979024233</v>
      </c>
      <c r="K6" s="55">
        <f>'1b_SpaceCooling (2)'!K6/[6]Data!BG$21*[6]Data!BG$33</f>
        <v>7.6527972810316021</v>
      </c>
      <c r="L6" s="56">
        <f>'1b_SpaceCooling (2)'!L6/[6]Data!BH$21*[6]Data!BH$33</f>
        <v>7.5533930129320321</v>
      </c>
      <c r="M6" s="56"/>
      <c r="N6" s="56"/>
      <c r="O6" s="56"/>
      <c r="DS6" s="4" t="str">
        <f>VLOOKUP(Cover!$D$15, Country_list!$B$3:$C$44, 2, 0)</f>
        <v>AT</v>
      </c>
      <c r="DT6" s="32" t="s">
        <v>289</v>
      </c>
      <c r="DV6" s="32" t="s">
        <v>303</v>
      </c>
      <c r="EB6" s="32" t="s">
        <v>291</v>
      </c>
      <c r="ED6" s="32" t="s">
        <v>294</v>
      </c>
    </row>
    <row r="7" spans="1:134" ht="24" customHeight="1" x14ac:dyDescent="0.25">
      <c r="A7" s="183" t="s">
        <v>15</v>
      </c>
      <c r="B7" s="184"/>
      <c r="C7" s="120" t="s">
        <v>25</v>
      </c>
      <c r="D7" s="121"/>
      <c r="E7" s="122"/>
      <c r="F7" s="122"/>
      <c r="G7" s="122"/>
      <c r="H7" s="122"/>
      <c r="I7" s="122"/>
      <c r="J7" s="122"/>
      <c r="K7" s="122"/>
      <c r="L7" s="122"/>
      <c r="M7" s="122"/>
      <c r="N7" s="122"/>
      <c r="O7" s="122"/>
      <c r="DT7" s="32" t="s">
        <v>290</v>
      </c>
      <c r="EB7" s="32" t="s">
        <v>291</v>
      </c>
      <c r="ED7" s="32" t="s">
        <v>295</v>
      </c>
    </row>
    <row r="8" spans="1:134" ht="24" customHeight="1" x14ac:dyDescent="0.25">
      <c r="A8" s="183" t="s">
        <v>29</v>
      </c>
      <c r="B8" s="184"/>
      <c r="C8" s="120" t="s">
        <v>17</v>
      </c>
      <c r="D8" s="121"/>
      <c r="E8" s="122"/>
      <c r="F8" s="122"/>
      <c r="G8" s="122"/>
      <c r="H8" s="122"/>
      <c r="I8" s="122"/>
      <c r="J8" s="122"/>
      <c r="K8" s="122"/>
      <c r="L8" s="122"/>
      <c r="M8" s="122"/>
      <c r="N8" s="122"/>
      <c r="O8" s="122"/>
      <c r="DT8" s="32" t="s">
        <v>231</v>
      </c>
      <c r="EB8" s="32" t="s">
        <v>291</v>
      </c>
      <c r="ED8" s="32" t="s">
        <v>296</v>
      </c>
    </row>
    <row r="9" spans="1:134" ht="24" customHeight="1" x14ac:dyDescent="0.25">
      <c r="A9" s="183" t="s">
        <v>156</v>
      </c>
      <c r="B9" s="184"/>
      <c r="C9" s="120" t="s">
        <v>19</v>
      </c>
      <c r="D9" s="121"/>
      <c r="E9" s="122"/>
      <c r="F9" s="122"/>
      <c r="G9" s="122"/>
      <c r="H9" s="122"/>
      <c r="I9" s="122"/>
      <c r="J9" s="122"/>
      <c r="K9" s="122"/>
      <c r="L9" s="122"/>
      <c r="M9" s="122"/>
      <c r="N9" s="122"/>
      <c r="O9" s="122"/>
      <c r="DT9" s="32" t="s">
        <v>279</v>
      </c>
      <c r="EB9" s="32" t="s">
        <v>292</v>
      </c>
      <c r="ED9" s="32" t="s">
        <v>293</v>
      </c>
    </row>
    <row r="10" spans="1:134" ht="24" customHeight="1" x14ac:dyDescent="0.25">
      <c r="A10" s="183" t="s">
        <v>20</v>
      </c>
      <c r="B10" s="184"/>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25">
      <c r="A11" s="185"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25">
      <c r="A12" s="185"/>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25">
      <c r="A13" s="185"/>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25">
      <c r="A14" s="183" t="s">
        <v>24</v>
      </c>
      <c r="B14" s="184"/>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25">
      <c r="A15" s="185"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25">
      <c r="A16" s="185"/>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25">
      <c r="A17" s="185"/>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25">
      <c r="A18" s="185"/>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xr:uid="{00000000-0002-0000-06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ED19"/>
  <sheetViews>
    <sheetView showGridLines="0" zoomScale="90" zoomScaleNormal="90" workbookViewId="0">
      <pane xSplit="3" topLeftCell="D1" activePane="topRight" state="frozen"/>
      <selection activeCell="D11" sqref="D11:L13"/>
      <selection pane="topRight" activeCell="D6" sqref="D6:L18"/>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8</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79"/>
      <c r="C6" s="8" t="s">
        <v>14</v>
      </c>
      <c r="D6" s="55">
        <f>'1c_WaterHeating (2)'!D6/[6]Data!AZ$21*[6]Data!AZ$33</f>
        <v>3048.8579629127257</v>
      </c>
      <c r="E6" s="55">
        <f>'1c_WaterHeating (2)'!E6/[6]Data!BA$21*[6]Data!BA$33</f>
        <v>2991.9344246520836</v>
      </c>
      <c r="F6" s="55">
        <f>'1c_WaterHeating (2)'!F6/[6]Data!BB$21*[6]Data!BB$33</f>
        <v>3064.657423570417</v>
      </c>
      <c r="G6" s="55">
        <f>'1c_WaterHeating (2)'!G6/[6]Data!BC$21*[6]Data!BC$33</f>
        <v>3170.1123276423336</v>
      </c>
      <c r="H6" s="55">
        <f>'1c_WaterHeating (2)'!H6/[6]Data!BD$21*[6]Data!BD$33</f>
        <v>3045.2288854644494</v>
      </c>
      <c r="I6" s="55">
        <f>'1c_WaterHeating (2)'!I6/[6]Data!BE$21*[6]Data!BE$33</f>
        <v>3062.0331419104682</v>
      </c>
      <c r="J6" s="55">
        <f>'1c_WaterHeating (2)'!J6/[6]Data!BF$21*[6]Data!BF$33</f>
        <v>3089.8310215302577</v>
      </c>
      <c r="K6" s="56">
        <f>'1c_WaterHeating (2)'!K6/[6]Data!BG$21*[6]Data!BG$33</f>
        <v>3115.6866553416198</v>
      </c>
      <c r="L6" s="56">
        <f>'1c_WaterHeating (2)'!L6/[6]Data!BH$21*[6]Data!BH$33</f>
        <v>3075.2161528275265</v>
      </c>
      <c r="M6" s="56"/>
      <c r="N6" s="56"/>
      <c r="O6" s="56"/>
      <c r="DS6" s="4" t="str">
        <f>VLOOKUP(Cover!$D$15, Country_list!$B$3:$C$44, 2, 0)</f>
        <v>AT</v>
      </c>
      <c r="DT6" s="32" t="s">
        <v>289</v>
      </c>
      <c r="DV6" s="32" t="s">
        <v>304</v>
      </c>
      <c r="EB6" s="32" t="s">
        <v>291</v>
      </c>
      <c r="ED6" s="32" t="s">
        <v>294</v>
      </c>
    </row>
    <row r="7" spans="1:134" ht="24" customHeight="1" x14ac:dyDescent="0.25">
      <c r="A7" s="156" t="s">
        <v>15</v>
      </c>
      <c r="B7" s="180"/>
      <c r="C7" s="9" t="s">
        <v>25</v>
      </c>
      <c r="D7" s="57">
        <f>'1c_WaterHeating (2)'!D7/[6]Data!AZ$21*[6]Data!AZ$33</f>
        <v>3675.2331012702352</v>
      </c>
      <c r="E7" s="57">
        <f>'1c_WaterHeating (2)'!E7/[6]Data!BA$21*[6]Data!BA$33</f>
        <v>3724.9773932201488</v>
      </c>
      <c r="F7" s="57">
        <f>'1c_WaterHeating (2)'!F7/[6]Data!BB$21*[6]Data!BB$33</f>
        <v>3899.6360085814999</v>
      </c>
      <c r="G7" s="57">
        <f>'1c_WaterHeating (2)'!G7/[6]Data!BC$21*[6]Data!BC$33</f>
        <v>4184.8455395671517</v>
      </c>
      <c r="H7" s="57">
        <f>'1c_WaterHeating (2)'!H7/[6]Data!BD$21*[6]Data!BD$33</f>
        <v>4452.4130338443965</v>
      </c>
      <c r="I7" s="57">
        <f>'1c_WaterHeating (2)'!I7/[6]Data!BE$21*[6]Data!BE$33</f>
        <v>4531.3440978073731</v>
      </c>
      <c r="J7" s="57">
        <f>'1c_WaterHeating (2)'!J7/[6]Data!BF$21*[6]Data!BF$33</f>
        <v>4644.9454910487293</v>
      </c>
      <c r="K7" s="54">
        <f>'1c_WaterHeating (2)'!K7/[6]Data!BG$21*[6]Data!BG$33</f>
        <v>4646.3993455258551</v>
      </c>
      <c r="L7" s="54">
        <f>'1c_WaterHeating (2)'!L7/[6]Data!BH$21*[6]Data!BH$33</f>
        <v>4562.9397861781608</v>
      </c>
      <c r="M7" s="54"/>
      <c r="N7" s="54"/>
      <c r="O7" s="54"/>
      <c r="DT7" s="32" t="s">
        <v>290</v>
      </c>
      <c r="EB7" s="32" t="s">
        <v>291</v>
      </c>
      <c r="ED7" s="32" t="s">
        <v>295</v>
      </c>
    </row>
    <row r="8" spans="1:134" ht="24" customHeight="1" x14ac:dyDescent="0.25">
      <c r="A8" s="156" t="s">
        <v>29</v>
      </c>
      <c r="B8" s="180"/>
      <c r="C8" s="9" t="s">
        <v>17</v>
      </c>
      <c r="D8" s="57">
        <f>'1c_WaterHeating (2)'!D8/[6]Data!AZ$21*[6]Data!AZ$33</f>
        <v>7761.4915179179925</v>
      </c>
      <c r="E8" s="57">
        <f>'1c_WaterHeating (2)'!E8/[6]Data!BA$21*[6]Data!BA$33</f>
        <v>8180.7997835567876</v>
      </c>
      <c r="F8" s="57">
        <f>'1c_WaterHeating (2)'!F8/[6]Data!BB$21*[6]Data!BB$33</f>
        <v>8191.9208833995172</v>
      </c>
      <c r="G8" s="57">
        <f>'1c_WaterHeating (2)'!G8/[6]Data!BC$21*[6]Data!BC$33</f>
        <v>7957.3205324493319</v>
      </c>
      <c r="H8" s="57">
        <f>'1c_WaterHeating (2)'!H8/[6]Data!BD$21*[6]Data!BD$33</f>
        <v>8308.6210612486102</v>
      </c>
      <c r="I8" s="57">
        <f>'1c_WaterHeating (2)'!I8/[6]Data!BE$21*[6]Data!BE$33</f>
        <v>7962.9578174088465</v>
      </c>
      <c r="J8" s="57">
        <f>'1c_WaterHeating (2)'!J8/[6]Data!BF$21*[6]Data!BF$33</f>
        <v>7716.7218651853545</v>
      </c>
      <c r="K8" s="57">
        <f>'1c_WaterHeating (2)'!K8/[6]Data!BG$21*[6]Data!BG$33</f>
        <v>7720.0197432777122</v>
      </c>
      <c r="L8" s="54">
        <f>'1c_WaterHeating (2)'!L8/[6]Data!BH$21*[6]Data!BH$33</f>
        <v>7581.3511962984494</v>
      </c>
      <c r="M8" s="54"/>
      <c r="N8" s="54"/>
      <c r="O8" s="54"/>
      <c r="DT8" s="32" t="s">
        <v>231</v>
      </c>
      <c r="EB8" s="32" t="s">
        <v>291</v>
      </c>
      <c r="ED8" s="32" t="s">
        <v>296</v>
      </c>
    </row>
    <row r="9" spans="1:134" ht="24" customHeight="1" x14ac:dyDescent="0.25">
      <c r="A9" s="156" t="s">
        <v>156</v>
      </c>
      <c r="B9" s="180"/>
      <c r="C9" s="9" t="s">
        <v>19</v>
      </c>
      <c r="D9" s="54">
        <f>'1c_WaterHeating (2)'!D9/[6]Data!AZ$21*[6]Data!AZ$33</f>
        <v>6.4570256239208641</v>
      </c>
      <c r="E9" s="54">
        <f>'1c_WaterHeating (2)'!E9/[6]Data!BA$21*[6]Data!BA$33</f>
        <v>5.0234100443248559</v>
      </c>
      <c r="F9" s="54">
        <f>'1c_WaterHeating (2)'!F9/[6]Data!BB$21*[6]Data!BB$33</f>
        <v>3.2709578546954137</v>
      </c>
      <c r="G9" s="54">
        <f>'1c_WaterHeating (2)'!G9/[6]Data!BC$21*[6]Data!BC$33</f>
        <v>3.2910744791558595</v>
      </c>
      <c r="H9" s="54">
        <f>'1c_WaterHeating (2)'!H9/[6]Data!BD$21*[6]Data!BD$33</f>
        <v>3.6418936626577629</v>
      </c>
      <c r="I9" s="54">
        <f>'1c_WaterHeating (2)'!I9/[6]Data!BE$21*[6]Data!BE$33</f>
        <v>2.7586897864503315</v>
      </c>
      <c r="J9" s="54">
        <f>'1c_WaterHeating (2)'!J9/[6]Data!BF$21*[6]Data!BF$33</f>
        <v>1.8614912424801608</v>
      </c>
      <c r="K9" s="54">
        <f>'1c_WaterHeating (2)'!K9/[6]Data!BG$21*[6]Data!BG$33</f>
        <v>2.0711458975366663</v>
      </c>
      <c r="L9" s="54">
        <f>'1c_WaterHeating (2)'!L9/[6]Data!BH$21*[6]Data!BH$33</f>
        <v>1.859283822814471</v>
      </c>
      <c r="M9" s="54"/>
      <c r="N9" s="54"/>
      <c r="O9" s="54"/>
      <c r="DT9" s="32" t="s">
        <v>279</v>
      </c>
      <c r="EB9" s="32" t="s">
        <v>292</v>
      </c>
      <c r="ED9" s="32" t="s">
        <v>293</v>
      </c>
    </row>
    <row r="10" spans="1:134" ht="24" customHeight="1" x14ac:dyDescent="0.25">
      <c r="A10" s="156" t="s">
        <v>20</v>
      </c>
      <c r="B10" s="180"/>
      <c r="C10" s="9" t="s">
        <v>19</v>
      </c>
      <c r="D10" s="57">
        <f>'1c_WaterHeating (2)'!D10/[6]Data!AZ$21*[6]Data!AZ$33</f>
        <v>134.89271159305792</v>
      </c>
      <c r="E10" s="54">
        <f>'1c_WaterHeating (2)'!E10/[6]Data!BA$21*[6]Data!BA$33</f>
        <v>129.99603990720689</v>
      </c>
      <c r="F10" s="54">
        <f>'1c_WaterHeating (2)'!F10/[6]Data!BB$21*[6]Data!BB$33</f>
        <v>110.47539374995243</v>
      </c>
      <c r="G10" s="54">
        <f>'1c_WaterHeating (2)'!G10/[6]Data!BC$21*[6]Data!BC$33</f>
        <v>116.1706527074581</v>
      </c>
      <c r="H10" s="54">
        <f>'1c_WaterHeating (2)'!H10/[6]Data!BD$21*[6]Data!BD$33</f>
        <v>113.27952830933336</v>
      </c>
      <c r="I10" s="54">
        <f>'1c_WaterHeating (2)'!I10/[6]Data!BE$21*[6]Data!BE$33</f>
        <v>107.83982299119847</v>
      </c>
      <c r="J10" s="54">
        <f>'1c_WaterHeating (2)'!J10/[6]Data!BF$21*[6]Data!BF$33</f>
        <v>102.50802614414874</v>
      </c>
      <c r="K10" s="54">
        <f>'1c_WaterHeating (2)'!K10/[6]Data!BG$21*[6]Data!BG$33</f>
        <v>103.22733567456272</v>
      </c>
      <c r="L10" s="54">
        <f>'1c_WaterHeating (2)'!L10/[6]Data!BH$21*[6]Data!BH$33</f>
        <v>93.189077630312113</v>
      </c>
      <c r="M10" s="54"/>
      <c r="N10" s="54"/>
      <c r="O10" s="54"/>
      <c r="DT10" s="32" t="s">
        <v>280</v>
      </c>
      <c r="EB10" s="32" t="s">
        <v>292</v>
      </c>
      <c r="ED10" s="32" t="s">
        <v>293</v>
      </c>
    </row>
    <row r="11" spans="1:134" s="33" customFormat="1" ht="15" customHeight="1" x14ac:dyDescent="0.25">
      <c r="A11" s="155" t="s">
        <v>18</v>
      </c>
      <c r="B11" s="102" t="s">
        <v>21</v>
      </c>
      <c r="C11" s="103" t="s">
        <v>19</v>
      </c>
      <c r="D11" s="105">
        <f>'1c_WaterHeating (2)'!D11/[6]Data!AZ$21*[6]Data!AZ$33</f>
        <v>3.3497982782410616</v>
      </c>
      <c r="E11" s="105">
        <f>'1c_WaterHeating (2)'!E11/[6]Data!BA$21*[6]Data!BA$33</f>
        <v>3.8811903612547805</v>
      </c>
      <c r="F11" s="105">
        <f>'1c_WaterHeating (2)'!F11/[6]Data!BB$21*[6]Data!BB$33</f>
        <v>3.7646790869295566</v>
      </c>
      <c r="G11" s="105">
        <f>'1c_WaterHeating (2)'!G11/[6]Data!BC$21*[6]Data!BC$33</f>
        <v>2.8203666460807573</v>
      </c>
      <c r="H11" s="105">
        <f>'1c_WaterHeating (2)'!H11/[6]Data!BD$21*[6]Data!BD$33</f>
        <v>3.0168503731455081</v>
      </c>
      <c r="I11" s="105">
        <f>'1c_WaterHeating (2)'!I11/[6]Data!BE$21*[6]Data!BE$33</f>
        <v>3.0256450308792955</v>
      </c>
      <c r="J11" s="105">
        <f>'1c_WaterHeating (2)'!J11/[6]Data!BF$21*[6]Data!BF$33</f>
        <v>2.3752990857671579</v>
      </c>
      <c r="K11" s="105">
        <f>'1c_WaterHeating (2)'!K11/[6]Data!BG$21*[6]Data!BG$33</f>
        <v>2.8524016104982315</v>
      </c>
      <c r="L11" s="105">
        <f>'1c_WaterHeating (2)'!L11/[6]Data!BH$21*[6]Data!BH$33</f>
        <v>2.6290230410317066</v>
      </c>
      <c r="M11" s="105"/>
      <c r="N11" s="105"/>
      <c r="O11" s="105"/>
      <c r="DT11" s="33" t="s">
        <v>281</v>
      </c>
      <c r="EB11" s="33" t="s">
        <v>292</v>
      </c>
      <c r="ED11" s="33" t="s">
        <v>293</v>
      </c>
    </row>
    <row r="12" spans="1:134" s="33" customFormat="1" ht="15" customHeight="1" x14ac:dyDescent="0.25">
      <c r="A12" s="155"/>
      <c r="B12" s="102" t="s">
        <v>22</v>
      </c>
      <c r="C12" s="103" t="s">
        <v>19</v>
      </c>
      <c r="D12" s="104">
        <f>'1c_WaterHeating (2)'!D12/[6]Data!AZ$21*[6]Data!AZ$33</f>
        <v>0</v>
      </c>
      <c r="E12" s="104">
        <f>'1c_WaterHeating (2)'!E12/[6]Data!BA$21*[6]Data!BA$33</f>
        <v>0</v>
      </c>
      <c r="F12" s="104">
        <f>'1c_WaterHeating (2)'!F12/[6]Data!BB$21*[6]Data!BB$33</f>
        <v>0</v>
      </c>
      <c r="G12" s="104">
        <f>'1c_WaterHeating (2)'!G12/[6]Data!BC$21*[6]Data!BC$33</f>
        <v>0</v>
      </c>
      <c r="H12" s="104">
        <f>'1c_WaterHeating (2)'!H12/[6]Data!BD$21*[6]Data!BD$33</f>
        <v>0</v>
      </c>
      <c r="I12" s="104">
        <f>'1c_WaterHeating (2)'!I12/[6]Data!BE$21*[6]Data!BE$33</f>
        <v>0</v>
      </c>
      <c r="J12" s="104">
        <f>'1c_WaterHeating (2)'!J12/[6]Data!BF$21*[6]Data!BF$33</f>
        <v>0</v>
      </c>
      <c r="K12" s="104">
        <f>'1c_WaterHeating (2)'!K12/[6]Data!BG$21*[6]Data!BG$33</f>
        <v>0</v>
      </c>
      <c r="L12" s="104">
        <f>'1c_WaterHeating (2)'!L12/[6]Data!BH$21*[6]Data!BH$33</f>
        <v>0</v>
      </c>
      <c r="M12" s="105"/>
      <c r="N12" s="105"/>
      <c r="O12" s="105"/>
      <c r="DT12" s="33" t="s">
        <v>282</v>
      </c>
      <c r="EB12" s="33" t="s">
        <v>292</v>
      </c>
      <c r="ED12" s="33" t="s">
        <v>293</v>
      </c>
    </row>
    <row r="13" spans="1:134" s="33" customFormat="1" ht="15" customHeight="1" x14ac:dyDescent="0.25">
      <c r="A13" s="155"/>
      <c r="B13" s="102" t="s">
        <v>23</v>
      </c>
      <c r="C13" s="103" t="s">
        <v>19</v>
      </c>
      <c r="D13" s="105">
        <f>'1c_WaterHeating (2)'!D13/[6]Data!AZ$21*[6]Data!AZ$33</f>
        <v>128.39672758617525</v>
      </c>
      <c r="E13" s="105">
        <f>'1c_WaterHeating (2)'!E13/[6]Data!BA$21*[6]Data!BA$33</f>
        <v>124.69201209485723</v>
      </c>
      <c r="F13" s="105">
        <f>'1c_WaterHeating (2)'!F13/[6]Data!BB$21*[6]Data!BB$33</f>
        <v>106.15557201486514</v>
      </c>
      <c r="G13" s="105">
        <f>'1c_WaterHeating (2)'!G13/[6]Data!BC$21*[6]Data!BC$33</f>
        <v>112.9103371637386</v>
      </c>
      <c r="H13" s="105">
        <f>'1c_WaterHeating (2)'!H13/[6]Data!BD$21*[6]Data!BD$33</f>
        <v>110.26267793618786</v>
      </c>
      <c r="I13" s="105">
        <f>'1c_WaterHeating (2)'!I13/[6]Data!BE$21*[6]Data!BE$33</f>
        <v>104.81417796031917</v>
      </c>
      <c r="J13" s="105">
        <f>'1c_WaterHeating (2)'!J13/[6]Data!BF$21*[6]Data!BF$33</f>
        <v>100.13272705838158</v>
      </c>
      <c r="K13" s="105">
        <f>'1c_WaterHeating (2)'!K13/[6]Data!BG$21*[6]Data!BG$33</f>
        <v>100.37493406406449</v>
      </c>
      <c r="L13" s="105">
        <f>'1c_WaterHeating (2)'!L13/[6]Data!BH$21*[6]Data!BH$33</f>
        <v>90.560054589280426</v>
      </c>
      <c r="M13" s="105"/>
      <c r="N13" s="105"/>
      <c r="O13" s="105"/>
      <c r="DT13" s="33" t="s">
        <v>283</v>
      </c>
      <c r="EB13" s="33" t="s">
        <v>292</v>
      </c>
      <c r="ED13" s="33" t="s">
        <v>293</v>
      </c>
    </row>
    <row r="14" spans="1:134" ht="24" customHeight="1" x14ac:dyDescent="0.25">
      <c r="A14" s="156" t="s">
        <v>24</v>
      </c>
      <c r="B14" s="180"/>
      <c r="C14" s="9" t="s">
        <v>25</v>
      </c>
      <c r="D14" s="57">
        <f>'1c_WaterHeating (2)'!D14/[6]Data!AZ$21*[6]Data!AZ$33</f>
        <v>11293.654326373797</v>
      </c>
      <c r="E14" s="57">
        <f>'1c_WaterHeating (2)'!E14/[6]Data!BA$21*[6]Data!BA$33</f>
        <v>11810.410127904857</v>
      </c>
      <c r="F14" s="57">
        <f>'1c_WaterHeating (2)'!F14/[6]Data!BB$21*[6]Data!BB$33</f>
        <v>12472.410490415614</v>
      </c>
      <c r="G14" s="57">
        <f>'1c_WaterHeating (2)'!G14/[6]Data!BC$21*[6]Data!BC$33</f>
        <v>12695.665420980606</v>
      </c>
      <c r="H14" s="57">
        <f>'1c_WaterHeating (2)'!H14/[6]Data!BD$21*[6]Data!BD$33</f>
        <v>13341.623573141689</v>
      </c>
      <c r="I14" s="57">
        <f>'1c_WaterHeating (2)'!I14/[6]Data!BE$21*[6]Data!BE$33</f>
        <v>13340.287113364924</v>
      </c>
      <c r="J14" s="57">
        <f>'1c_WaterHeating (2)'!J14/[6]Data!BF$21*[6]Data!BF$33</f>
        <v>12964.859718027277</v>
      </c>
      <c r="K14" s="57">
        <f>'1c_WaterHeating (2)'!K14/[6]Data!BG$21*[6]Data!BG$33</f>
        <v>12827.612277200305</v>
      </c>
      <c r="L14" s="57">
        <f>'1c_WaterHeating (2)'!L14/[6]Data!BH$21*[6]Data!BH$33</f>
        <v>12344.28226525257</v>
      </c>
      <c r="M14" s="54"/>
      <c r="N14" s="54"/>
      <c r="O14" s="54"/>
      <c r="DT14" s="32" t="s">
        <v>284</v>
      </c>
      <c r="EB14" s="32" t="s">
        <v>291</v>
      </c>
      <c r="ED14" s="32" t="s">
        <v>295</v>
      </c>
    </row>
    <row r="15" spans="1:134" s="33" customFormat="1" ht="15" customHeight="1" x14ac:dyDescent="0.25">
      <c r="A15" s="155" t="s">
        <v>18</v>
      </c>
      <c r="B15" s="102" t="s">
        <v>26</v>
      </c>
      <c r="C15" s="103" t="s">
        <v>25</v>
      </c>
      <c r="D15" s="104">
        <f>'1c_WaterHeating (2)'!D15/[6]Data!AZ$21*[6]Data!AZ$33</f>
        <v>2896.3876119125262</v>
      </c>
      <c r="E15" s="105">
        <f>'1c_WaterHeating (2)'!E15/[6]Data!BA$21*[6]Data!BA$33</f>
        <v>2858.2981663395358</v>
      </c>
      <c r="F15" s="105">
        <f>'1c_WaterHeating (2)'!F15/[6]Data!BB$21*[6]Data!BB$33</f>
        <v>3130.022040144675</v>
      </c>
      <c r="G15" s="105">
        <f>'1c_WaterHeating (2)'!G15/[6]Data!BC$21*[6]Data!BC$33</f>
        <v>3453.8077077199246</v>
      </c>
      <c r="H15" s="105">
        <f>'1c_WaterHeating (2)'!H15/[6]Data!BD$21*[6]Data!BD$33</f>
        <v>3388.5497191053205</v>
      </c>
      <c r="I15" s="105">
        <f>'1c_WaterHeating (2)'!I15/[6]Data!BE$21*[6]Data!BE$33</f>
        <v>3661.3139193648926</v>
      </c>
      <c r="J15" s="105">
        <f>'1c_WaterHeating (2)'!J15/[6]Data!BF$21*[6]Data!BF$33</f>
        <v>3719.1459485834939</v>
      </c>
      <c r="K15" s="105">
        <f>'1c_WaterHeating (2)'!K15/[6]Data!BG$21*[6]Data!BG$33</f>
        <v>3490.7893056525736</v>
      </c>
      <c r="L15" s="105">
        <f>'1c_WaterHeating (2)'!L15/[6]Data!BH$21*[6]Data!BH$33</f>
        <v>3189.0168779536857</v>
      </c>
      <c r="M15" s="105"/>
      <c r="N15" s="105"/>
      <c r="O15" s="105"/>
      <c r="DT15" s="33" t="s">
        <v>285</v>
      </c>
      <c r="EB15" s="33" t="s">
        <v>291</v>
      </c>
      <c r="ED15" s="33" t="s">
        <v>295</v>
      </c>
    </row>
    <row r="16" spans="1:134" s="33" customFormat="1" ht="15" customHeight="1" x14ac:dyDescent="0.25">
      <c r="A16" s="155"/>
      <c r="B16" s="102" t="s">
        <v>27</v>
      </c>
      <c r="C16" s="103" t="s">
        <v>25</v>
      </c>
      <c r="D16" s="104">
        <f>'1c_WaterHeating (2)'!D16/[6]Data!AZ$21*[6]Data!AZ$33</f>
        <v>6832.332389602765</v>
      </c>
      <c r="E16" s="105">
        <f>'1c_WaterHeating (2)'!E16/[6]Data!BA$21*[6]Data!BA$33</f>
        <v>7148.9494459272955</v>
      </c>
      <c r="F16" s="105">
        <f>'1c_WaterHeating (2)'!F16/[6]Data!BB$21*[6]Data!BB$33</f>
        <v>7389.9159283676627</v>
      </c>
      <c r="G16" s="105">
        <f>'1c_WaterHeating (2)'!G16/[6]Data!BC$21*[6]Data!BC$33</f>
        <v>7414.7456566890141</v>
      </c>
      <c r="H16" s="105">
        <f>'1c_WaterHeating (2)'!H16/[6]Data!BD$21*[6]Data!BD$33</f>
        <v>7756.1806227081761</v>
      </c>
      <c r="I16" s="105">
        <f>'1c_WaterHeating (2)'!I16/[6]Data!BE$21*[6]Data!BE$33</f>
        <v>7140.8868160628163</v>
      </c>
      <c r="J16" s="105">
        <f>'1c_WaterHeating (2)'!J16/[6]Data!BF$21*[6]Data!BF$33</f>
        <v>6568.5767870729842</v>
      </c>
      <c r="K16" s="105">
        <f>'1c_WaterHeating (2)'!K16/[6]Data!BG$21*[6]Data!BG$33</f>
        <v>6590.3299612056962</v>
      </c>
      <c r="L16" s="105">
        <f>'1c_WaterHeating (2)'!L16/[6]Data!BH$21*[6]Data!BH$33</f>
        <v>6008.588510764017</v>
      </c>
      <c r="M16" s="105"/>
      <c r="N16" s="105"/>
      <c r="O16" s="105"/>
      <c r="DT16" s="33" t="s">
        <v>286</v>
      </c>
      <c r="EB16" s="33" t="s">
        <v>291</v>
      </c>
      <c r="ED16" s="33" t="s">
        <v>295</v>
      </c>
    </row>
    <row r="17" spans="1:134" s="33" customFormat="1" ht="15" customHeight="1" x14ac:dyDescent="0.25">
      <c r="A17" s="155"/>
      <c r="B17" s="102" t="s">
        <v>28</v>
      </c>
      <c r="C17" s="103" t="s">
        <v>25</v>
      </c>
      <c r="D17" s="104">
        <f>'1c_WaterHeating (2)'!D17/[6]Data!AZ$21*[6]Data!AZ$33</f>
        <v>0.71793296464033229</v>
      </c>
      <c r="E17" s="104">
        <f>'1c_WaterHeating (2)'!E17/[6]Data!BA$21*[6]Data!BA$33</f>
        <v>2.7747863218124906</v>
      </c>
      <c r="F17" s="104">
        <f>'1c_WaterHeating (2)'!F17/[6]Data!BB$21*[6]Data!BB$33</f>
        <v>3.3106219527651222</v>
      </c>
      <c r="G17" s="104">
        <f>'1c_WaterHeating (2)'!G17/[6]Data!BC$21*[6]Data!BC$33</f>
        <v>5.2667373371568944</v>
      </c>
      <c r="H17" s="104">
        <f>'1c_WaterHeating (2)'!H17/[6]Data!BD$21*[6]Data!BD$33</f>
        <v>9.5773796412538985</v>
      </c>
      <c r="I17" s="104">
        <f>'1c_WaterHeating (2)'!I17/[6]Data!BE$21*[6]Data!BE$33</f>
        <v>12.607806192326404</v>
      </c>
      <c r="J17" s="104">
        <f>'1c_WaterHeating (2)'!J17/[6]Data!BF$21*[6]Data!BF$33</f>
        <v>15.282227092636594</v>
      </c>
      <c r="K17" s="104">
        <f>'1c_WaterHeating (2)'!K17/[6]Data!BG$21*[6]Data!BG$33</f>
        <v>24.060864309099518</v>
      </c>
      <c r="L17" s="104">
        <f>'1c_WaterHeating (2)'!L17/[6]Data!BH$21*[6]Data!BH$33</f>
        <v>19.605484057183691</v>
      </c>
      <c r="M17" s="104"/>
      <c r="N17" s="104"/>
      <c r="O17" s="104"/>
      <c r="DT17" s="33" t="s">
        <v>287</v>
      </c>
      <c r="EB17" s="33" t="s">
        <v>291</v>
      </c>
      <c r="ED17" s="33" t="s">
        <v>295</v>
      </c>
    </row>
    <row r="18" spans="1:134" s="33" customFormat="1" ht="15" customHeight="1" x14ac:dyDescent="0.25">
      <c r="A18" s="155"/>
      <c r="B18" s="102" t="s">
        <v>185</v>
      </c>
      <c r="C18" s="103" t="s">
        <v>25</v>
      </c>
      <c r="D18" s="104">
        <f>'1c_WaterHeating (2)'!D18/[6]Data!AZ$21*[6]Data!AZ$33</f>
        <v>1564.2163918938656</v>
      </c>
      <c r="E18" s="104">
        <f>'1c_WaterHeating (2)'!E18/[6]Data!BA$21*[6]Data!BA$33</f>
        <v>1800.3877293162127</v>
      </c>
      <c r="F18" s="104">
        <f>'1c_WaterHeating (2)'!F18/[6]Data!BB$21*[6]Data!BB$33</f>
        <v>1949.1618999505135</v>
      </c>
      <c r="G18" s="104">
        <f>'1c_WaterHeating (2)'!G18/[6]Data!BC$21*[6]Data!BC$33</f>
        <v>1821.8453192345125</v>
      </c>
      <c r="H18" s="104">
        <f>'1c_WaterHeating (2)'!H18/[6]Data!BD$21*[6]Data!BD$33</f>
        <v>2187.3158516869403</v>
      </c>
      <c r="I18" s="104">
        <f>'1c_WaterHeating (2)'!I18/[6]Data!BE$21*[6]Data!BE$33</f>
        <v>2525.4785717448885</v>
      </c>
      <c r="J18" s="104">
        <f>'1c_WaterHeating (2)'!J18/[6]Data!BF$21*[6]Data!BF$33</f>
        <v>2661.8547552781629</v>
      </c>
      <c r="K18" s="104">
        <f>'1c_WaterHeating (2)'!K18/[6]Data!BG$21*[6]Data!BG$33</f>
        <v>2722.4321460329365</v>
      </c>
      <c r="L18" s="104">
        <f>'1c_WaterHeating (2)'!L18/[6]Data!BH$21*[6]Data!BH$33</f>
        <v>3127.0713924776842</v>
      </c>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7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FF0000"/>
    <pageSetUpPr fitToPage="1"/>
  </sheetPr>
  <dimension ref="A1:ED19"/>
  <sheetViews>
    <sheetView showGridLines="0" zoomScale="90" zoomScaleNormal="90" workbookViewId="0">
      <pane xSplit="3" topLeftCell="D1" activePane="topRight" state="frozen"/>
      <selection activeCell="D11" sqref="D11:L13"/>
      <selection pane="topRight" activeCell="D6" sqref="D6:L14"/>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9</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79"/>
      <c r="C6" s="8" t="s">
        <v>14</v>
      </c>
      <c r="D6" s="55">
        <f>'1d_Cooking (2)'!D6/[6]Data!AZ$21*[6]Data!AZ$33</f>
        <v>1583.9795085171863</v>
      </c>
      <c r="E6" s="56">
        <f>'1d_Cooking (2)'!E6/[6]Data!BA$21*[6]Data!BA$33</f>
        <v>1558.5459128632619</v>
      </c>
      <c r="F6" s="56">
        <f>'1d_Cooking (2)'!F6/[6]Data!BB$21*[6]Data!BB$33</f>
        <v>1604.7607844611741</v>
      </c>
      <c r="G6" s="56">
        <f>'1d_Cooking (2)'!G6/[6]Data!BC$21*[6]Data!BC$33</f>
        <v>1710.2517748349474</v>
      </c>
      <c r="H6" s="56">
        <f>'1d_Cooking (2)'!H6/[6]Data!BD$21*[6]Data!BD$33</f>
        <v>1667.0645327513098</v>
      </c>
      <c r="I6" s="56">
        <f>'1d_Cooking (2)'!I6/[6]Data!BE$21*[6]Data!BE$33</f>
        <v>1700.6112534218159</v>
      </c>
      <c r="J6" s="56">
        <f>'1d_Cooking (2)'!J6/[6]Data!BF$21*[6]Data!BF$33</f>
        <v>1765.2705349146456</v>
      </c>
      <c r="K6" s="56">
        <f>'1d_Cooking (2)'!K6/[6]Data!BG$21*[6]Data!BG$33</f>
        <v>1780.0422775150344</v>
      </c>
      <c r="L6" s="56">
        <f>'1d_Cooking (2)'!L6/[6]Data!BH$21*[6]Data!BH$33</f>
        <v>1756.9208235832477</v>
      </c>
      <c r="M6" s="56"/>
      <c r="N6" s="56"/>
      <c r="O6" s="56"/>
      <c r="DS6" s="4" t="str">
        <f>VLOOKUP(Cover!$D$15, Country_list!$B$3:$C$44, 2, 0)</f>
        <v>AT</v>
      </c>
      <c r="DT6" s="32" t="s">
        <v>289</v>
      </c>
      <c r="DV6" s="32" t="s">
        <v>305</v>
      </c>
      <c r="EB6" s="32" t="s">
        <v>291</v>
      </c>
      <c r="ED6" s="32" t="s">
        <v>294</v>
      </c>
    </row>
    <row r="7" spans="1:134" ht="24" customHeight="1" x14ac:dyDescent="0.25">
      <c r="A7" s="156" t="s">
        <v>15</v>
      </c>
      <c r="B7" s="180"/>
      <c r="C7" s="9" t="s">
        <v>25</v>
      </c>
      <c r="D7" s="57">
        <f>'1d_Cooking (2)'!D7/[6]Data!AZ$21*[6]Data!AZ$33</f>
        <v>0</v>
      </c>
      <c r="E7" s="54">
        <f>'1d_Cooking (2)'!E7/[6]Data!BA$21*[6]Data!BA$33</f>
        <v>0</v>
      </c>
      <c r="F7" s="54">
        <f>'1d_Cooking (2)'!F7/[6]Data!BB$21*[6]Data!BB$33</f>
        <v>0</v>
      </c>
      <c r="G7" s="54">
        <f>'1d_Cooking (2)'!G7/[6]Data!BC$21*[6]Data!BC$33</f>
        <v>0</v>
      </c>
      <c r="H7" s="54">
        <f>'1d_Cooking (2)'!H7/[6]Data!BD$21*[6]Data!BD$33</f>
        <v>0</v>
      </c>
      <c r="I7" s="54">
        <f>'1d_Cooking (2)'!I7/[6]Data!BE$21*[6]Data!BE$33</f>
        <v>0</v>
      </c>
      <c r="J7" s="54">
        <f>'1d_Cooking (2)'!J7/[6]Data!BF$21*[6]Data!BF$33</f>
        <v>0</v>
      </c>
      <c r="K7" s="54">
        <f>'1d_Cooking (2)'!K7/[6]Data!BG$21*[6]Data!BG$33</f>
        <v>0</v>
      </c>
      <c r="L7" s="54">
        <f>'1d_Cooking (2)'!L7/[6]Data!BH$21*[6]Data!BH$33</f>
        <v>0</v>
      </c>
      <c r="M7" s="54"/>
      <c r="N7" s="54"/>
      <c r="O7" s="54"/>
      <c r="DT7" s="32" t="s">
        <v>290</v>
      </c>
      <c r="EB7" s="32" t="s">
        <v>291</v>
      </c>
      <c r="ED7" s="32" t="s">
        <v>295</v>
      </c>
    </row>
    <row r="8" spans="1:134" ht="24" customHeight="1" x14ac:dyDescent="0.25">
      <c r="A8" s="156" t="s">
        <v>29</v>
      </c>
      <c r="B8" s="180"/>
      <c r="C8" s="9" t="s">
        <v>17</v>
      </c>
      <c r="D8" s="57">
        <f>'1d_Cooking (2)'!D8/[6]Data!AZ$21*[6]Data!AZ$33</f>
        <v>499.7734033115388</v>
      </c>
      <c r="E8" s="57">
        <f>'1d_Cooking (2)'!E8/[6]Data!BA$21*[6]Data!BA$33</f>
        <v>507.24626615923091</v>
      </c>
      <c r="F8" s="57">
        <f>'1d_Cooking (2)'!F8/[6]Data!BB$21*[6]Data!BB$33</f>
        <v>485.1180204857107</v>
      </c>
      <c r="G8" s="57">
        <f>'1d_Cooking (2)'!G8/[6]Data!BC$21*[6]Data!BC$33</f>
        <v>476.0761144851806</v>
      </c>
      <c r="H8" s="57">
        <f>'1d_Cooking (2)'!H8/[6]Data!BD$21*[6]Data!BD$33</f>
        <v>467.8049516976219</v>
      </c>
      <c r="I8" s="57">
        <f>'1d_Cooking (2)'!I8/[6]Data!BE$21*[6]Data!BE$33</f>
        <v>442.54827435808039</v>
      </c>
      <c r="J8" s="57">
        <f>'1d_Cooking (2)'!J8/[6]Data!BF$21*[6]Data!BF$33</f>
        <v>417.01117623721558</v>
      </c>
      <c r="K8" s="54">
        <f>'1d_Cooking (2)'!K8/[6]Data!BG$21*[6]Data!BG$33</f>
        <v>407.31396907674178</v>
      </c>
      <c r="L8" s="54">
        <f>'1d_Cooking (2)'!L8/[6]Data!BH$21*[6]Data!BH$33</f>
        <v>369.99774814983846</v>
      </c>
      <c r="M8" s="54"/>
      <c r="N8" s="54"/>
      <c r="O8" s="54"/>
      <c r="DT8" s="32" t="s">
        <v>231</v>
      </c>
      <c r="EB8" s="32" t="s">
        <v>291</v>
      </c>
      <c r="ED8" s="32" t="s">
        <v>296</v>
      </c>
    </row>
    <row r="9" spans="1:134" ht="24" customHeight="1" x14ac:dyDescent="0.25">
      <c r="A9" s="156" t="s">
        <v>156</v>
      </c>
      <c r="B9" s="180"/>
      <c r="C9" s="9" t="s">
        <v>19</v>
      </c>
      <c r="D9" s="54">
        <f>'1d_Cooking (2)'!D9/[6]Data!AZ$21*[6]Data!AZ$33</f>
        <v>0.20632180353763674</v>
      </c>
      <c r="E9" s="54">
        <f>'1d_Cooking (2)'!E9/[6]Data!BA$21*[6]Data!BA$33</f>
        <v>0.23823908887560205</v>
      </c>
      <c r="F9" s="54">
        <f>'1d_Cooking (2)'!F9/[6]Data!BB$21*[6]Data!BB$33</f>
        <v>0.25401363647048292</v>
      </c>
      <c r="G9" s="54">
        <f>'1d_Cooking (2)'!G9/[6]Data!BC$21*[6]Data!BC$33</f>
        <v>0.14130047455970404</v>
      </c>
      <c r="H9" s="54">
        <f>'1d_Cooking (2)'!H9/[6]Data!BD$21*[6]Data!BD$33</f>
        <v>6.7840301889700833E-2</v>
      </c>
      <c r="I9" s="54">
        <f>'1d_Cooking (2)'!I9/[6]Data!BE$21*[6]Data!BE$33</f>
        <v>7.7162678848806746E-2</v>
      </c>
      <c r="J9" s="54">
        <f>'1d_Cooking (2)'!J9/[6]Data!BF$21*[6]Data!BF$33</f>
        <v>9.2663870483728067E-2</v>
      </c>
      <c r="K9" s="54">
        <f>'1d_Cooking (2)'!K9/[6]Data!BG$21*[6]Data!BG$33</f>
        <v>0.10358524254249937</v>
      </c>
      <c r="L9" s="54">
        <f>'1d_Cooking (2)'!L9/[6]Data!BH$21*[6]Data!BH$33</f>
        <v>9.2989279978125172E-2</v>
      </c>
      <c r="M9" s="54"/>
      <c r="N9" s="54"/>
      <c r="O9" s="54"/>
      <c r="DT9" s="32" t="s">
        <v>279</v>
      </c>
      <c r="EB9" s="32" t="s">
        <v>292</v>
      </c>
      <c r="ED9" s="32" t="s">
        <v>293</v>
      </c>
    </row>
    <row r="10" spans="1:134" ht="24" customHeight="1" x14ac:dyDescent="0.25">
      <c r="A10" s="156" t="s">
        <v>20</v>
      </c>
      <c r="B10" s="180"/>
      <c r="C10" s="9" t="s">
        <v>19</v>
      </c>
      <c r="D10" s="54">
        <f>'1d_Cooking (2)'!D10/[6]Data!AZ$21*[6]Data!AZ$33</f>
        <v>0.49230062630568938</v>
      </c>
      <c r="E10" s="54">
        <f>'1d_Cooking (2)'!E10/[6]Data!BA$21*[6]Data!BA$33</f>
        <v>0.42867448136856701</v>
      </c>
      <c r="F10" s="54">
        <f>'1d_Cooking (2)'!F10/[6]Data!BB$21*[6]Data!BB$33</f>
        <v>0.28181163351847632</v>
      </c>
      <c r="G10" s="54">
        <f>'1d_Cooking (2)'!G10/[6]Data!BC$21*[6]Data!BC$33</f>
        <v>0.21283912379743022</v>
      </c>
      <c r="H10" s="54">
        <f>'1d_Cooking (2)'!H10/[6]Data!BD$21*[6]Data!BD$33</f>
        <v>0.22942567165090172</v>
      </c>
      <c r="I10" s="54">
        <f>'1d_Cooking (2)'!I10/[6]Data!BE$21*[6]Data!BE$33</f>
        <v>0.34164163042436935</v>
      </c>
      <c r="J10" s="54">
        <f>'1d_Cooking (2)'!J10/[6]Data!BF$21*[6]Data!BF$33</f>
        <v>0.40150373740519868</v>
      </c>
      <c r="K10" s="54">
        <f>'1d_Cooking (2)'!K10/[6]Data!BG$21*[6]Data!BG$33</f>
        <v>0.4810945266421966</v>
      </c>
      <c r="L10" s="54">
        <f>'1d_Cooking (2)'!L10/[6]Data!BH$21*[6]Data!BH$33</f>
        <v>0.44341883372995716</v>
      </c>
      <c r="M10" s="54"/>
      <c r="N10" s="54"/>
      <c r="O10" s="54"/>
      <c r="DT10" s="32" t="s">
        <v>280</v>
      </c>
      <c r="EB10" s="32" t="s">
        <v>292</v>
      </c>
      <c r="ED10" s="32" t="s">
        <v>293</v>
      </c>
    </row>
    <row r="11" spans="1:134" s="33" customFormat="1" ht="15" customHeight="1" x14ac:dyDescent="0.25">
      <c r="A11" s="155" t="s">
        <v>18</v>
      </c>
      <c r="B11" s="102" t="s">
        <v>21</v>
      </c>
      <c r="C11" s="103" t="s">
        <v>19</v>
      </c>
      <c r="D11" s="104">
        <f>'1d_Cooking (2)'!D11/[6]Data!AZ$21*[6]Data!AZ$33</f>
        <v>0.49230062630568938</v>
      </c>
      <c r="E11" s="105">
        <f>'1d_Cooking (2)'!E11/[6]Data!BA$21*[6]Data!BA$33</f>
        <v>0.42867448136856701</v>
      </c>
      <c r="F11" s="105">
        <f>'1d_Cooking (2)'!F11/[6]Data!BB$21*[6]Data!BB$33</f>
        <v>0.28181163351847632</v>
      </c>
      <c r="G11" s="105">
        <f>'1d_Cooking (2)'!G11/[6]Data!BC$21*[6]Data!BC$33</f>
        <v>0.21283912379743022</v>
      </c>
      <c r="H11" s="105">
        <f>'1d_Cooking (2)'!H11/[6]Data!BD$21*[6]Data!BD$33</f>
        <v>0.22942567165090172</v>
      </c>
      <c r="I11" s="105">
        <f>'1d_Cooking (2)'!I11/[6]Data!BE$21*[6]Data!BE$33</f>
        <v>0.34164163042436935</v>
      </c>
      <c r="J11" s="105">
        <f>'1d_Cooking (2)'!J11/[6]Data!BF$21*[6]Data!BF$33</f>
        <v>0.40150373740519868</v>
      </c>
      <c r="K11" s="105">
        <f>'1d_Cooking (2)'!K11/[6]Data!BG$21*[6]Data!BG$33</f>
        <v>0.4810945266421966</v>
      </c>
      <c r="L11" s="105">
        <f>'1d_Cooking (2)'!L11/[6]Data!BH$21*[6]Data!BH$33</f>
        <v>0.44341883372995716</v>
      </c>
      <c r="M11" s="105"/>
      <c r="N11" s="105"/>
      <c r="O11" s="105"/>
      <c r="DT11" s="33" t="s">
        <v>281</v>
      </c>
      <c r="EB11" s="33" t="s">
        <v>292</v>
      </c>
      <c r="ED11" s="33" t="s">
        <v>293</v>
      </c>
    </row>
    <row r="12" spans="1:134" s="33" customFormat="1" ht="15" customHeight="1" x14ac:dyDescent="0.25">
      <c r="A12" s="155"/>
      <c r="B12" s="102" t="s">
        <v>22</v>
      </c>
      <c r="C12" s="103" t="s">
        <v>19</v>
      </c>
      <c r="D12" s="104">
        <f>'1d_Cooking (2)'!D12/[6]Data!AZ$21*[6]Data!AZ$33</f>
        <v>0</v>
      </c>
      <c r="E12" s="105">
        <f>'1d_Cooking (2)'!E12/[6]Data!BA$21*[6]Data!BA$33</f>
        <v>0</v>
      </c>
      <c r="F12" s="105">
        <f>'1d_Cooking (2)'!F12/[6]Data!BB$21*[6]Data!BB$33</f>
        <v>0</v>
      </c>
      <c r="G12" s="105">
        <f>'1d_Cooking (2)'!G12/[6]Data!BC$21*[6]Data!BC$33</f>
        <v>0</v>
      </c>
      <c r="H12" s="105">
        <f>'1d_Cooking (2)'!H12/[6]Data!BD$21*[6]Data!BD$33</f>
        <v>0</v>
      </c>
      <c r="I12" s="105">
        <f>'1d_Cooking (2)'!I12/[6]Data!BE$21*[6]Data!BE$33</f>
        <v>0</v>
      </c>
      <c r="J12" s="105">
        <f>'1d_Cooking (2)'!J12/[6]Data!BF$21*[6]Data!BF$33</f>
        <v>0</v>
      </c>
      <c r="K12" s="105">
        <f>'1d_Cooking (2)'!K12/[6]Data!BG$21*[6]Data!BG$33</f>
        <v>0</v>
      </c>
      <c r="L12" s="105">
        <f>'1d_Cooking (2)'!L12/[6]Data!BH$21*[6]Data!BH$33</f>
        <v>0</v>
      </c>
      <c r="M12" s="105"/>
      <c r="N12" s="105"/>
      <c r="O12" s="105"/>
      <c r="DT12" s="33" t="s">
        <v>282</v>
      </c>
      <c r="EB12" s="33" t="s">
        <v>292</v>
      </c>
      <c r="ED12" s="33" t="s">
        <v>293</v>
      </c>
    </row>
    <row r="13" spans="1:134" s="33" customFormat="1" ht="15" customHeight="1" x14ac:dyDescent="0.25">
      <c r="A13" s="155"/>
      <c r="B13" s="102" t="s">
        <v>23</v>
      </c>
      <c r="C13" s="103" t="s">
        <v>19</v>
      </c>
      <c r="D13" s="104">
        <f>'1d_Cooking (2)'!D13/[6]Data!AZ$21*[6]Data!AZ$33</f>
        <v>0</v>
      </c>
      <c r="E13" s="104">
        <f>'1d_Cooking (2)'!E13/[6]Data!BA$21*[6]Data!BA$33</f>
        <v>0</v>
      </c>
      <c r="F13" s="104">
        <f>'1d_Cooking (2)'!F13/[6]Data!BB$21*[6]Data!BB$33</f>
        <v>0</v>
      </c>
      <c r="G13" s="104">
        <f>'1d_Cooking (2)'!G13/[6]Data!BC$21*[6]Data!BC$33</f>
        <v>0</v>
      </c>
      <c r="H13" s="104">
        <f>'1d_Cooking (2)'!H13/[6]Data!BD$21*[6]Data!BD$33</f>
        <v>0</v>
      </c>
      <c r="I13" s="104">
        <f>'1d_Cooking (2)'!I13/[6]Data!BE$21*[6]Data!BE$33</f>
        <v>0</v>
      </c>
      <c r="J13" s="104">
        <f>'1d_Cooking (2)'!J13/[6]Data!BF$21*[6]Data!BF$33</f>
        <v>0</v>
      </c>
      <c r="K13" s="104">
        <f>'1d_Cooking (2)'!K13/[6]Data!BG$21*[6]Data!BG$33</f>
        <v>0</v>
      </c>
      <c r="L13" s="104">
        <f>'1d_Cooking (2)'!L13/[6]Data!BH$21*[6]Data!BH$33</f>
        <v>0</v>
      </c>
      <c r="M13" s="105"/>
      <c r="N13" s="105"/>
      <c r="O13" s="105"/>
      <c r="DT13" s="33" t="s">
        <v>283</v>
      </c>
      <c r="EB13" s="33" t="s">
        <v>292</v>
      </c>
      <c r="ED13" s="33" t="s">
        <v>293</v>
      </c>
    </row>
    <row r="14" spans="1:134" ht="24" customHeight="1" x14ac:dyDescent="0.25">
      <c r="A14" s="156" t="s">
        <v>24</v>
      </c>
      <c r="B14" s="180"/>
      <c r="C14" s="9" t="s">
        <v>25</v>
      </c>
      <c r="D14" s="57">
        <f>'1d_Cooking (2)'!D14/[6]Data!AZ$21*[6]Data!AZ$33</f>
        <v>348.88772478252321</v>
      </c>
      <c r="E14" s="54">
        <f>'1d_Cooking (2)'!E14/[6]Data!BA$21*[6]Data!BA$33</f>
        <v>386.81203655779126</v>
      </c>
      <c r="F14" s="54">
        <f>'1d_Cooking (2)'!F14/[6]Data!BB$21*[6]Data!BB$33</f>
        <v>422.23234567027248</v>
      </c>
      <c r="G14" s="54">
        <f>'1d_Cooking (2)'!G14/[6]Data!BC$21*[6]Data!BC$33</f>
        <v>417.29875329327956</v>
      </c>
      <c r="H14" s="54">
        <f>'1d_Cooking (2)'!H14/[6]Data!BD$21*[6]Data!BD$33</f>
        <v>411.39753535796535</v>
      </c>
      <c r="I14" s="54">
        <f>'1d_Cooking (2)'!I14/[6]Data!BE$21*[6]Data!BE$33</f>
        <v>352.24046037501842</v>
      </c>
      <c r="J14" s="54">
        <f>'1d_Cooking (2)'!J14/[6]Data!BF$21*[6]Data!BF$33</f>
        <v>298.11330425477922</v>
      </c>
      <c r="K14" s="54">
        <f>'1d_Cooking (2)'!K14/[6]Data!BG$21*[6]Data!BG$33</f>
        <v>300.01216115128142</v>
      </c>
      <c r="L14" s="54">
        <f>'1d_Cooking (2)'!L14/[6]Data!BH$21*[6]Data!BH$33</f>
        <v>273.328903787939</v>
      </c>
      <c r="M14" s="54"/>
      <c r="N14" s="54"/>
      <c r="O14" s="54"/>
      <c r="DT14" s="32" t="s">
        <v>284</v>
      </c>
      <c r="EB14" s="32" t="s">
        <v>291</v>
      </c>
      <c r="ED14" s="32" t="s">
        <v>295</v>
      </c>
    </row>
    <row r="15" spans="1:134" s="33" customFormat="1" ht="15" customHeight="1" x14ac:dyDescent="0.25">
      <c r="A15" s="18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7"/>
      <c r="B16" s="102" t="s">
        <v>27</v>
      </c>
      <c r="C16" s="103" t="s">
        <v>25</v>
      </c>
      <c r="D16" s="104">
        <f>'1d_Cooking (2)'!D16/[6]Data!AZ$21*[6]Data!AZ$33</f>
        <v>348.84149606472334</v>
      </c>
      <c r="E16" s="105">
        <f>'1d_Cooking (2)'!E16/[6]Data!BA$21*[6]Data!BA$33</f>
        <v>386.63998736475776</v>
      </c>
      <c r="F16" s="105">
        <f>'1d_Cooking (2)'!F16/[6]Data!BB$21*[6]Data!BB$33</f>
        <v>422.03629368305707</v>
      </c>
      <c r="G16" s="105">
        <f>'1d_Cooking (2)'!G16/[6]Data!BC$21*[6]Data!BC$33</f>
        <v>416.98365126398937</v>
      </c>
      <c r="H16" s="105">
        <f>'1d_Cooking (2)'!H16/[6]Data!BD$21*[6]Data!BD$33</f>
        <v>410.85829478032451</v>
      </c>
      <c r="I16" s="105">
        <f>'1d_Cooking (2)'!I16/[6]Data!BE$21*[6]Data!BE$33</f>
        <v>351.53977063110733</v>
      </c>
      <c r="J16" s="105">
        <f>'1d_Cooking (2)'!J16/[6]Data!BF$21*[6]Data!BF$33</f>
        <v>297.28745364013207</v>
      </c>
      <c r="K16" s="105">
        <f>'1d_Cooking (2)'!K16/[6]Data!BG$21*[6]Data!BG$33</f>
        <v>298.74269209976887</v>
      </c>
      <c r="L16" s="105">
        <f>'1d_Cooking (2)'!L16/[6]Data!BH$21*[6]Data!BH$33</f>
        <v>272.37208424947903</v>
      </c>
      <c r="M16" s="105"/>
      <c r="N16" s="105"/>
      <c r="O16" s="105"/>
      <c r="DT16" s="33" t="s">
        <v>286</v>
      </c>
      <c r="EB16" s="33" t="s">
        <v>291</v>
      </c>
      <c r="ED16" s="33" t="s">
        <v>295</v>
      </c>
    </row>
    <row r="17" spans="1:134" s="33" customFormat="1" ht="15" customHeight="1" x14ac:dyDescent="0.25">
      <c r="A17" s="187"/>
      <c r="B17" s="102" t="s">
        <v>28</v>
      </c>
      <c r="C17" s="103" t="s">
        <v>25</v>
      </c>
      <c r="D17" s="104">
        <f>'1d_Cooking (2)'!D17/[6]Data!AZ$21*[6]Data!AZ$33</f>
        <v>4.6228717799860465E-2</v>
      </c>
      <c r="E17" s="105">
        <f>'1d_Cooking (2)'!E17/[6]Data!BA$21*[6]Data!BA$33</f>
        <v>0.17204919303344074</v>
      </c>
      <c r="F17" s="105">
        <f>'1d_Cooking (2)'!F17/[6]Data!BB$21*[6]Data!BB$33</f>
        <v>0.19605198721541756</v>
      </c>
      <c r="G17" s="105">
        <f>'1d_Cooking (2)'!G17/[6]Data!BC$21*[6]Data!BC$33</f>
        <v>0.3151020292902405</v>
      </c>
      <c r="H17" s="105">
        <f>'1d_Cooking (2)'!H17/[6]Data!BD$21*[6]Data!BD$33</f>
        <v>0.5392405776408421</v>
      </c>
      <c r="I17" s="105">
        <f>'1d_Cooking (2)'!I17/[6]Data!BE$21*[6]Data!BE$33</f>
        <v>0.70068974391110928</v>
      </c>
      <c r="J17" s="105">
        <f>'1d_Cooking (2)'!J17/[6]Data!BF$21*[6]Data!BF$33</f>
        <v>0.82585061464717635</v>
      </c>
      <c r="K17" s="105">
        <f>'1d_Cooking (2)'!K17/[6]Data!BG$21*[6]Data!BG$33</f>
        <v>1.2694690515124623</v>
      </c>
      <c r="L17" s="105">
        <f>'1d_Cooking (2)'!L17/[6]Data!BH$21*[6]Data!BH$33</f>
        <v>0.95681953846000956</v>
      </c>
      <c r="M17" s="105"/>
      <c r="N17" s="105"/>
      <c r="O17" s="105"/>
      <c r="DT17" s="33" t="s">
        <v>287</v>
      </c>
      <c r="EB17" s="33" t="s">
        <v>291</v>
      </c>
      <c r="ED17" s="33" t="s">
        <v>295</v>
      </c>
    </row>
    <row r="18" spans="1:134" s="33" customFormat="1" ht="15" customHeight="1" x14ac:dyDescent="0.25">
      <c r="A18" s="188"/>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xr:uid="{00000000-0002-0000-08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ED7"/>
  <sheetViews>
    <sheetView showGridLines="0" topLeftCell="A2" zoomScale="90" zoomScaleNormal="90" workbookViewId="0">
      <pane xSplit="3" topLeftCell="D1" activePane="topRight" state="frozen"/>
      <selection activeCell="D11" sqref="D11:L13"/>
      <selection pane="topRight" activeCell="D6" sqref="D6:L6"/>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10</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89" t="s">
        <v>13</v>
      </c>
      <c r="B6" s="190"/>
      <c r="C6" s="31" t="s">
        <v>14</v>
      </c>
      <c r="D6" s="58">
        <f>'1e_LightingAndAppliances (2)'!D6/[6]Data!AZ$21*[6]Data!AZ$33</f>
        <v>7612.4599729414904</v>
      </c>
      <c r="E6" s="59">
        <f>'1e_LightingAndAppliances (2)'!E6/[6]Data!BA$21*[6]Data!BA$33</f>
        <v>7500.9521543775809</v>
      </c>
      <c r="F6" s="59">
        <f>'1e_LightingAndAppliances (2)'!F6/[6]Data!BB$21*[6]Data!BB$33</f>
        <v>7744.9001048100417</v>
      </c>
      <c r="G6" s="59">
        <f>'1e_LightingAndAppliances (2)'!G6/[6]Data!BC$21*[6]Data!BC$33</f>
        <v>7923.78882896302</v>
      </c>
      <c r="H6" s="59">
        <f>'1e_LightingAndAppliances (2)'!H6/[6]Data!BD$21*[6]Data!BD$33</f>
        <v>7569.4864758637686</v>
      </c>
      <c r="I6" s="59">
        <f>'1e_LightingAndAppliances (2)'!I6/[6]Data!BE$21*[6]Data!BE$33</f>
        <v>7568.823400731545</v>
      </c>
      <c r="J6" s="59">
        <f>'1e_LightingAndAppliances (2)'!J6/[6]Data!BF$21*[6]Data!BF$33</f>
        <v>7551.752326958399</v>
      </c>
      <c r="K6" s="59">
        <f>'1e_LightingAndAppliances (2)'!K6/[6]Data!BG$21*[6]Data!BG$33</f>
        <v>7614.9452140254834</v>
      </c>
      <c r="L6" s="59">
        <f>'1e_LightingAndAppliances (2)'!L6/[6]Data!BH$21*[6]Data!BH$33</f>
        <v>7516.0326167331523</v>
      </c>
      <c r="M6" s="59"/>
      <c r="N6" s="59"/>
      <c r="O6" s="59"/>
      <c r="DS6" s="4" t="str">
        <f>VLOOKUP(Cover!$D$15, Country_list!$B$3:$C$44, 2, 0)</f>
        <v>AT</v>
      </c>
      <c r="DT6" s="32" t="s">
        <v>289</v>
      </c>
      <c r="DV6" s="138" t="s">
        <v>306</v>
      </c>
      <c r="EB6" s="32" t="s">
        <v>291</v>
      </c>
      <c r="ED6" s="32" t="s">
        <v>294</v>
      </c>
    </row>
    <row r="7" spans="1:134" ht="21" customHeight="1" x14ac:dyDescent="0.25"/>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xr:uid="{00000000-0002-0000-09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ED19"/>
  <sheetViews>
    <sheetView showGridLines="0" tabSelected="1" zoomScale="90" zoomScaleNormal="90" workbookViewId="0">
      <pane xSplit="3" topLeftCell="D1" activePane="topRight" state="frozen"/>
      <selection activeCell="D11" sqref="D11:L13"/>
      <selection pane="topRight" activeCell="D6" sqref="D6:L6"/>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11</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91"/>
      <c r="C6" s="8" t="s">
        <v>14</v>
      </c>
      <c r="D6" s="55">
        <f>'1f_OtherEndUses (2)'!D6/[6]Data!AZ$21*[6]Data!AZ$33</f>
        <v>1851.9985261266731</v>
      </c>
      <c r="E6" s="55">
        <f>'1f_OtherEndUses (2)'!E6/[6]Data!BA$21*[6]Data!BA$33</f>
        <v>1787.6556656330649</v>
      </c>
      <c r="F6" s="55">
        <f>'1f_OtherEndUses (2)'!F6/[6]Data!BB$21*[6]Data!BB$33</f>
        <v>1591.6133097862526</v>
      </c>
      <c r="G6" s="55">
        <f>'1f_OtherEndUses (2)'!G6/[6]Data!BC$21*[6]Data!BC$33</f>
        <v>1368.6511583735785</v>
      </c>
      <c r="H6" s="55">
        <f>'1f_OtherEndUses (2)'!H6/[6]Data!BD$21*[6]Data!BD$33</f>
        <v>1224.1688592235064</v>
      </c>
      <c r="I6" s="55">
        <f>'1f_OtherEndUses (2)'!I6/[6]Data!BE$21*[6]Data!BE$33</f>
        <v>1778.6856345083768</v>
      </c>
      <c r="J6" s="55">
        <f>'1f_OtherEndUses (2)'!J6/[6]Data!BF$21*[6]Data!BF$33</f>
        <v>2302.1601318659718</v>
      </c>
      <c r="K6" s="55">
        <f>'1f_OtherEndUses (2)'!K6/[6]Data!BG$21*[6]Data!BG$33</f>
        <v>2319.6585239304177</v>
      </c>
      <c r="L6" s="55">
        <f>'1f_OtherEndUses (2)'!L6/[6]Data!BH$21*[6]Data!BH$33</f>
        <v>2289.527847611088</v>
      </c>
      <c r="M6" s="56"/>
      <c r="N6" s="56"/>
      <c r="O6" s="56"/>
      <c r="DS6" s="4" t="str">
        <f>VLOOKUP(Cover!$D$15, Country_list!$B$3:$C$44, 2, 0)</f>
        <v>AT</v>
      </c>
      <c r="DT6" s="32" t="s">
        <v>289</v>
      </c>
      <c r="DV6" s="32" t="s">
        <v>307</v>
      </c>
      <c r="EB6" s="32" t="s">
        <v>291</v>
      </c>
      <c r="ED6" s="32" t="s">
        <v>294</v>
      </c>
    </row>
    <row r="7" spans="1:134" ht="24" customHeight="1" x14ac:dyDescent="0.25">
      <c r="A7" s="156" t="s">
        <v>15</v>
      </c>
      <c r="B7" s="192"/>
      <c r="C7" s="9" t="s">
        <v>25</v>
      </c>
      <c r="D7" s="57"/>
      <c r="E7" s="54"/>
      <c r="F7" s="54"/>
      <c r="G7" s="54"/>
      <c r="H7" s="54"/>
      <c r="I7" s="54"/>
      <c r="J7" s="54"/>
      <c r="K7" s="54"/>
      <c r="L7" s="54"/>
      <c r="M7" s="54"/>
      <c r="N7" s="54"/>
      <c r="O7" s="54"/>
      <c r="DT7" s="32" t="s">
        <v>290</v>
      </c>
      <c r="EB7" s="32" t="s">
        <v>291</v>
      </c>
      <c r="ED7" s="32" t="s">
        <v>295</v>
      </c>
    </row>
    <row r="8" spans="1:134" ht="24" customHeight="1" x14ac:dyDescent="0.25">
      <c r="A8" s="156" t="s">
        <v>29</v>
      </c>
      <c r="B8" s="192"/>
      <c r="C8" s="9" t="s">
        <v>17</v>
      </c>
      <c r="D8" s="57"/>
      <c r="E8" s="54"/>
      <c r="F8" s="54"/>
      <c r="G8" s="54"/>
      <c r="H8" s="54"/>
      <c r="I8" s="54"/>
      <c r="J8" s="54"/>
      <c r="K8" s="54"/>
      <c r="L8" s="54"/>
      <c r="M8" s="54"/>
      <c r="N8" s="54"/>
      <c r="O8" s="54"/>
      <c r="DT8" s="32" t="s">
        <v>231</v>
      </c>
      <c r="EB8" s="32" t="s">
        <v>291</v>
      </c>
      <c r="ED8" s="32" t="s">
        <v>296</v>
      </c>
    </row>
    <row r="9" spans="1:134" ht="24" customHeight="1" x14ac:dyDescent="0.25">
      <c r="A9" s="156" t="s">
        <v>156</v>
      </c>
      <c r="B9" s="180"/>
      <c r="C9" s="9" t="s">
        <v>19</v>
      </c>
      <c r="D9" s="57"/>
      <c r="E9" s="54"/>
      <c r="F9" s="54"/>
      <c r="G9" s="54"/>
      <c r="H9" s="54"/>
      <c r="I9" s="54"/>
      <c r="J9" s="54"/>
      <c r="K9" s="54"/>
      <c r="L9" s="54"/>
      <c r="M9" s="54"/>
      <c r="N9" s="54"/>
      <c r="O9" s="54"/>
      <c r="DT9" s="32" t="s">
        <v>279</v>
      </c>
      <c r="EB9" s="32" t="s">
        <v>292</v>
      </c>
      <c r="ED9" s="32" t="s">
        <v>293</v>
      </c>
    </row>
    <row r="10" spans="1:134" ht="24" customHeight="1" x14ac:dyDescent="0.25">
      <c r="A10" s="156" t="s">
        <v>20</v>
      </c>
      <c r="B10" s="180"/>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25">
      <c r="A11" s="155"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6" t="s">
        <v>24</v>
      </c>
      <c r="B14" s="180"/>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25">
      <c r="A15" s="18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7"/>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87"/>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8"/>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xr:uid="{00000000-0002-0000-0A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2:D43"/>
  <sheetViews>
    <sheetView showGridLines="0" zoomScale="90" zoomScaleNormal="90" workbookViewId="0"/>
  </sheetViews>
  <sheetFormatPr baseColWidth="10"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193" t="s">
        <v>44</v>
      </c>
      <c r="C3" s="194"/>
      <c r="D3" s="195"/>
    </row>
    <row r="4" spans="2:4" ht="15.75" thickBot="1" x14ac:dyDescent="0.3"/>
    <row r="5" spans="2:4" ht="15" customHeight="1" x14ac:dyDescent="0.25">
      <c r="B5" s="38"/>
      <c r="C5" s="196"/>
      <c r="D5" s="90"/>
    </row>
    <row r="6" spans="2:4" x14ac:dyDescent="0.25">
      <c r="B6" s="39"/>
      <c r="C6" s="197"/>
      <c r="D6" s="40"/>
    </row>
    <row r="7" spans="2:4" x14ac:dyDescent="0.25">
      <c r="B7" s="39"/>
      <c r="C7" s="197"/>
      <c r="D7" s="40"/>
    </row>
    <row r="8" spans="2:4" x14ac:dyDescent="0.25">
      <c r="B8" s="39"/>
      <c r="C8" s="197"/>
      <c r="D8" s="40"/>
    </row>
    <row r="9" spans="2:4" x14ac:dyDescent="0.25">
      <c r="B9" s="39"/>
      <c r="C9" s="197"/>
      <c r="D9" s="40"/>
    </row>
    <row r="10" spans="2:4" x14ac:dyDescent="0.25">
      <c r="B10" s="39"/>
      <c r="C10" s="197"/>
      <c r="D10" s="40"/>
    </row>
    <row r="11" spans="2:4" x14ac:dyDescent="0.25">
      <c r="B11" s="39"/>
      <c r="C11" s="197"/>
      <c r="D11" s="40"/>
    </row>
    <row r="12" spans="2:4" x14ac:dyDescent="0.25">
      <c r="B12" s="39"/>
      <c r="C12" s="197"/>
      <c r="D12" s="40"/>
    </row>
    <row r="13" spans="2:4" x14ac:dyDescent="0.25">
      <c r="B13" s="39"/>
      <c r="C13" s="197"/>
      <c r="D13" s="40"/>
    </row>
    <row r="14" spans="2:4" x14ac:dyDescent="0.25">
      <c r="B14" s="39"/>
      <c r="C14" s="197"/>
      <c r="D14" s="40"/>
    </row>
    <row r="15" spans="2:4" x14ac:dyDescent="0.25">
      <c r="B15" s="39"/>
      <c r="C15" s="197"/>
      <c r="D15" s="40"/>
    </row>
    <row r="16" spans="2:4" x14ac:dyDescent="0.25">
      <c r="B16" s="39"/>
      <c r="C16" s="197"/>
      <c r="D16" s="40"/>
    </row>
    <row r="17" spans="2:4" x14ac:dyDescent="0.25">
      <c r="B17" s="39"/>
      <c r="C17" s="197"/>
      <c r="D17" s="40"/>
    </row>
    <row r="18" spans="2:4" x14ac:dyDescent="0.25">
      <c r="B18" s="39"/>
      <c r="C18" s="197"/>
      <c r="D18" s="40"/>
    </row>
    <row r="19" spans="2:4" x14ac:dyDescent="0.25">
      <c r="B19" s="39"/>
      <c r="C19" s="197"/>
      <c r="D19" s="40"/>
    </row>
    <row r="20" spans="2:4" x14ac:dyDescent="0.25">
      <c r="B20" s="39"/>
      <c r="C20" s="197"/>
      <c r="D20" s="40"/>
    </row>
    <row r="21" spans="2:4" x14ac:dyDescent="0.25">
      <c r="B21" s="39"/>
      <c r="C21" s="197"/>
      <c r="D21" s="40"/>
    </row>
    <row r="22" spans="2:4" x14ac:dyDescent="0.25">
      <c r="B22" s="39"/>
      <c r="C22" s="197"/>
      <c r="D22" s="40"/>
    </row>
    <row r="23" spans="2:4" x14ac:dyDescent="0.25">
      <c r="B23" s="39"/>
      <c r="C23" s="197"/>
      <c r="D23" s="40"/>
    </row>
    <row r="24" spans="2:4" x14ac:dyDescent="0.25">
      <c r="B24" s="39"/>
      <c r="C24" s="197"/>
      <c r="D24" s="40"/>
    </row>
    <row r="25" spans="2:4" x14ac:dyDescent="0.25">
      <c r="B25" s="39"/>
      <c r="C25" s="197"/>
      <c r="D25" s="40"/>
    </row>
    <row r="26" spans="2:4" x14ac:dyDescent="0.25">
      <c r="B26" s="39"/>
      <c r="C26" s="197"/>
      <c r="D26" s="40"/>
    </row>
    <row r="27" spans="2:4" x14ac:dyDescent="0.25">
      <c r="B27" s="39"/>
      <c r="C27" s="197"/>
      <c r="D27" s="40"/>
    </row>
    <row r="28" spans="2:4" x14ac:dyDescent="0.25">
      <c r="B28" s="39"/>
      <c r="C28" s="197"/>
      <c r="D28" s="40"/>
    </row>
    <row r="29" spans="2:4" x14ac:dyDescent="0.25">
      <c r="B29" s="39"/>
      <c r="C29" s="197"/>
      <c r="D29" s="40"/>
    </row>
    <row r="30" spans="2:4" x14ac:dyDescent="0.25">
      <c r="B30" s="39"/>
      <c r="C30" s="197"/>
      <c r="D30" s="40"/>
    </row>
    <row r="31" spans="2:4" x14ac:dyDescent="0.25">
      <c r="B31" s="39"/>
      <c r="C31" s="197"/>
      <c r="D31" s="40"/>
    </row>
    <row r="32" spans="2:4" x14ac:dyDescent="0.25">
      <c r="B32" s="39"/>
      <c r="C32" s="197"/>
      <c r="D32" s="40"/>
    </row>
    <row r="33" spans="2:4" x14ac:dyDescent="0.25">
      <c r="B33" s="39"/>
      <c r="C33" s="197"/>
      <c r="D33" s="40"/>
    </row>
    <row r="34" spans="2:4" x14ac:dyDescent="0.25">
      <c r="B34" s="39"/>
      <c r="C34" s="197"/>
      <c r="D34" s="40"/>
    </row>
    <row r="35" spans="2:4" x14ac:dyDescent="0.25">
      <c r="B35" s="39"/>
      <c r="C35" s="197"/>
      <c r="D35" s="40"/>
    </row>
    <row r="36" spans="2:4" x14ac:dyDescent="0.25">
      <c r="B36" s="39"/>
      <c r="C36" s="197"/>
      <c r="D36" s="40"/>
    </row>
    <row r="37" spans="2:4" x14ac:dyDescent="0.25">
      <c r="B37" s="39"/>
      <c r="C37" s="197"/>
      <c r="D37" s="40"/>
    </row>
    <row r="38" spans="2:4" x14ac:dyDescent="0.25">
      <c r="B38" s="39"/>
      <c r="C38" s="197"/>
      <c r="D38" s="40"/>
    </row>
    <row r="39" spans="2:4" x14ac:dyDescent="0.25">
      <c r="B39" s="39"/>
      <c r="C39" s="197"/>
      <c r="D39" s="40"/>
    </row>
    <row r="40" spans="2:4" x14ac:dyDescent="0.25">
      <c r="B40" s="39"/>
      <c r="C40" s="197"/>
      <c r="D40" s="40"/>
    </row>
    <row r="41" spans="2:4" x14ac:dyDescent="0.25">
      <c r="B41" s="39"/>
      <c r="C41" s="197"/>
      <c r="D41" s="40"/>
    </row>
    <row r="42" spans="2:4" x14ac:dyDescent="0.25">
      <c r="B42" s="39"/>
      <c r="C42" s="197"/>
      <c r="D42" s="40"/>
    </row>
    <row r="43" spans="2:4" ht="15.75" thickBot="1" x14ac:dyDescent="0.3">
      <c r="B43" s="41"/>
      <c r="C43" s="198"/>
      <c r="D43" s="42"/>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C44"/>
  <sheetViews>
    <sheetView workbookViewId="0">
      <selection activeCell="A45" sqref="A45:XFD45"/>
    </sheetView>
  </sheetViews>
  <sheetFormatPr baseColWidth="10" defaultColWidth="9.14062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EEE0C-5B3E-4F3C-ADA3-48D66A40A8FE}">
  <sheetPr codeName="Sheet15">
    <pageSetUpPr fitToPage="1"/>
  </sheetPr>
  <dimension ref="A1:ED19"/>
  <sheetViews>
    <sheetView showGridLines="0" zoomScale="90" zoomScaleNormal="90" workbookViewId="0">
      <pane xSplit="3" topLeftCell="D1" activePane="topRight" state="frozen"/>
      <selection activeCell="D11" sqref="D11:L13"/>
      <selection pane="topRight" activeCell="L6" sqref="L6"/>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30</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79"/>
      <c r="C6" s="8" t="s">
        <v>14</v>
      </c>
      <c r="D6" s="55">
        <v>2529.7366621561141</v>
      </c>
      <c r="E6" s="55">
        <v>2539.5118149777413</v>
      </c>
      <c r="F6" s="55">
        <v>2737.033000271555</v>
      </c>
      <c r="G6" s="55">
        <v>2739.9758252527636</v>
      </c>
      <c r="H6" s="55">
        <v>2580.3229463294479</v>
      </c>
      <c r="I6" s="55">
        <v>2550.4001262529587</v>
      </c>
      <c r="J6" s="55">
        <v>2506.1336766483587</v>
      </c>
      <c r="K6" s="56">
        <v>2520.1605900022141</v>
      </c>
      <c r="L6" s="56">
        <v>2482.3922438501731</v>
      </c>
      <c r="M6" s="56"/>
      <c r="N6" s="56"/>
      <c r="O6" s="56"/>
      <c r="DS6" s="4" t="str">
        <f>VLOOKUP(Cover!$D$15, Country_list!$B$3:$C$44, 2, 0)</f>
        <v>AT</v>
      </c>
      <c r="DT6" s="32" t="s">
        <v>289</v>
      </c>
      <c r="DV6" s="32" t="s">
        <v>302</v>
      </c>
      <c r="EB6" s="32" t="s">
        <v>291</v>
      </c>
      <c r="ED6" s="32" t="s">
        <v>294</v>
      </c>
    </row>
    <row r="7" spans="1:134" ht="24" customHeight="1" x14ac:dyDescent="0.25">
      <c r="A7" s="156" t="s">
        <v>15</v>
      </c>
      <c r="B7" s="180"/>
      <c r="C7" s="9" t="s">
        <v>25</v>
      </c>
      <c r="D7" s="54">
        <v>21046.300657838914</v>
      </c>
      <c r="E7" s="54">
        <v>20528.251150310371</v>
      </c>
      <c r="F7" s="54">
        <v>23273.463528518208</v>
      </c>
      <c r="G7" s="54">
        <v>26785.59262532858</v>
      </c>
      <c r="H7" s="54">
        <v>24213.602603678119</v>
      </c>
      <c r="I7" s="54">
        <v>26753.890437285387</v>
      </c>
      <c r="J7" s="54">
        <v>27805.407322905619</v>
      </c>
      <c r="K7" s="54">
        <v>29707.645805816621</v>
      </c>
      <c r="L7" s="54">
        <v>27262.293173621027</v>
      </c>
      <c r="M7" s="54"/>
      <c r="N7" s="54"/>
      <c r="O7" s="54"/>
      <c r="DT7" s="32" t="s">
        <v>290</v>
      </c>
      <c r="EB7" s="32" t="s">
        <v>291</v>
      </c>
      <c r="ED7" s="32" t="s">
        <v>295</v>
      </c>
    </row>
    <row r="8" spans="1:134" ht="24" customHeight="1" x14ac:dyDescent="0.25">
      <c r="A8" s="156" t="s">
        <v>29</v>
      </c>
      <c r="B8" s="180"/>
      <c r="C8" s="9" t="s">
        <v>17</v>
      </c>
      <c r="D8" s="54">
        <v>63852.363884944971</v>
      </c>
      <c r="E8" s="54">
        <v>55330.242170185687</v>
      </c>
      <c r="F8" s="54">
        <v>56628.514683531444</v>
      </c>
      <c r="G8" s="54">
        <v>57626.651447365744</v>
      </c>
      <c r="H8" s="54">
        <v>48525.737788527666</v>
      </c>
      <c r="I8" s="54">
        <v>54067.522584923412</v>
      </c>
      <c r="J8" s="54">
        <v>60842.998692528148</v>
      </c>
      <c r="K8" s="54">
        <v>59883.098747951553</v>
      </c>
      <c r="L8" s="54">
        <v>54592.958170043246</v>
      </c>
      <c r="M8" s="54"/>
      <c r="N8" s="54"/>
      <c r="O8" s="54"/>
      <c r="DT8" s="32" t="s">
        <v>231</v>
      </c>
      <c r="EB8" s="32" t="s">
        <v>291</v>
      </c>
      <c r="ED8" s="32" t="s">
        <v>296</v>
      </c>
    </row>
    <row r="9" spans="1:134" ht="24" customHeight="1" x14ac:dyDescent="0.25">
      <c r="A9" s="156" t="s">
        <v>156</v>
      </c>
      <c r="B9" s="180"/>
      <c r="C9" s="9" t="s">
        <v>19</v>
      </c>
      <c r="D9" s="54">
        <v>93.544390760943458</v>
      </c>
      <c r="E9" s="54">
        <v>60.028708501149829</v>
      </c>
      <c r="F9" s="54">
        <v>64.532085961254751</v>
      </c>
      <c r="G9" s="54">
        <v>49.147375039331664</v>
      </c>
      <c r="H9" s="54">
        <v>40.255475000733881</v>
      </c>
      <c r="I9" s="54">
        <v>32.827601764442669</v>
      </c>
      <c r="J9" s="54">
        <v>31.362230740132425</v>
      </c>
      <c r="K9" s="54">
        <v>35.118009216263268</v>
      </c>
      <c r="L9" s="54">
        <v>31.461918592742599</v>
      </c>
      <c r="M9" s="54"/>
      <c r="N9" s="54"/>
      <c r="O9" s="54"/>
      <c r="DT9" s="32" t="s">
        <v>279</v>
      </c>
      <c r="EB9" s="32" t="s">
        <v>292</v>
      </c>
      <c r="ED9" s="32" t="s">
        <v>293</v>
      </c>
    </row>
    <row r="10" spans="1:134" ht="24" customHeight="1" x14ac:dyDescent="0.25">
      <c r="A10" s="156" t="s">
        <v>20</v>
      </c>
      <c r="B10" s="180"/>
      <c r="C10" s="9" t="s">
        <v>19</v>
      </c>
      <c r="D10" s="54">
        <v>1159.3608203059821</v>
      </c>
      <c r="E10" s="54">
        <v>989.53987366651211</v>
      </c>
      <c r="F10" s="54">
        <v>909.87703149296919</v>
      </c>
      <c r="G10" s="54">
        <v>981.88229883233657</v>
      </c>
      <c r="H10" s="54">
        <v>845.27404314433147</v>
      </c>
      <c r="I10" s="54">
        <v>891.52113011255244</v>
      </c>
      <c r="J10" s="54">
        <v>891.72454228384515</v>
      </c>
      <c r="K10" s="54">
        <v>903.11358613974687</v>
      </c>
      <c r="L10" s="54">
        <v>813.62975832968903</v>
      </c>
      <c r="M10" s="54"/>
      <c r="N10" s="54"/>
      <c r="O10" s="54"/>
      <c r="DT10" s="32" t="s">
        <v>280</v>
      </c>
      <c r="EB10" s="32" t="s">
        <v>292</v>
      </c>
      <c r="ED10" s="32" t="s">
        <v>293</v>
      </c>
    </row>
    <row r="11" spans="1:134" s="33" customFormat="1" ht="15" customHeight="1" x14ac:dyDescent="0.25">
      <c r="A11" s="155" t="s">
        <v>18</v>
      </c>
      <c r="B11" s="102" t="s">
        <v>21</v>
      </c>
      <c r="C11" s="103" t="s">
        <v>19</v>
      </c>
      <c r="D11" s="105">
        <v>28.89367480624799</v>
      </c>
      <c r="E11" s="105">
        <v>19.1195692130776</v>
      </c>
      <c r="F11" s="105">
        <v>20.339837299321552</v>
      </c>
      <c r="G11" s="105">
        <v>24.709041276193652</v>
      </c>
      <c r="H11" s="105">
        <v>20.387895093149275</v>
      </c>
      <c r="I11" s="105">
        <v>20.526764883150271</v>
      </c>
      <c r="J11" s="105">
        <v>21.136699787209992</v>
      </c>
      <c r="K11" s="105">
        <v>25.599618217226045</v>
      </c>
      <c r="L11" s="105">
        <v>23.547105230456399</v>
      </c>
      <c r="M11" s="105"/>
      <c r="N11" s="105"/>
      <c r="O11" s="105"/>
      <c r="DT11" s="33" t="s">
        <v>281</v>
      </c>
      <c r="EB11" s="33" t="s">
        <v>292</v>
      </c>
      <c r="ED11" s="33" t="s">
        <v>293</v>
      </c>
    </row>
    <row r="12" spans="1:134" s="33" customFormat="1" ht="15" customHeight="1" x14ac:dyDescent="0.25">
      <c r="A12" s="155"/>
      <c r="B12" s="102" t="s">
        <v>22</v>
      </c>
      <c r="C12" s="103" t="s">
        <v>19</v>
      </c>
      <c r="D12" s="104">
        <v>0</v>
      </c>
      <c r="E12" s="104">
        <v>0</v>
      </c>
      <c r="F12" s="104">
        <v>0</v>
      </c>
      <c r="G12" s="104">
        <v>0</v>
      </c>
      <c r="H12" s="104">
        <v>0</v>
      </c>
      <c r="I12" s="104">
        <v>0</v>
      </c>
      <c r="J12" s="104">
        <v>0</v>
      </c>
      <c r="K12" s="104">
        <v>0</v>
      </c>
      <c r="L12" s="104">
        <v>0</v>
      </c>
      <c r="M12" s="105"/>
      <c r="N12" s="105"/>
      <c r="O12" s="105"/>
      <c r="DT12" s="33" t="s">
        <v>282</v>
      </c>
      <c r="EB12" s="33" t="s">
        <v>292</v>
      </c>
      <c r="ED12" s="33" t="s">
        <v>293</v>
      </c>
    </row>
    <row r="13" spans="1:134" s="33" customFormat="1" ht="15" customHeight="1" x14ac:dyDescent="0.25">
      <c r="A13" s="155"/>
      <c r="B13" s="102" t="s">
        <v>23</v>
      </c>
      <c r="C13" s="103" t="s">
        <v>19</v>
      </c>
      <c r="D13" s="105">
        <v>1103.2599817103089</v>
      </c>
      <c r="E13" s="105">
        <v>959.11944601674986</v>
      </c>
      <c r="F13" s="105">
        <v>883.39298299221264</v>
      </c>
      <c r="G13" s="105">
        <v>953.06879751603856</v>
      </c>
      <c r="H13" s="105">
        <v>824.73414805118227</v>
      </c>
      <c r="I13" s="105">
        <v>870.8503652294022</v>
      </c>
      <c r="J13" s="105">
        <v>870.42484249663516</v>
      </c>
      <c r="K13" s="105">
        <v>877.33396792252097</v>
      </c>
      <c r="L13" s="105">
        <v>789.94465309923271</v>
      </c>
      <c r="M13" s="105"/>
      <c r="N13" s="105"/>
      <c r="O13" s="105"/>
      <c r="DT13" s="33" t="s">
        <v>283</v>
      </c>
      <c r="EB13" s="33" t="s">
        <v>292</v>
      </c>
      <c r="ED13" s="33" t="s">
        <v>293</v>
      </c>
    </row>
    <row r="14" spans="1:134" ht="24" customHeight="1" x14ac:dyDescent="0.25">
      <c r="A14" s="156" t="s">
        <v>24</v>
      </c>
      <c r="B14" s="180"/>
      <c r="C14" s="9" t="s">
        <v>25</v>
      </c>
      <c r="D14" s="57">
        <v>71047.204663209661</v>
      </c>
      <c r="E14" s="57">
        <v>66733.084576823327</v>
      </c>
      <c r="F14" s="57">
        <v>70655.734167572096</v>
      </c>
      <c r="G14" s="57">
        <v>74122.584334347252</v>
      </c>
      <c r="H14" s="57">
        <v>63979.73369049438</v>
      </c>
      <c r="I14" s="57">
        <v>69014.412157011015</v>
      </c>
      <c r="J14" s="57">
        <v>71549.226511052533</v>
      </c>
      <c r="K14" s="57">
        <v>72452.637726366913</v>
      </c>
      <c r="L14" s="57">
        <v>66742.353799731252</v>
      </c>
      <c r="M14" s="54"/>
      <c r="N14" s="54"/>
      <c r="O14" s="54"/>
      <c r="DT14" s="32" t="s">
        <v>284</v>
      </c>
      <c r="EB14" s="32" t="s">
        <v>291</v>
      </c>
      <c r="ED14" s="32" t="s">
        <v>295</v>
      </c>
    </row>
    <row r="15" spans="1:134" s="33" customFormat="1" ht="15" customHeight="1" x14ac:dyDescent="0.25">
      <c r="A15" s="155" t="s">
        <v>18</v>
      </c>
      <c r="B15" s="102" t="s">
        <v>26</v>
      </c>
      <c r="C15" s="103" t="s">
        <v>25</v>
      </c>
      <c r="D15" s="105">
        <v>1484.458098151435</v>
      </c>
      <c r="E15" s="105">
        <v>1275.6445687431888</v>
      </c>
      <c r="F15" s="105">
        <v>1208.9476791437169</v>
      </c>
      <c r="G15" s="105">
        <v>1360.387728688464</v>
      </c>
      <c r="H15" s="105">
        <v>1360.0543894680022</v>
      </c>
      <c r="I15" s="105">
        <v>1519.4808635589775</v>
      </c>
      <c r="J15" s="105">
        <v>1603.867899497116</v>
      </c>
      <c r="K15" s="105">
        <v>1455.3914541651561</v>
      </c>
      <c r="L15" s="105">
        <v>1326.8851030472388</v>
      </c>
      <c r="M15" s="105"/>
      <c r="N15" s="105"/>
      <c r="O15" s="105"/>
      <c r="DT15" s="33" t="s">
        <v>285</v>
      </c>
      <c r="EB15" s="33" t="s">
        <v>291</v>
      </c>
      <c r="ED15" s="33" t="s">
        <v>295</v>
      </c>
    </row>
    <row r="16" spans="1:134" s="33" customFormat="1" ht="15" customHeight="1" x14ac:dyDescent="0.25">
      <c r="A16" s="155"/>
      <c r="B16" s="102" t="s">
        <v>27</v>
      </c>
      <c r="C16" s="103" t="s">
        <v>25</v>
      </c>
      <c r="D16" s="105">
        <v>67449.309028846881</v>
      </c>
      <c r="E16" s="105">
        <v>63484.899440383866</v>
      </c>
      <c r="F16" s="105">
        <v>67312.035011501517</v>
      </c>
      <c r="G16" s="105">
        <v>70254.906975278733</v>
      </c>
      <c r="H16" s="105">
        <v>60266.761424121221</v>
      </c>
      <c r="I16" s="105">
        <v>64059.712088409273</v>
      </c>
      <c r="J16" s="105">
        <v>66275.693132960951</v>
      </c>
      <c r="K16" s="105">
        <v>67215.190753432122</v>
      </c>
      <c r="L16" s="105">
        <v>61157.969240686092</v>
      </c>
      <c r="M16" s="105"/>
      <c r="N16" s="105"/>
      <c r="O16" s="105"/>
      <c r="DT16" s="33" t="s">
        <v>286</v>
      </c>
      <c r="EB16" s="33" t="s">
        <v>291</v>
      </c>
      <c r="ED16" s="33" t="s">
        <v>295</v>
      </c>
    </row>
    <row r="17" spans="1:134" s="33" customFormat="1" ht="15" customHeight="1" x14ac:dyDescent="0.25">
      <c r="A17" s="155"/>
      <c r="B17" s="102" t="s">
        <v>28</v>
      </c>
      <c r="C17" s="103" t="s">
        <v>25</v>
      </c>
      <c r="D17" s="104">
        <v>5.9063025189659415</v>
      </c>
      <c r="E17" s="104">
        <v>18.767064739195153</v>
      </c>
      <c r="F17" s="104">
        <v>22.885426572379426</v>
      </c>
      <c r="G17" s="104">
        <v>38.14153716134723</v>
      </c>
      <c r="H17" s="104">
        <v>55.935805682637266</v>
      </c>
      <c r="I17" s="104">
        <v>85.605482495418016</v>
      </c>
      <c r="J17" s="104">
        <v>120.49371990600733</v>
      </c>
      <c r="K17" s="104">
        <v>186.63671354435272</v>
      </c>
      <c r="L17" s="104">
        <v>141.17818095009991</v>
      </c>
      <c r="M17" s="104"/>
      <c r="N17" s="104"/>
      <c r="O17" s="104"/>
      <c r="DT17" s="33" t="s">
        <v>287</v>
      </c>
      <c r="EB17" s="33" t="s">
        <v>291</v>
      </c>
      <c r="ED17" s="33" t="s">
        <v>295</v>
      </c>
    </row>
    <row r="18" spans="1:134" s="33" customFormat="1" ht="15" customHeight="1" x14ac:dyDescent="0.25">
      <c r="A18" s="155"/>
      <c r="B18" s="102" t="s">
        <v>184</v>
      </c>
      <c r="C18" s="103" t="s">
        <v>25</v>
      </c>
      <c r="D18" s="104">
        <v>1884.8794688193282</v>
      </c>
      <c r="E18" s="104">
        <v>1746.7875891474157</v>
      </c>
      <c r="F18" s="104">
        <v>1873.6142701153356</v>
      </c>
      <c r="G18" s="104">
        <v>2256.1492224059266</v>
      </c>
      <c r="H18" s="104">
        <v>2096.970989425537</v>
      </c>
      <c r="I18" s="104">
        <v>3095.5315143071393</v>
      </c>
      <c r="J18" s="104">
        <v>3281.1685283412612</v>
      </c>
      <c r="K18" s="104">
        <v>3370.9106802017645</v>
      </c>
      <c r="L18" s="104">
        <v>3864.0994404411631</v>
      </c>
      <c r="M18" s="104"/>
      <c r="N18" s="104"/>
      <c r="O18" s="104"/>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D6:O18" xr:uid="{58062CB7-A3A8-45F2-AEC6-89E734F6724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F278A-09D9-4E1D-9D28-93C1DF2239E9}">
  <sheetPr codeName="Sheet16">
    <pageSetUpPr fitToPage="1"/>
  </sheetPr>
  <dimension ref="A1:ED19"/>
  <sheetViews>
    <sheetView showGridLines="0" zoomScale="90" zoomScaleNormal="90" workbookViewId="0">
      <pane xSplit="3" topLeftCell="D1" activePane="topRight" state="frozen"/>
      <selection activeCell="D11" sqref="D11:L13"/>
      <selection pane="topRight" activeCell="D11" sqref="D11:L13"/>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31</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53"/>
      <c r="C6" s="8" t="s">
        <v>14</v>
      </c>
      <c r="D6" s="55">
        <v>5.9329568171195559</v>
      </c>
      <c r="E6" s="55">
        <v>6.978583773789123</v>
      </c>
      <c r="F6" s="55">
        <v>9.5040953038952924</v>
      </c>
      <c r="G6" s="55">
        <v>8.6206986325735873</v>
      </c>
      <c r="H6" s="55">
        <v>7.6790847054960478</v>
      </c>
      <c r="I6" s="55">
        <v>7.142887372925685</v>
      </c>
      <c r="J6" s="55">
        <v>6.099657355971039</v>
      </c>
      <c r="K6" s="55">
        <v>7.9739365427911597</v>
      </c>
      <c r="L6" s="56">
        <v>7.8544352710320142</v>
      </c>
      <c r="M6" s="56"/>
      <c r="N6" s="56"/>
      <c r="O6" s="56"/>
      <c r="DS6" s="4" t="str">
        <f>VLOOKUP(Cover!$D$15, Country_list!$B$3:$C$44, 2, 0)</f>
        <v>AT</v>
      </c>
      <c r="DT6" s="32" t="s">
        <v>289</v>
      </c>
      <c r="DV6" s="32" t="s">
        <v>303</v>
      </c>
      <c r="EB6" s="32" t="s">
        <v>291</v>
      </c>
      <c r="ED6" s="32" t="s">
        <v>294</v>
      </c>
    </row>
    <row r="7" spans="1:134" ht="24" customHeight="1" x14ac:dyDescent="0.25">
      <c r="A7" s="183" t="s">
        <v>15</v>
      </c>
      <c r="B7" s="184"/>
      <c r="C7" s="120" t="s">
        <v>25</v>
      </c>
      <c r="D7" s="121"/>
      <c r="E7" s="122"/>
      <c r="F7" s="122"/>
      <c r="G7" s="122"/>
      <c r="H7" s="122"/>
      <c r="I7" s="122"/>
      <c r="J7" s="122"/>
      <c r="K7" s="122"/>
      <c r="L7" s="122"/>
      <c r="M7" s="122"/>
      <c r="N7" s="122"/>
      <c r="O7" s="122"/>
      <c r="DT7" s="32" t="s">
        <v>290</v>
      </c>
      <c r="EB7" s="32" t="s">
        <v>291</v>
      </c>
      <c r="ED7" s="32" t="s">
        <v>295</v>
      </c>
    </row>
    <row r="8" spans="1:134" ht="24" customHeight="1" x14ac:dyDescent="0.25">
      <c r="A8" s="183" t="s">
        <v>29</v>
      </c>
      <c r="B8" s="184"/>
      <c r="C8" s="120" t="s">
        <v>17</v>
      </c>
      <c r="D8" s="121"/>
      <c r="E8" s="122"/>
      <c r="F8" s="122"/>
      <c r="G8" s="122"/>
      <c r="H8" s="122"/>
      <c r="I8" s="122"/>
      <c r="J8" s="122"/>
      <c r="K8" s="122"/>
      <c r="L8" s="122"/>
      <c r="M8" s="122"/>
      <c r="N8" s="122"/>
      <c r="O8" s="122"/>
      <c r="DT8" s="32" t="s">
        <v>231</v>
      </c>
      <c r="EB8" s="32" t="s">
        <v>291</v>
      </c>
      <c r="ED8" s="32" t="s">
        <v>296</v>
      </c>
    </row>
    <row r="9" spans="1:134" ht="24" customHeight="1" x14ac:dyDescent="0.25">
      <c r="A9" s="183" t="s">
        <v>156</v>
      </c>
      <c r="B9" s="184"/>
      <c r="C9" s="120" t="s">
        <v>19</v>
      </c>
      <c r="D9" s="121"/>
      <c r="E9" s="122"/>
      <c r="F9" s="122"/>
      <c r="G9" s="122"/>
      <c r="H9" s="122"/>
      <c r="I9" s="122"/>
      <c r="J9" s="122"/>
      <c r="K9" s="122"/>
      <c r="L9" s="122"/>
      <c r="M9" s="122"/>
      <c r="N9" s="122"/>
      <c r="O9" s="122"/>
      <c r="DT9" s="32" t="s">
        <v>279</v>
      </c>
      <c r="EB9" s="32" t="s">
        <v>292</v>
      </c>
      <c r="ED9" s="32" t="s">
        <v>293</v>
      </c>
    </row>
    <row r="10" spans="1:134" ht="24" customHeight="1" x14ac:dyDescent="0.25">
      <c r="A10" s="183" t="s">
        <v>20</v>
      </c>
      <c r="B10" s="184"/>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25">
      <c r="A11" s="185"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25">
      <c r="A12" s="185"/>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25">
      <c r="A13" s="185"/>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25">
      <c r="A14" s="183" t="s">
        <v>24</v>
      </c>
      <c r="B14" s="184"/>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25">
      <c r="A15" s="185"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25">
      <c r="A16" s="185"/>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25">
      <c r="A17" s="185"/>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25">
      <c r="A18" s="185"/>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D6:O18" xr:uid="{FA026455-01CF-4433-BB64-53516C307E2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03678-DC04-4DB7-81F6-C8CBCBB8BEB6}">
  <sheetPr codeName="Sheet17">
    <pageSetUpPr fitToPage="1"/>
  </sheetPr>
  <dimension ref="A1:ED19"/>
  <sheetViews>
    <sheetView showGridLines="0" zoomScale="90" zoomScaleNormal="90" workbookViewId="0">
      <pane xSplit="3" topLeftCell="D1" activePane="topRight" state="frozen"/>
      <selection activeCell="D11" sqref="D11:L13"/>
      <selection pane="topRight" activeCell="D11" sqref="D11:L13"/>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8</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79"/>
      <c r="C6" s="8" t="s">
        <v>14</v>
      </c>
      <c r="D6" s="55">
        <v>3270.4351051072076</v>
      </c>
      <c r="E6" s="55">
        <v>3183.9281877166063</v>
      </c>
      <c r="F6" s="55">
        <v>3239.3595656142675</v>
      </c>
      <c r="G6" s="55">
        <v>3332.8953357117789</v>
      </c>
      <c r="H6" s="55">
        <v>3182.964397102282</v>
      </c>
      <c r="I6" s="55">
        <v>3191.1135912586001</v>
      </c>
      <c r="J6" s="55">
        <v>3228.3629667335863</v>
      </c>
      <c r="K6" s="56">
        <v>3246.4322213911146</v>
      </c>
      <c r="L6" s="56">
        <v>3197.7796171153959</v>
      </c>
      <c r="M6" s="56"/>
      <c r="N6" s="56"/>
      <c r="O6" s="56"/>
      <c r="DS6" s="4" t="str">
        <f>VLOOKUP(Cover!$D$15, Country_list!$B$3:$C$44, 2, 0)</f>
        <v>AT</v>
      </c>
      <c r="DT6" s="32" t="s">
        <v>289</v>
      </c>
      <c r="DV6" s="32" t="s">
        <v>304</v>
      </c>
      <c r="EB6" s="32" t="s">
        <v>291</v>
      </c>
      <c r="ED6" s="32" t="s">
        <v>294</v>
      </c>
    </row>
    <row r="7" spans="1:134" ht="24" customHeight="1" x14ac:dyDescent="0.25">
      <c r="A7" s="156" t="s">
        <v>15</v>
      </c>
      <c r="B7" s="180"/>
      <c r="C7" s="9" t="s">
        <v>25</v>
      </c>
      <c r="D7" s="57">
        <v>3942.332342161088</v>
      </c>
      <c r="E7" s="57">
        <v>3964.0108496896282</v>
      </c>
      <c r="F7" s="57">
        <v>4121.9364714817912</v>
      </c>
      <c r="G7" s="57">
        <v>4399.7343746714196</v>
      </c>
      <c r="H7" s="57">
        <v>4653.7953963218833</v>
      </c>
      <c r="I7" s="57">
        <v>4722.3635627146159</v>
      </c>
      <c r="J7" s="57">
        <v>4853.2006770943808</v>
      </c>
      <c r="K7" s="54">
        <v>4841.3791941833806</v>
      </c>
      <c r="L7" s="54">
        <v>4744.7968263789735</v>
      </c>
      <c r="M7" s="54"/>
      <c r="N7" s="54"/>
      <c r="O7" s="54"/>
      <c r="DT7" s="32" t="s">
        <v>290</v>
      </c>
      <c r="EB7" s="32" t="s">
        <v>291</v>
      </c>
      <c r="ED7" s="32" t="s">
        <v>295</v>
      </c>
    </row>
    <row r="8" spans="1:134" ht="24" customHeight="1" x14ac:dyDescent="0.25">
      <c r="A8" s="156" t="s">
        <v>29</v>
      </c>
      <c r="B8" s="180"/>
      <c r="C8" s="9" t="s">
        <v>17</v>
      </c>
      <c r="D8" s="57">
        <v>8325.5614518495804</v>
      </c>
      <c r="E8" s="57">
        <v>8705.7653450948364</v>
      </c>
      <c r="F8" s="57">
        <v>8658.9049302220556</v>
      </c>
      <c r="G8" s="57">
        <v>8365.9232690622048</v>
      </c>
      <c r="H8" s="57">
        <v>8684.4194711278778</v>
      </c>
      <c r="I8" s="57">
        <v>8298.6374542954836</v>
      </c>
      <c r="J8" s="57">
        <v>8062.6995199917819</v>
      </c>
      <c r="K8" s="57">
        <v>8043.9799045210284</v>
      </c>
      <c r="L8" s="54">
        <v>7883.5077343834118</v>
      </c>
      <c r="M8" s="54"/>
      <c r="N8" s="54"/>
      <c r="O8" s="54"/>
      <c r="DT8" s="32" t="s">
        <v>231</v>
      </c>
      <c r="EB8" s="32" t="s">
        <v>291</v>
      </c>
      <c r="ED8" s="32" t="s">
        <v>296</v>
      </c>
    </row>
    <row r="9" spans="1:134" ht="24" customHeight="1" x14ac:dyDescent="0.25">
      <c r="A9" s="156" t="s">
        <v>156</v>
      </c>
      <c r="B9" s="180"/>
      <c r="C9" s="9" t="s">
        <v>19</v>
      </c>
      <c r="D9" s="54">
        <v>6.9262929044005617</v>
      </c>
      <c r="E9" s="54">
        <v>5.3457645016549833</v>
      </c>
      <c r="F9" s="54">
        <v>3.4574202433968226</v>
      </c>
      <c r="G9" s="54">
        <v>3.4600688074722972</v>
      </c>
      <c r="H9" s="54">
        <v>3.8066162847736509</v>
      </c>
      <c r="I9" s="54">
        <v>2.8749827528370169</v>
      </c>
      <c r="J9" s="54">
        <v>1.9449508236037989</v>
      </c>
      <c r="K9" s="54">
        <v>2.1580587269382576</v>
      </c>
      <c r="L9" s="54">
        <v>1.9333860176175934</v>
      </c>
      <c r="M9" s="54"/>
      <c r="N9" s="54"/>
      <c r="O9" s="54"/>
      <c r="DT9" s="32" t="s">
        <v>279</v>
      </c>
      <c r="EB9" s="32" t="s">
        <v>292</v>
      </c>
      <c r="ED9" s="32" t="s">
        <v>293</v>
      </c>
    </row>
    <row r="10" spans="1:134" ht="24" customHeight="1" x14ac:dyDescent="0.25">
      <c r="A10" s="156" t="s">
        <v>20</v>
      </c>
      <c r="B10" s="180"/>
      <c r="C10" s="9" t="s">
        <v>19</v>
      </c>
      <c r="D10" s="57">
        <v>144.69610089529345</v>
      </c>
      <c r="E10" s="54">
        <v>138.33794361994376</v>
      </c>
      <c r="F10" s="54">
        <v>116.77309207760729</v>
      </c>
      <c r="G10" s="54">
        <v>122.13593290659068</v>
      </c>
      <c r="H10" s="54">
        <v>118.40315427526751</v>
      </c>
      <c r="I10" s="54">
        <v>112.38582630474913</v>
      </c>
      <c r="J10" s="54">
        <v>107.10395264037172</v>
      </c>
      <c r="K10" s="54">
        <v>107.55913085409823</v>
      </c>
      <c r="L10" s="54">
        <v>96.903150274493768</v>
      </c>
      <c r="M10" s="54"/>
      <c r="N10" s="54"/>
      <c r="O10" s="54"/>
      <c r="DT10" s="32" t="s">
        <v>280</v>
      </c>
      <c r="EB10" s="32" t="s">
        <v>292</v>
      </c>
      <c r="ED10" s="32" t="s">
        <v>293</v>
      </c>
    </row>
    <row r="11" spans="1:134" s="33" customFormat="1" ht="15" customHeight="1" x14ac:dyDescent="0.25">
      <c r="A11" s="155" t="s">
        <v>18</v>
      </c>
      <c r="B11" s="102" t="s">
        <v>21</v>
      </c>
      <c r="C11" s="103" t="s">
        <v>19</v>
      </c>
      <c r="D11" s="105">
        <v>3.5932463950275686</v>
      </c>
      <c r="E11" s="105">
        <v>4.1302480733781701</v>
      </c>
      <c r="F11" s="105">
        <v>3.9792862712549231</v>
      </c>
      <c r="G11" s="105">
        <v>2.9651904627337164</v>
      </c>
      <c r="H11" s="105">
        <v>3.1533023264497038</v>
      </c>
      <c r="I11" s="105">
        <v>3.1531915341513561</v>
      </c>
      <c r="J11" s="105">
        <v>2.4817951370068942</v>
      </c>
      <c r="K11" s="105">
        <v>2.9720987766191267</v>
      </c>
      <c r="L11" s="105">
        <v>2.7338033737264364</v>
      </c>
      <c r="M11" s="105"/>
      <c r="N11" s="105"/>
      <c r="O11" s="105"/>
      <c r="DT11" s="33" t="s">
        <v>281</v>
      </c>
      <c r="EB11" s="33" t="s">
        <v>292</v>
      </c>
      <c r="ED11" s="33" t="s">
        <v>293</v>
      </c>
    </row>
    <row r="12" spans="1:134" s="33" customFormat="1" ht="15" customHeight="1" x14ac:dyDescent="0.25">
      <c r="A12" s="155"/>
      <c r="B12" s="102" t="s">
        <v>22</v>
      </c>
      <c r="C12" s="103" t="s">
        <v>19</v>
      </c>
      <c r="D12" s="104">
        <v>0</v>
      </c>
      <c r="E12" s="104">
        <v>0</v>
      </c>
      <c r="F12" s="104">
        <v>0</v>
      </c>
      <c r="G12" s="104">
        <v>0</v>
      </c>
      <c r="H12" s="104">
        <v>0</v>
      </c>
      <c r="I12" s="104">
        <v>0</v>
      </c>
      <c r="J12" s="104">
        <v>0</v>
      </c>
      <c r="K12" s="104">
        <v>0</v>
      </c>
      <c r="L12" s="104">
        <v>0</v>
      </c>
      <c r="M12" s="105"/>
      <c r="N12" s="105"/>
      <c r="O12" s="105"/>
      <c r="DT12" s="33" t="s">
        <v>282</v>
      </c>
      <c r="EB12" s="33" t="s">
        <v>292</v>
      </c>
      <c r="ED12" s="33" t="s">
        <v>293</v>
      </c>
    </row>
    <row r="13" spans="1:134" s="33" customFormat="1" ht="15" customHeight="1" x14ac:dyDescent="0.25">
      <c r="A13" s="155"/>
      <c r="B13" s="102" t="s">
        <v>23</v>
      </c>
      <c r="C13" s="103" t="s">
        <v>19</v>
      </c>
      <c r="D13" s="105">
        <v>137.72801828969119</v>
      </c>
      <c r="E13" s="105">
        <v>132.69355398325021</v>
      </c>
      <c r="F13" s="105">
        <v>112.20701700778737</v>
      </c>
      <c r="G13" s="105">
        <v>118.70820248396153</v>
      </c>
      <c r="H13" s="105">
        <v>115.24985194881781</v>
      </c>
      <c r="I13" s="105">
        <v>109.23263477059777</v>
      </c>
      <c r="J13" s="105">
        <v>104.62215750336482</v>
      </c>
      <c r="K13" s="105">
        <v>104.58703207747911</v>
      </c>
      <c r="L13" s="105">
        <v>94.169346900767337</v>
      </c>
      <c r="M13" s="105"/>
      <c r="N13" s="105"/>
      <c r="O13" s="105"/>
      <c r="DT13" s="33" t="s">
        <v>283</v>
      </c>
      <c r="EB13" s="33" t="s">
        <v>292</v>
      </c>
      <c r="ED13" s="33" t="s">
        <v>293</v>
      </c>
    </row>
    <row r="14" spans="1:134" ht="24" customHeight="1" x14ac:dyDescent="0.25">
      <c r="A14" s="156" t="s">
        <v>24</v>
      </c>
      <c r="B14" s="180"/>
      <c r="C14" s="9" t="s">
        <v>25</v>
      </c>
      <c r="D14" s="57">
        <v>12114.425802451209</v>
      </c>
      <c r="E14" s="57">
        <v>12568.289399959918</v>
      </c>
      <c r="F14" s="57">
        <v>13183.405726740348</v>
      </c>
      <c r="G14" s="57">
        <v>13347.578789680529</v>
      </c>
      <c r="H14" s="57">
        <v>13945.064371203664</v>
      </c>
      <c r="I14" s="57">
        <v>13902.648843372805</v>
      </c>
      <c r="J14" s="57">
        <v>13546.136565696797</v>
      </c>
      <c r="K14" s="57">
        <v>13365.905633937784</v>
      </c>
      <c r="L14" s="57">
        <v>12836.266543231068</v>
      </c>
      <c r="M14" s="54"/>
      <c r="N14" s="54"/>
      <c r="O14" s="54"/>
      <c r="DT14" s="32" t="s">
        <v>284</v>
      </c>
      <c r="EB14" s="32" t="s">
        <v>291</v>
      </c>
      <c r="ED14" s="32" t="s">
        <v>295</v>
      </c>
    </row>
    <row r="15" spans="1:134" s="33" customFormat="1" ht="15" customHeight="1" x14ac:dyDescent="0.25">
      <c r="A15" s="155" t="s">
        <v>18</v>
      </c>
      <c r="B15" s="102" t="s">
        <v>26</v>
      </c>
      <c r="C15" s="103" t="s">
        <v>25</v>
      </c>
      <c r="D15" s="104">
        <v>3106.8839018485646</v>
      </c>
      <c r="E15" s="105">
        <v>3041.7164312568111</v>
      </c>
      <c r="F15" s="105">
        <v>3308.4503208562833</v>
      </c>
      <c r="G15" s="105">
        <v>3631.1582713115363</v>
      </c>
      <c r="H15" s="105">
        <v>3541.8136105319982</v>
      </c>
      <c r="I15" s="105">
        <v>3815.6571364410224</v>
      </c>
      <c r="J15" s="105">
        <v>3885.8931005028844</v>
      </c>
      <c r="K15" s="105">
        <v>3637.2755458348443</v>
      </c>
      <c r="L15" s="105">
        <v>3316.1158969527614</v>
      </c>
      <c r="M15" s="105"/>
      <c r="N15" s="105"/>
      <c r="O15" s="105"/>
      <c r="DT15" s="33" t="s">
        <v>285</v>
      </c>
      <c r="EB15" s="33" t="s">
        <v>291</v>
      </c>
      <c r="ED15" s="33" t="s">
        <v>295</v>
      </c>
    </row>
    <row r="16" spans="1:134" s="33" customFormat="1" ht="15" customHeight="1" x14ac:dyDescent="0.25">
      <c r="A16" s="155"/>
      <c r="B16" s="102" t="s">
        <v>27</v>
      </c>
      <c r="C16" s="103" t="s">
        <v>25</v>
      </c>
      <c r="D16" s="104">
        <v>7328.8752603518769</v>
      </c>
      <c r="E16" s="105">
        <v>7607.700712256009</v>
      </c>
      <c r="F16" s="105">
        <v>7811.1813305886089</v>
      </c>
      <c r="G16" s="105">
        <v>7795.4875602301281</v>
      </c>
      <c r="H16" s="105">
        <v>8106.9921861750117</v>
      </c>
      <c r="I16" s="105">
        <v>7441.9119311556069</v>
      </c>
      <c r="J16" s="105">
        <v>6863.0775909001104</v>
      </c>
      <c r="K16" s="105">
        <v>6866.8842224480895</v>
      </c>
      <c r="L16" s="105">
        <v>6248.0622214761597</v>
      </c>
      <c r="M16" s="105"/>
      <c r="N16" s="105"/>
      <c r="O16" s="105"/>
      <c r="DT16" s="33" t="s">
        <v>286</v>
      </c>
      <c r="EB16" s="33" t="s">
        <v>291</v>
      </c>
      <c r="ED16" s="33" t="s">
        <v>295</v>
      </c>
    </row>
    <row r="17" spans="1:134" s="33" customFormat="1" ht="15" customHeight="1" x14ac:dyDescent="0.25">
      <c r="A17" s="155"/>
      <c r="B17" s="102" t="s">
        <v>28</v>
      </c>
      <c r="C17" s="103" t="s">
        <v>25</v>
      </c>
      <c r="D17" s="104">
        <v>0.77010907009597696</v>
      </c>
      <c r="E17" s="104">
        <v>2.952845594514196</v>
      </c>
      <c r="F17" s="104">
        <v>3.4993454107924928</v>
      </c>
      <c r="G17" s="104">
        <v>5.5371805447929079</v>
      </c>
      <c r="H17" s="104">
        <v>10.010563922190691</v>
      </c>
      <c r="I17" s="104">
        <v>13.139290083315339</v>
      </c>
      <c r="J17" s="104">
        <v>15.967402635062685</v>
      </c>
      <c r="K17" s="104">
        <v>25.070545856613279</v>
      </c>
      <c r="L17" s="104">
        <v>20.386865243309305</v>
      </c>
      <c r="M17" s="104"/>
      <c r="N17" s="104"/>
      <c r="O17" s="104"/>
      <c r="DT17" s="33" t="s">
        <v>287</v>
      </c>
      <c r="EB17" s="33" t="s">
        <v>291</v>
      </c>
      <c r="ED17" s="33" t="s">
        <v>295</v>
      </c>
    </row>
    <row r="18" spans="1:134" s="33" customFormat="1" ht="15" customHeight="1" x14ac:dyDescent="0.25">
      <c r="A18" s="155"/>
      <c r="B18" s="102" t="s">
        <v>185</v>
      </c>
      <c r="C18" s="103" t="s">
        <v>25</v>
      </c>
      <c r="D18" s="104">
        <v>1677.8965311806714</v>
      </c>
      <c r="E18" s="104">
        <v>1915.9194108525837</v>
      </c>
      <c r="F18" s="104">
        <v>2060.2747298846652</v>
      </c>
      <c r="G18" s="104">
        <v>1915.395777594073</v>
      </c>
      <c r="H18" s="104">
        <v>2286.248010574463</v>
      </c>
      <c r="I18" s="104">
        <v>2631.94048569286</v>
      </c>
      <c r="J18" s="104">
        <v>2781.1984716587394</v>
      </c>
      <c r="K18" s="104">
        <v>2836.6753197982357</v>
      </c>
      <c r="L18" s="104">
        <v>3251.7015595588373</v>
      </c>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D6:O18" xr:uid="{8F4B972C-A5DA-4BD3-B811-A59C7739205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E32E4-0260-4A5C-BBF8-FC460AD6EB06}">
  <sheetPr codeName="Sheet18">
    <tabColor rgb="FFFF0000"/>
    <pageSetUpPr fitToPage="1"/>
  </sheetPr>
  <dimension ref="A1:ED19"/>
  <sheetViews>
    <sheetView showGridLines="0" zoomScale="90" zoomScaleNormal="90" workbookViewId="0">
      <pane xSplit="3" topLeftCell="D1" activePane="topRight" state="frozen"/>
      <selection activeCell="D11" sqref="D11:L13"/>
      <selection pane="topRight" activeCell="D11" sqref="D11:L13"/>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9</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79"/>
      <c r="C6" s="8" t="s">
        <v>14</v>
      </c>
      <c r="D6" s="55">
        <v>1699.0959413130765</v>
      </c>
      <c r="E6" s="56">
        <v>1658.5584974486494</v>
      </c>
      <c r="F6" s="56">
        <v>1696.2408775890756</v>
      </c>
      <c r="G6" s="56">
        <v>1798.071984243991</v>
      </c>
      <c r="H6" s="56">
        <v>1742.4657570887593</v>
      </c>
      <c r="I6" s="56">
        <v>1772.3007664299009</v>
      </c>
      <c r="J6" s="56">
        <v>1844.4160801913365</v>
      </c>
      <c r="K6" s="56">
        <v>1854.7393381988268</v>
      </c>
      <c r="L6" s="56">
        <v>1826.9433169354204</v>
      </c>
      <c r="M6" s="56"/>
      <c r="N6" s="56"/>
      <c r="O6" s="56"/>
      <c r="DS6" s="4" t="str">
        <f>VLOOKUP(Cover!$D$15, Country_list!$B$3:$C$44, 2, 0)</f>
        <v>AT</v>
      </c>
      <c r="DT6" s="32" t="s">
        <v>289</v>
      </c>
      <c r="DV6" s="32" t="s">
        <v>305</v>
      </c>
      <c r="EB6" s="32" t="s">
        <v>291</v>
      </c>
      <c r="ED6" s="32" t="s">
        <v>294</v>
      </c>
    </row>
    <row r="7" spans="1:134" ht="24" customHeight="1" x14ac:dyDescent="0.25">
      <c r="A7" s="156" t="s">
        <v>15</v>
      </c>
      <c r="B7" s="180"/>
      <c r="C7" s="9" t="s">
        <v>25</v>
      </c>
      <c r="D7" s="57">
        <v>0</v>
      </c>
      <c r="E7" s="54">
        <v>0</v>
      </c>
      <c r="F7" s="54">
        <v>0</v>
      </c>
      <c r="G7" s="54">
        <v>0</v>
      </c>
      <c r="H7" s="54">
        <v>0</v>
      </c>
      <c r="I7" s="54">
        <v>0</v>
      </c>
      <c r="J7" s="54">
        <v>0</v>
      </c>
      <c r="K7" s="54">
        <v>0</v>
      </c>
      <c r="L7" s="54">
        <v>0</v>
      </c>
      <c r="M7" s="54"/>
      <c r="N7" s="54"/>
      <c r="O7" s="54"/>
      <c r="DT7" s="32" t="s">
        <v>290</v>
      </c>
      <c r="EB7" s="32" t="s">
        <v>291</v>
      </c>
      <c r="ED7" s="32" t="s">
        <v>295</v>
      </c>
    </row>
    <row r="8" spans="1:134" ht="24" customHeight="1" x14ac:dyDescent="0.25">
      <c r="A8" s="156" t="s">
        <v>29</v>
      </c>
      <c r="B8" s="180"/>
      <c r="C8" s="9" t="s">
        <v>17</v>
      </c>
      <c r="D8" s="57">
        <v>536.09466320545232</v>
      </c>
      <c r="E8" s="57">
        <v>539.79648471947348</v>
      </c>
      <c r="F8" s="57">
        <v>512.77238624649726</v>
      </c>
      <c r="G8" s="57">
        <v>500.52228357204928</v>
      </c>
      <c r="H8" s="57">
        <v>488.96374034445836</v>
      </c>
      <c r="I8" s="57">
        <v>461.20396078110207</v>
      </c>
      <c r="J8" s="57">
        <v>435.70778748007217</v>
      </c>
      <c r="K8" s="54">
        <v>424.406347527413</v>
      </c>
      <c r="L8" s="54">
        <v>384.74409557333883</v>
      </c>
      <c r="M8" s="54"/>
      <c r="N8" s="54"/>
      <c r="O8" s="54"/>
      <c r="DT8" s="32" t="s">
        <v>231</v>
      </c>
      <c r="EB8" s="32" t="s">
        <v>291</v>
      </c>
      <c r="ED8" s="32" t="s">
        <v>296</v>
      </c>
    </row>
    <row r="9" spans="1:134" ht="24" customHeight="1" x14ac:dyDescent="0.25">
      <c r="A9" s="156" t="s">
        <v>156</v>
      </c>
      <c r="B9" s="180"/>
      <c r="C9" s="9" t="s">
        <v>19</v>
      </c>
      <c r="D9" s="54">
        <v>0.22131633465597256</v>
      </c>
      <c r="E9" s="54">
        <v>0.25352699719518662</v>
      </c>
      <c r="F9" s="54">
        <v>0.26849379534841744</v>
      </c>
      <c r="G9" s="54">
        <v>0.14855615319604284</v>
      </c>
      <c r="H9" s="54">
        <v>7.0908714492459224E-2</v>
      </c>
      <c r="I9" s="54">
        <v>8.0415482720320439E-2</v>
      </c>
      <c r="J9" s="54">
        <v>9.6818436263775995E-2</v>
      </c>
      <c r="K9" s="54">
        <v>0.10793205679847544</v>
      </c>
      <c r="L9" s="54">
        <v>9.6695389639806839E-2</v>
      </c>
      <c r="M9" s="54"/>
      <c r="N9" s="54"/>
      <c r="O9" s="54"/>
      <c r="DT9" s="32" t="s">
        <v>279</v>
      </c>
      <c r="EB9" s="32" t="s">
        <v>292</v>
      </c>
      <c r="ED9" s="32" t="s">
        <v>293</v>
      </c>
    </row>
    <row r="10" spans="1:134" ht="24" customHeight="1" x14ac:dyDescent="0.25">
      <c r="A10" s="156" t="s">
        <v>20</v>
      </c>
      <c r="B10" s="180"/>
      <c r="C10" s="9" t="s">
        <v>19</v>
      </c>
      <c r="D10" s="54">
        <v>0.52807879872443864</v>
      </c>
      <c r="E10" s="54">
        <v>0.45618271354422851</v>
      </c>
      <c r="F10" s="54">
        <v>0.2978764294235261</v>
      </c>
      <c r="G10" s="54">
        <v>0.22376826107263145</v>
      </c>
      <c r="H10" s="54">
        <v>0.23980258040102045</v>
      </c>
      <c r="I10" s="54">
        <v>0.35604358269837105</v>
      </c>
      <c r="J10" s="54">
        <v>0.41950507578311491</v>
      </c>
      <c r="K10" s="54">
        <v>0.50128300615482946</v>
      </c>
      <c r="L10" s="54">
        <v>0.46109139581716546</v>
      </c>
      <c r="M10" s="54"/>
      <c r="N10" s="54"/>
      <c r="O10" s="54"/>
      <c r="DT10" s="32" t="s">
        <v>280</v>
      </c>
      <c r="EB10" s="32" t="s">
        <v>292</v>
      </c>
      <c r="ED10" s="32" t="s">
        <v>293</v>
      </c>
    </row>
    <row r="11" spans="1:134" s="33" customFormat="1" ht="15" customHeight="1" x14ac:dyDescent="0.25">
      <c r="A11" s="155" t="s">
        <v>18</v>
      </c>
      <c r="B11" s="102" t="s">
        <v>21</v>
      </c>
      <c r="C11" s="103" t="s">
        <v>19</v>
      </c>
      <c r="D11" s="104">
        <v>0.52807879872443864</v>
      </c>
      <c r="E11" s="105">
        <v>0.45618271354422851</v>
      </c>
      <c r="F11" s="105">
        <v>0.2978764294235261</v>
      </c>
      <c r="G11" s="105">
        <v>0.22376826107263145</v>
      </c>
      <c r="H11" s="105">
        <v>0.23980258040102045</v>
      </c>
      <c r="I11" s="105">
        <v>0.35604358269837105</v>
      </c>
      <c r="J11" s="105">
        <v>0.41950507578311491</v>
      </c>
      <c r="K11" s="105">
        <v>0.50128300615482946</v>
      </c>
      <c r="L11" s="105">
        <v>0.46109139581716546</v>
      </c>
      <c r="M11" s="105"/>
      <c r="N11" s="105"/>
      <c r="O11" s="105"/>
      <c r="DT11" s="33" t="s">
        <v>281</v>
      </c>
      <c r="EB11" s="33" t="s">
        <v>292</v>
      </c>
      <c r="ED11" s="33" t="s">
        <v>293</v>
      </c>
    </row>
    <row r="12" spans="1:134" s="33" customFormat="1" ht="15" customHeight="1" x14ac:dyDescent="0.25">
      <c r="A12" s="155"/>
      <c r="B12" s="102" t="s">
        <v>22</v>
      </c>
      <c r="C12" s="103" t="s">
        <v>19</v>
      </c>
      <c r="D12" s="104">
        <v>0</v>
      </c>
      <c r="E12" s="105">
        <v>0</v>
      </c>
      <c r="F12" s="105">
        <v>0</v>
      </c>
      <c r="G12" s="105">
        <v>0</v>
      </c>
      <c r="H12" s="105">
        <v>0</v>
      </c>
      <c r="I12" s="105">
        <v>0</v>
      </c>
      <c r="J12" s="105">
        <v>0</v>
      </c>
      <c r="K12" s="105">
        <v>0</v>
      </c>
      <c r="L12" s="105">
        <v>0</v>
      </c>
      <c r="M12" s="105"/>
      <c r="N12" s="105"/>
      <c r="O12" s="105"/>
      <c r="DT12" s="33" t="s">
        <v>282</v>
      </c>
      <c r="EB12" s="33" t="s">
        <v>292</v>
      </c>
      <c r="ED12" s="33" t="s">
        <v>293</v>
      </c>
    </row>
    <row r="13" spans="1:134" s="33" customFormat="1" ht="15" customHeight="1" x14ac:dyDescent="0.25">
      <c r="A13" s="155"/>
      <c r="B13" s="102" t="s">
        <v>23</v>
      </c>
      <c r="C13" s="103" t="s">
        <v>19</v>
      </c>
      <c r="D13" s="104">
        <v>0</v>
      </c>
      <c r="E13" s="104">
        <v>0</v>
      </c>
      <c r="F13" s="104">
        <v>0</v>
      </c>
      <c r="G13" s="104">
        <v>0</v>
      </c>
      <c r="H13" s="104">
        <v>0</v>
      </c>
      <c r="I13" s="104">
        <v>0</v>
      </c>
      <c r="J13" s="104">
        <v>0</v>
      </c>
      <c r="K13" s="104">
        <v>0</v>
      </c>
      <c r="L13" s="104">
        <v>0</v>
      </c>
      <c r="M13" s="105"/>
      <c r="N13" s="105"/>
      <c r="O13" s="105"/>
      <c r="DT13" s="33" t="s">
        <v>283</v>
      </c>
      <c r="EB13" s="33" t="s">
        <v>292</v>
      </c>
      <c r="ED13" s="33" t="s">
        <v>293</v>
      </c>
    </row>
    <row r="14" spans="1:134" ht="24" customHeight="1" x14ac:dyDescent="0.25">
      <c r="A14" s="156" t="s">
        <v>24</v>
      </c>
      <c r="B14" s="180"/>
      <c r="C14" s="9" t="s">
        <v>25</v>
      </c>
      <c r="D14" s="57">
        <v>374.24329921216719</v>
      </c>
      <c r="E14" s="54">
        <v>411.63393702642128</v>
      </c>
      <c r="F14" s="54">
        <v>446.30188592670277</v>
      </c>
      <c r="G14" s="54">
        <v>438.72674678498953</v>
      </c>
      <c r="H14" s="54">
        <v>430.00502009894581</v>
      </c>
      <c r="I14" s="54">
        <v>367.08920785638378</v>
      </c>
      <c r="J14" s="54">
        <v>311.47915359787794</v>
      </c>
      <c r="K14" s="54">
        <v>312.6017647188313</v>
      </c>
      <c r="L14" s="54">
        <v>284.2224916443418</v>
      </c>
      <c r="M14" s="54"/>
      <c r="N14" s="54"/>
      <c r="O14" s="54"/>
      <c r="DT14" s="32" t="s">
        <v>284</v>
      </c>
      <c r="EB14" s="32" t="s">
        <v>291</v>
      </c>
      <c r="ED14" s="32" t="s">
        <v>295</v>
      </c>
    </row>
    <row r="15" spans="1:134" s="33" customFormat="1" ht="15" customHeight="1" x14ac:dyDescent="0.25">
      <c r="A15" s="18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7"/>
      <c r="B16" s="102" t="s">
        <v>27</v>
      </c>
      <c r="C16" s="103" t="s">
        <v>25</v>
      </c>
      <c r="D16" s="104">
        <v>374.19371080122909</v>
      </c>
      <c r="E16" s="105">
        <v>411.45084736013064</v>
      </c>
      <c r="F16" s="105">
        <v>446.09465790987468</v>
      </c>
      <c r="G16" s="105">
        <v>438.3954644911297</v>
      </c>
      <c r="H16" s="105">
        <v>429.44138970377378</v>
      </c>
      <c r="I16" s="105">
        <v>366.35898043511713</v>
      </c>
      <c r="J16" s="105">
        <v>310.61627613894797</v>
      </c>
      <c r="K16" s="105">
        <v>311.27902411979727</v>
      </c>
      <c r="L16" s="105">
        <v>283.22753783775102</v>
      </c>
      <c r="M16" s="105"/>
      <c r="N16" s="105"/>
      <c r="O16" s="105"/>
      <c r="DT16" s="33" t="s">
        <v>286</v>
      </c>
      <c r="EB16" s="33" t="s">
        <v>291</v>
      </c>
      <c r="ED16" s="33" t="s">
        <v>295</v>
      </c>
    </row>
    <row r="17" spans="1:134" s="33" customFormat="1" ht="15" customHeight="1" x14ac:dyDescent="0.25">
      <c r="A17" s="187"/>
      <c r="B17" s="102" t="s">
        <v>28</v>
      </c>
      <c r="C17" s="103" t="s">
        <v>25</v>
      </c>
      <c r="D17" s="104">
        <v>4.9588410938081431E-2</v>
      </c>
      <c r="E17" s="105">
        <v>0.18308966629065321</v>
      </c>
      <c r="F17" s="105">
        <v>0.2072280168280794</v>
      </c>
      <c r="G17" s="105">
        <v>0.33128229385985575</v>
      </c>
      <c r="H17" s="105">
        <v>0.56363039517205005</v>
      </c>
      <c r="I17" s="105">
        <v>0.73022742126663354</v>
      </c>
      <c r="J17" s="105">
        <v>0.86287745892999967</v>
      </c>
      <c r="K17" s="105">
        <v>1.3227405990340193</v>
      </c>
      <c r="L17" s="105">
        <v>0.99495380659077282</v>
      </c>
      <c r="M17" s="105"/>
      <c r="N17" s="105"/>
      <c r="O17" s="105"/>
      <c r="DT17" s="33" t="s">
        <v>287</v>
      </c>
      <c r="EB17" s="33" t="s">
        <v>291</v>
      </c>
      <c r="ED17" s="33" t="s">
        <v>295</v>
      </c>
    </row>
    <row r="18" spans="1:134" s="33" customFormat="1" ht="15" customHeight="1" x14ac:dyDescent="0.25">
      <c r="A18" s="188"/>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A3:B3 D6:O18" xr:uid="{2950D70C-9447-4B60-AA37-709CC5F07A09}">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0CBFE-FAE1-4CCD-AF25-4D83C30AAAD5}">
  <sheetPr codeName="Sheet19">
    <pageSetUpPr fitToPage="1"/>
  </sheetPr>
  <dimension ref="A1:ED7"/>
  <sheetViews>
    <sheetView showGridLines="0" zoomScale="90" zoomScaleNormal="90" workbookViewId="0">
      <pane xSplit="3" topLeftCell="D1" activePane="topRight" state="frozen"/>
      <selection activeCell="D11" sqref="D11:L13"/>
      <selection pane="topRight" activeCell="D11" sqref="D11:L13"/>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10</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89" t="s">
        <v>13</v>
      </c>
      <c r="B6" s="190"/>
      <c r="C6" s="31" t="s">
        <v>14</v>
      </c>
      <c r="D6" s="58">
        <v>8165.6989714098954</v>
      </c>
      <c r="E6" s="59">
        <v>7982.2915911044911</v>
      </c>
      <c r="F6" s="59">
        <v>8186.4015358736197</v>
      </c>
      <c r="G6" s="59">
        <v>8330.6697365064319</v>
      </c>
      <c r="H6" s="59">
        <v>7911.8538747693983</v>
      </c>
      <c r="I6" s="59">
        <v>7887.8882443581297</v>
      </c>
      <c r="J6" s="59">
        <v>7890.3336060825868</v>
      </c>
      <c r="K6" s="59">
        <v>7934.4960651153178</v>
      </c>
      <c r="L6" s="59">
        <v>7815.5858674405663</v>
      </c>
      <c r="M6" s="59"/>
      <c r="N6" s="59"/>
      <c r="O6" s="59"/>
      <c r="DS6" s="4" t="str">
        <f>VLOOKUP(Cover!$D$15, Country_list!$B$3:$C$44, 2, 0)</f>
        <v>AT</v>
      </c>
      <c r="DT6" s="32" t="s">
        <v>289</v>
      </c>
      <c r="DV6" s="138" t="s">
        <v>306</v>
      </c>
      <c r="EB6" s="32" t="s">
        <v>291</v>
      </c>
      <c r="ED6" s="32" t="s">
        <v>294</v>
      </c>
    </row>
    <row r="7" spans="1:134" ht="21" customHeight="1" x14ac:dyDescent="0.25"/>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mergeCells count="6">
    <mergeCell ref="A1:B1"/>
    <mergeCell ref="A2:B2"/>
    <mergeCell ref="A3:B3"/>
    <mergeCell ref="A4:B4"/>
    <mergeCell ref="A5:B5"/>
    <mergeCell ref="A6:B6"/>
  </mergeCells>
  <dataValidations count="1">
    <dataValidation type="decimal" operator="greaterThanOrEqual" allowBlank="1" showInputMessage="1" showErrorMessage="1" sqref="D6:O6" xr:uid="{9BFE9936-F25C-47EA-BFDA-536C123D974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69E03-67E4-42EF-8D17-A320E8728B23}">
  <sheetPr codeName="Sheet20">
    <pageSetUpPr fitToPage="1"/>
  </sheetPr>
  <dimension ref="A1:ED19"/>
  <sheetViews>
    <sheetView showGridLines="0" zoomScale="90" zoomScaleNormal="90" workbookViewId="0">
      <pane xSplit="3" topLeftCell="D1" activePane="topRight" state="frozen"/>
      <selection activeCell="D11" sqref="D11:L13"/>
      <selection pane="topRight" activeCell="D11" sqref="D11:L13"/>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8" t="s">
        <v>0</v>
      </c>
      <c r="B1" s="181"/>
      <c r="C1" s="20"/>
      <c r="D1" s="1"/>
      <c r="E1" s="2"/>
      <c r="F1" s="2"/>
      <c r="G1" s="2"/>
      <c r="H1" s="2"/>
      <c r="I1" s="2"/>
      <c r="J1" s="2"/>
      <c r="K1" s="2"/>
      <c r="L1" s="2"/>
      <c r="M1" s="2"/>
      <c r="N1" s="2"/>
      <c r="O1" s="2"/>
    </row>
    <row r="2" spans="1:134" ht="18" customHeight="1" x14ac:dyDescent="0.25">
      <c r="A2" s="160"/>
      <c r="B2" s="174"/>
      <c r="C2" s="1"/>
      <c r="D2" s="1"/>
      <c r="E2" s="5"/>
      <c r="F2" s="3"/>
      <c r="G2" s="3"/>
      <c r="H2" s="3"/>
      <c r="I2" s="3"/>
      <c r="J2" s="3"/>
      <c r="K2" s="3"/>
      <c r="L2" s="3"/>
      <c r="M2" s="3"/>
      <c r="N2" s="3"/>
      <c r="O2" s="3"/>
    </row>
    <row r="3" spans="1:134" ht="18" customHeight="1" x14ac:dyDescent="0.25">
      <c r="A3" s="162" t="s">
        <v>11</v>
      </c>
      <c r="B3" s="182"/>
      <c r="C3" s="1"/>
      <c r="D3" s="1"/>
      <c r="E3" s="5"/>
      <c r="F3" s="3"/>
      <c r="G3" s="3"/>
      <c r="H3" s="3"/>
      <c r="I3" s="3"/>
      <c r="J3" s="3"/>
      <c r="K3" s="3"/>
      <c r="L3" s="3"/>
      <c r="M3" s="3"/>
      <c r="N3" s="3"/>
      <c r="O3" s="3"/>
      <c r="DS3" s="32" t="s">
        <v>229</v>
      </c>
    </row>
    <row r="4" spans="1:134" ht="18" customHeight="1" x14ac:dyDescent="0.25">
      <c r="A4" s="173"/>
      <c r="B4" s="174"/>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5" t="s">
        <v>3</v>
      </c>
      <c r="B5" s="17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3" t="s">
        <v>13</v>
      </c>
      <c r="B6" s="191"/>
      <c r="C6" s="8" t="s">
        <v>14</v>
      </c>
      <c r="D6" s="55">
        <v>1986.5933631965845</v>
      </c>
      <c r="E6" s="55">
        <v>1902.3703249787213</v>
      </c>
      <c r="F6" s="55">
        <v>1682.3439253475881</v>
      </c>
      <c r="G6" s="55">
        <v>1438.9304196524608</v>
      </c>
      <c r="H6" s="55">
        <v>1279.5379400046168</v>
      </c>
      <c r="I6" s="55">
        <v>1853.6663843274855</v>
      </c>
      <c r="J6" s="55">
        <v>2405.3770129881623</v>
      </c>
      <c r="K6" s="55">
        <v>2416.9998487497342</v>
      </c>
      <c r="L6" s="55">
        <v>2380.7775193874131</v>
      </c>
      <c r="M6" s="56"/>
      <c r="N6" s="56"/>
      <c r="O6" s="56"/>
      <c r="DS6" s="4" t="str">
        <f>VLOOKUP(Cover!$D$15, Country_list!$B$3:$C$44, 2, 0)</f>
        <v>AT</v>
      </c>
      <c r="DT6" s="32" t="s">
        <v>289</v>
      </c>
      <c r="DV6" s="32" t="s">
        <v>307</v>
      </c>
      <c r="EB6" s="32" t="s">
        <v>291</v>
      </c>
      <c r="ED6" s="32" t="s">
        <v>294</v>
      </c>
    </row>
    <row r="7" spans="1:134" ht="24" customHeight="1" x14ac:dyDescent="0.25">
      <c r="A7" s="156" t="s">
        <v>15</v>
      </c>
      <c r="B7" s="192"/>
      <c r="C7" s="9" t="s">
        <v>25</v>
      </c>
      <c r="D7" s="57"/>
      <c r="E7" s="54"/>
      <c r="F7" s="54"/>
      <c r="G7" s="54"/>
      <c r="H7" s="54"/>
      <c r="I7" s="54"/>
      <c r="J7" s="54"/>
      <c r="K7" s="54"/>
      <c r="L7" s="54"/>
      <c r="M7" s="54"/>
      <c r="N7" s="54"/>
      <c r="O7" s="54"/>
      <c r="DT7" s="32" t="s">
        <v>290</v>
      </c>
      <c r="EB7" s="32" t="s">
        <v>291</v>
      </c>
      <c r="ED7" s="32" t="s">
        <v>295</v>
      </c>
    </row>
    <row r="8" spans="1:134" ht="24" customHeight="1" x14ac:dyDescent="0.25">
      <c r="A8" s="156" t="s">
        <v>29</v>
      </c>
      <c r="B8" s="192"/>
      <c r="C8" s="9" t="s">
        <v>17</v>
      </c>
      <c r="D8" s="57"/>
      <c r="E8" s="54"/>
      <c r="F8" s="54"/>
      <c r="G8" s="54"/>
      <c r="H8" s="54"/>
      <c r="I8" s="54"/>
      <c r="J8" s="54"/>
      <c r="K8" s="54"/>
      <c r="L8" s="54"/>
      <c r="M8" s="54"/>
      <c r="N8" s="54"/>
      <c r="O8" s="54"/>
      <c r="DT8" s="32" t="s">
        <v>231</v>
      </c>
      <c r="EB8" s="32" t="s">
        <v>291</v>
      </c>
      <c r="ED8" s="32" t="s">
        <v>296</v>
      </c>
    </row>
    <row r="9" spans="1:134" ht="24" customHeight="1" x14ac:dyDescent="0.25">
      <c r="A9" s="156" t="s">
        <v>156</v>
      </c>
      <c r="B9" s="180"/>
      <c r="C9" s="9" t="s">
        <v>19</v>
      </c>
      <c r="D9" s="57"/>
      <c r="E9" s="54"/>
      <c r="F9" s="54"/>
      <c r="G9" s="54"/>
      <c r="H9" s="54"/>
      <c r="I9" s="54"/>
      <c r="J9" s="54"/>
      <c r="K9" s="54"/>
      <c r="L9" s="54"/>
      <c r="M9" s="54"/>
      <c r="N9" s="54"/>
      <c r="O9" s="54"/>
      <c r="DT9" s="32" t="s">
        <v>279</v>
      </c>
      <c r="EB9" s="32" t="s">
        <v>292</v>
      </c>
      <c r="ED9" s="32" t="s">
        <v>293</v>
      </c>
    </row>
    <row r="10" spans="1:134" ht="24" customHeight="1" x14ac:dyDescent="0.25">
      <c r="A10" s="156" t="s">
        <v>20</v>
      </c>
      <c r="B10" s="180"/>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25">
      <c r="A11" s="155"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5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5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56" t="s">
        <v>24</v>
      </c>
      <c r="B14" s="180"/>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25">
      <c r="A15" s="18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7"/>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87"/>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8"/>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mergeCells count="13">
    <mergeCell ref="A15:A18"/>
    <mergeCell ref="A7:B7"/>
    <mergeCell ref="A8:B8"/>
    <mergeCell ref="A9:B9"/>
    <mergeCell ref="A10:B10"/>
    <mergeCell ref="A11:A13"/>
    <mergeCell ref="A14:B14"/>
    <mergeCell ref="A1:B1"/>
    <mergeCell ref="A2:B2"/>
    <mergeCell ref="A3:B3"/>
    <mergeCell ref="A4:B4"/>
    <mergeCell ref="A5:B5"/>
    <mergeCell ref="A6:B6"/>
  </mergeCells>
  <dataValidations count="1">
    <dataValidation type="decimal" operator="greaterThanOrEqual" allowBlank="1" showInputMessage="1" showErrorMessage="1" sqref="A3:B3 D18:O18" xr:uid="{EFD46F13-4EFD-4C23-9070-A32DC83CD4D1}">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N46"/>
  <sheetViews>
    <sheetView zoomScale="90" zoomScaleNormal="90" workbookViewId="0">
      <selection activeCell="L45" sqref="L45"/>
    </sheetView>
  </sheetViews>
  <sheetFormatPr baseColWidth="10" defaultColWidth="9.140625" defaultRowHeight="15" x14ac:dyDescent="0.25"/>
  <cols>
    <col min="1" max="1" width="18.7109375" customWidth="1"/>
    <col min="2" max="2" width="123.7109375" customWidth="1"/>
    <col min="3" max="14" width="9.140625" style="91"/>
  </cols>
  <sheetData>
    <row r="1" spans="1:14" ht="15.75" x14ac:dyDescent="0.25">
      <c r="A1" s="97" t="s">
        <v>170</v>
      </c>
    </row>
    <row r="4" spans="1:14" ht="15.75" x14ac:dyDescent="0.25">
      <c r="B4" s="98" t="s">
        <v>149</v>
      </c>
      <c r="C4" s="99" t="b">
        <f>COUNTIF(C7:J46, FALSE) = 0</f>
        <v>1</v>
      </c>
    </row>
    <row r="6" spans="1:14" x14ac:dyDescent="0.25">
      <c r="A6" s="95" t="s">
        <v>150</v>
      </c>
      <c r="B6" s="95" t="s">
        <v>151</v>
      </c>
      <c r="C6" s="96">
        <v>2010</v>
      </c>
      <c r="D6" s="96">
        <v>2011</v>
      </c>
      <c r="E6" s="96">
        <v>2012</v>
      </c>
      <c r="F6" s="96">
        <v>2013</v>
      </c>
      <c r="G6" s="96">
        <v>2014</v>
      </c>
      <c r="H6" s="96">
        <v>2015</v>
      </c>
      <c r="I6" s="96">
        <v>2016</v>
      </c>
      <c r="J6" s="96">
        <v>2017</v>
      </c>
      <c r="K6" s="96">
        <v>2018</v>
      </c>
      <c r="L6" s="96">
        <v>2019</v>
      </c>
      <c r="M6" s="96">
        <v>2020</v>
      </c>
      <c r="N6" s="96">
        <v>2021</v>
      </c>
    </row>
    <row r="7" spans="1:14" x14ac:dyDescent="0.25">
      <c r="A7" t="s">
        <v>152</v>
      </c>
      <c r="B7" t="s">
        <v>160</v>
      </c>
      <c r="C7" s="91" t="b">
        <f>'1a_SpaceHeating'!D10&gt;=SUM('1a_SpaceHeating'!D11+'1a_SpaceHeating'!D12+'1a_SpaceHeating'!D13)</f>
        <v>1</v>
      </c>
      <c r="D7" s="91" t="b">
        <f>'1a_SpaceHeating'!E10 &gt;= SUM('1a_SpaceHeating'!E11+'1a_SpaceHeating'!E12+'1a_SpaceHeating'!E13)</f>
        <v>1</v>
      </c>
      <c r="E7" s="91" t="b">
        <f>'1a_SpaceHeating'!F10 &gt;= SUM('1a_SpaceHeating'!F11+'1a_SpaceHeating'!F12+'1a_SpaceHeating'!F13)</f>
        <v>1</v>
      </c>
      <c r="F7" s="91" t="b">
        <f>'1a_SpaceHeating'!G10 &gt;= SUM('1a_SpaceHeating'!G11+'1a_SpaceHeating'!G12+'1a_SpaceHeating'!G13)</f>
        <v>1</v>
      </c>
      <c r="G7" s="91" t="b">
        <f>'1a_SpaceHeating'!H10 &gt;= SUM('1a_SpaceHeating'!H11+'1a_SpaceHeating'!H12+'1a_SpaceHeating'!H13)</f>
        <v>1</v>
      </c>
      <c r="H7" s="91" t="b">
        <f>'1a_SpaceHeating'!I10 &gt;= SUM('1a_SpaceHeating'!I11+'1a_SpaceHeating'!I12+'1a_SpaceHeating'!I13)</f>
        <v>1</v>
      </c>
      <c r="I7" s="91" t="b">
        <f>'1a_SpaceHeating'!J10 &gt;= SUM('1a_SpaceHeating'!J11+'1a_SpaceHeating'!J12+'1a_SpaceHeating'!J13)</f>
        <v>1</v>
      </c>
      <c r="J7" s="91" t="b">
        <f>'1a_SpaceHeating'!K10 &gt;= SUM('1a_SpaceHeating'!K11+'1a_SpaceHeating'!K12+'1a_SpaceHeating'!K13)</f>
        <v>1</v>
      </c>
      <c r="K7" s="91" t="b">
        <f>'1a_SpaceHeating'!L10 &gt;= SUM('1a_SpaceHeating'!L11+'1a_SpaceHeating'!L12+'1a_SpaceHeating'!L13)</f>
        <v>1</v>
      </c>
      <c r="L7" s="91" t="b">
        <f>'1a_SpaceHeating'!M10 &gt;= SUM('1a_SpaceHeating'!M11+'1a_SpaceHeating'!M12+'1a_SpaceHeating'!M13)</f>
        <v>1</v>
      </c>
      <c r="M7" s="91" t="b">
        <f>'1a_SpaceHeating'!N10 &gt;= SUM('1a_SpaceHeating'!N11+'1a_SpaceHeating'!N12+'1a_SpaceHeating'!N13)</f>
        <v>1</v>
      </c>
      <c r="N7" s="91" t="b">
        <f>'1a_SpaceHeating'!O10 &gt;= SUM('1a_SpaceHeating'!O11+'1a_SpaceHeating'!O12+'1a_SpaceHeating'!O13)</f>
        <v>1</v>
      </c>
    </row>
    <row r="8" spans="1:14" x14ac:dyDescent="0.25">
      <c r="A8" t="s">
        <v>152</v>
      </c>
      <c r="B8" t="s">
        <v>161</v>
      </c>
      <c r="C8" s="91" t="b">
        <f>'1a_SpaceHeating'!D14&gt;=SUM('1a_SpaceHeating'!D15+'1a_SpaceHeating'!D16+'1a_SpaceHeating'!D17+'1a_SpaceHeating'!D18)</f>
        <v>1</v>
      </c>
      <c r="D8" s="91" t="b">
        <f>'1a_SpaceHeating'!E14&gt;=SUM('1a_SpaceHeating'!E15+'1a_SpaceHeating'!E16+'1a_SpaceHeating'!E17+'1a_SpaceHeating'!E18)</f>
        <v>1</v>
      </c>
      <c r="E8" s="91" t="b">
        <f>'1a_SpaceHeating'!F14&gt;=SUM('1a_SpaceHeating'!F15+'1a_SpaceHeating'!F16+'1a_SpaceHeating'!F17+'1a_SpaceHeating'!F18)</f>
        <v>1</v>
      </c>
      <c r="F8" s="91" t="b">
        <f>'1a_SpaceHeating'!G14&gt;=SUM('1a_SpaceHeating'!G15+'1a_SpaceHeating'!G16+'1a_SpaceHeating'!G17+'1a_SpaceHeating'!G18)</f>
        <v>1</v>
      </c>
      <c r="G8" s="91" t="b">
        <f>'1a_SpaceHeating'!H14&gt;=SUM('1a_SpaceHeating'!H15+'1a_SpaceHeating'!H16+'1a_SpaceHeating'!H17+'1a_SpaceHeating'!H18)</f>
        <v>1</v>
      </c>
      <c r="H8" s="91" t="b">
        <f>'1a_SpaceHeating'!I14&gt;=SUM('1a_SpaceHeating'!I15+'1a_SpaceHeating'!I16+'1a_SpaceHeating'!I17+'1a_SpaceHeating'!I18)</f>
        <v>1</v>
      </c>
      <c r="I8" s="91" t="b">
        <f>'1a_SpaceHeating'!J14&gt;=SUM('1a_SpaceHeating'!J15+'1a_SpaceHeating'!J16+'1a_SpaceHeating'!J17+'1a_SpaceHeating'!J18)</f>
        <v>1</v>
      </c>
      <c r="J8" s="91" t="b">
        <f>'1a_SpaceHeating'!K14&gt;=SUM('1a_SpaceHeating'!K15+'1a_SpaceHeating'!K16+'1a_SpaceHeating'!K17+'1a_SpaceHeating'!K18)</f>
        <v>1</v>
      </c>
      <c r="K8" s="91" t="b">
        <f>'1a_SpaceHeating'!L14&gt;=SUM('1a_SpaceHeating'!L15+'1a_SpaceHeating'!L16+'1a_SpaceHeating'!L17+'1a_SpaceHeating'!L18)</f>
        <v>1</v>
      </c>
      <c r="L8" s="91" t="b">
        <f>'1a_SpaceHeating'!M14&gt;=SUM('1a_SpaceHeating'!M15+'1a_SpaceHeating'!M16+'1a_SpaceHeating'!M17+'1a_SpaceHeating'!M18)</f>
        <v>1</v>
      </c>
      <c r="M8" s="91" t="b">
        <f>'1a_SpaceHeating'!N14&gt;=SUM('1a_SpaceHeating'!N15+'1a_SpaceHeating'!N16+'1a_SpaceHeating'!N17+'1a_SpaceHeating'!N18)</f>
        <v>1</v>
      </c>
      <c r="N8" s="91" t="b">
        <f>'1a_SpaceHeating'!O14&gt;=SUM('1a_SpaceHeating'!O15+'1a_SpaceHeating'!O16+'1a_SpaceHeating'!O17+'1a_SpaceHeating'!O18)</f>
        <v>1</v>
      </c>
    </row>
    <row r="9" spans="1:14" x14ac:dyDescent="0.25">
      <c r="A9" t="s">
        <v>169</v>
      </c>
      <c r="B9" t="s">
        <v>160</v>
      </c>
      <c r="C9" s="91" t="b">
        <f>'1b_SpaceCooling'!D10&gt;=SUM('1b_SpaceCooling'!D11+'1b_SpaceCooling'!D12+'1b_SpaceCooling'!D13)</f>
        <v>1</v>
      </c>
      <c r="D9" s="91" t="b">
        <f>'1b_SpaceCooling'!E10&gt;=SUM('1b_SpaceCooling'!E11+'1b_SpaceCooling'!E12+'1b_SpaceCooling'!E13)</f>
        <v>1</v>
      </c>
      <c r="E9" s="91" t="b">
        <f>'1b_SpaceCooling'!F10&gt;=SUM('1b_SpaceCooling'!F11+'1b_SpaceCooling'!F12+'1b_SpaceCooling'!F13)</f>
        <v>1</v>
      </c>
      <c r="F9" s="91" t="b">
        <f>'1b_SpaceCooling'!G10&gt;=SUM('1b_SpaceCooling'!G11+'1b_SpaceCooling'!G12+'1b_SpaceCooling'!G13)</f>
        <v>1</v>
      </c>
      <c r="G9" s="91" t="b">
        <f>'1b_SpaceCooling'!H10&gt;=SUM('1b_SpaceCooling'!H11+'1b_SpaceCooling'!H12+'1b_SpaceCooling'!H13)</f>
        <v>1</v>
      </c>
      <c r="H9" s="91" t="b">
        <f>'1b_SpaceCooling'!I10&gt;=SUM('1b_SpaceCooling'!I11+'1b_SpaceCooling'!I12+'1b_SpaceCooling'!I13)</f>
        <v>1</v>
      </c>
      <c r="I9" s="91" t="b">
        <f>'1b_SpaceCooling'!J10&gt;=SUM('1b_SpaceCooling'!J11+'1b_SpaceCooling'!J12+'1b_SpaceCooling'!J13)</f>
        <v>1</v>
      </c>
      <c r="J9" s="91" t="b">
        <f>'1b_SpaceCooling'!K10&gt;=SUM('1b_SpaceCooling'!K11+'1b_SpaceCooling'!K12+'1b_SpaceCooling'!K13)</f>
        <v>1</v>
      </c>
      <c r="K9" s="91" t="b">
        <f>'1b_SpaceCooling'!L10&gt;=SUM('1b_SpaceCooling'!L11+'1b_SpaceCooling'!L12+'1b_SpaceCooling'!L13)</f>
        <v>1</v>
      </c>
      <c r="L9" s="91" t="b">
        <f>'1b_SpaceCooling'!M10&gt;=SUM('1b_SpaceCooling'!M11+'1b_SpaceCooling'!M12+'1b_SpaceCooling'!M13)</f>
        <v>1</v>
      </c>
      <c r="M9" s="91" t="b">
        <f>'1b_SpaceCooling'!N10&gt;=SUM('1b_SpaceCooling'!N11+'1b_SpaceCooling'!N12+'1b_SpaceCooling'!N13)</f>
        <v>1</v>
      </c>
      <c r="N9" s="91" t="b">
        <f>'1b_SpaceCooling'!O10&gt;=SUM('1b_SpaceCooling'!O11+'1b_SpaceCooling'!O12+'1b_SpaceCooling'!O13)</f>
        <v>1</v>
      </c>
    </row>
    <row r="10" spans="1:14" x14ac:dyDescent="0.25">
      <c r="A10" t="s">
        <v>169</v>
      </c>
      <c r="B10" t="s">
        <v>161</v>
      </c>
      <c r="C10" s="91" t="b">
        <f>'1b_SpaceCooling'!D14&gt;=SUM('1b_SpaceCooling'!D15+'1b_SpaceCooling'!D16+'1b_SpaceCooling'!D17+'1b_SpaceCooling'!D18)</f>
        <v>1</v>
      </c>
      <c r="D10" s="91" t="b">
        <f>'1b_SpaceCooling'!E14&gt;=SUM('1b_SpaceCooling'!E15+'1b_SpaceCooling'!E16+'1b_SpaceCooling'!E17+'1b_SpaceCooling'!E18)</f>
        <v>1</v>
      </c>
      <c r="E10" s="91" t="b">
        <f>'1b_SpaceCooling'!F14&gt;=SUM('1b_SpaceCooling'!F15+'1b_SpaceCooling'!F16+'1b_SpaceCooling'!F17+'1b_SpaceCooling'!F18)</f>
        <v>1</v>
      </c>
      <c r="F10" s="91" t="b">
        <f>'1b_SpaceCooling'!G14&gt;=SUM('1b_SpaceCooling'!G15+'1b_SpaceCooling'!G16+'1b_SpaceCooling'!G17+'1b_SpaceCooling'!G18)</f>
        <v>1</v>
      </c>
      <c r="G10" s="91" t="b">
        <f>'1b_SpaceCooling'!H14&gt;=SUM('1b_SpaceCooling'!H15+'1b_SpaceCooling'!H16+'1b_SpaceCooling'!H17+'1b_SpaceCooling'!H18)</f>
        <v>1</v>
      </c>
      <c r="H10" s="91" t="b">
        <f>'1b_SpaceCooling'!I14&gt;=SUM('1b_SpaceCooling'!I15+'1b_SpaceCooling'!I16+'1b_SpaceCooling'!I17+'1b_SpaceCooling'!I18)</f>
        <v>1</v>
      </c>
      <c r="I10" s="91" t="b">
        <f>'1b_SpaceCooling'!J14&gt;=SUM('1b_SpaceCooling'!J15+'1b_SpaceCooling'!J16+'1b_SpaceCooling'!J17+'1b_SpaceCooling'!J18)</f>
        <v>1</v>
      </c>
      <c r="J10" s="91" t="b">
        <f>'1b_SpaceCooling'!K14&gt;=SUM('1b_SpaceCooling'!K15+'1b_SpaceCooling'!K16+'1b_SpaceCooling'!K17+'1b_SpaceCooling'!K18)</f>
        <v>1</v>
      </c>
      <c r="K10" s="91" t="b">
        <f>'1b_SpaceCooling'!L14&gt;=SUM('1b_SpaceCooling'!L15+'1b_SpaceCooling'!L16+'1b_SpaceCooling'!L17+'1b_SpaceCooling'!L18)</f>
        <v>1</v>
      </c>
      <c r="L10" s="91" t="b">
        <f>'1b_SpaceCooling'!M14&gt;=SUM('1b_SpaceCooling'!M15+'1b_SpaceCooling'!M16+'1b_SpaceCooling'!M17+'1b_SpaceCooling'!M18)</f>
        <v>1</v>
      </c>
      <c r="M10" s="91" t="b">
        <f>'1b_SpaceCooling'!N14&gt;=SUM('1b_SpaceCooling'!N15+'1b_SpaceCooling'!N16+'1b_SpaceCooling'!N17+'1b_SpaceCooling'!N18)</f>
        <v>1</v>
      </c>
      <c r="N10" s="91" t="b">
        <f>'1b_SpaceCooling'!O14&gt;=SUM('1b_SpaceCooling'!O15+'1b_SpaceCooling'!O16+'1b_SpaceCooling'!O17+'1b_SpaceCooling'!O18)</f>
        <v>1</v>
      </c>
    </row>
    <row r="11" spans="1:14" x14ac:dyDescent="0.25">
      <c r="A11" t="s">
        <v>153</v>
      </c>
      <c r="B11" t="s">
        <v>159</v>
      </c>
      <c r="C11" s="91" t="b">
        <f>'1c_WaterHeating'!D10&gt;=SUM('1c_WaterHeating'!D11+'1c_WaterHeating'!D12+'1c_WaterHeating'!D13)</f>
        <v>1</v>
      </c>
      <c r="D11" s="91" t="b">
        <f>'1c_WaterHeating'!E10&gt;=SUM('1c_WaterHeating'!E11+'1c_WaterHeating'!E12+'1c_WaterHeating'!E13)</f>
        <v>1</v>
      </c>
      <c r="E11" s="91" t="b">
        <f>'1c_WaterHeating'!F10&gt;=SUM('1c_WaterHeating'!F11+'1c_WaterHeating'!F12+'1c_WaterHeating'!F13)</f>
        <v>1</v>
      </c>
      <c r="F11" s="91" t="b">
        <f>'1c_WaterHeating'!G10&gt;=SUM('1c_WaterHeating'!G11+'1c_WaterHeating'!G12+'1c_WaterHeating'!G13)</f>
        <v>1</v>
      </c>
      <c r="G11" s="91" t="b">
        <f>'1c_WaterHeating'!H10&gt;=SUM('1c_WaterHeating'!H11+'1c_WaterHeating'!H12+'1c_WaterHeating'!H13)</f>
        <v>1</v>
      </c>
      <c r="H11" s="91" t="b">
        <f>'1c_WaterHeating'!I10&gt;=SUM('1c_WaterHeating'!I11+'1c_WaterHeating'!I12+'1c_WaterHeating'!I13)</f>
        <v>1</v>
      </c>
      <c r="I11" s="91" t="b">
        <f>'1c_WaterHeating'!J10&gt;=SUM('1c_WaterHeating'!J11+'1c_WaterHeating'!J12+'1c_WaterHeating'!J13)</f>
        <v>1</v>
      </c>
      <c r="J11" s="91" t="b">
        <f>'1c_WaterHeating'!K10&gt;=SUM('1c_WaterHeating'!K11+'1c_WaterHeating'!K12+'1c_WaterHeating'!K13)</f>
        <v>1</v>
      </c>
      <c r="K11" s="91" t="b">
        <f>'1c_WaterHeating'!L10&gt;=SUM('1c_WaterHeating'!L11+'1c_WaterHeating'!L12+'1c_WaterHeating'!L13)</f>
        <v>1</v>
      </c>
      <c r="L11" s="91" t="b">
        <f>'1c_WaterHeating'!M10&gt;=SUM('1c_WaterHeating'!M11+'1c_WaterHeating'!M12+'1c_WaterHeating'!M13)</f>
        <v>1</v>
      </c>
      <c r="M11" s="91" t="b">
        <f>'1c_WaterHeating'!N10&gt;=SUM('1c_WaterHeating'!N11+'1c_WaterHeating'!N12+'1c_WaterHeating'!N13)</f>
        <v>1</v>
      </c>
      <c r="N11" s="91" t="b">
        <f>'1c_WaterHeating'!O10&gt;=SUM('1c_WaterHeating'!O11+'1c_WaterHeating'!O12+'1c_WaterHeating'!O13)</f>
        <v>1</v>
      </c>
    </row>
    <row r="12" spans="1:14" x14ac:dyDescent="0.25">
      <c r="A12" t="s">
        <v>153</v>
      </c>
      <c r="B12" t="s">
        <v>161</v>
      </c>
      <c r="C12" s="91" t="b">
        <f>'1c_WaterHeating'!D14&gt;=SUM('1c_WaterHeating'!D15+'1c_WaterHeating'!D16+'1c_WaterHeating'!D17+'1c_WaterHeating'!D18)</f>
        <v>1</v>
      </c>
      <c r="D12" s="91" t="b">
        <f>'1c_WaterHeating'!E14&gt;=SUM('1c_WaterHeating'!E15+'1c_WaterHeating'!E16+'1c_WaterHeating'!E17+'1c_WaterHeating'!E18)</f>
        <v>1</v>
      </c>
      <c r="E12" s="91" t="b">
        <f>'1c_WaterHeating'!F14&gt;=SUM('1c_WaterHeating'!F15+'1c_WaterHeating'!F16+'1c_WaterHeating'!F17+'1c_WaterHeating'!F18)</f>
        <v>1</v>
      </c>
      <c r="F12" s="91" t="b">
        <f>'1c_WaterHeating'!G14&gt;=SUM('1c_WaterHeating'!G15+'1c_WaterHeating'!G16+'1c_WaterHeating'!G17+'1c_WaterHeating'!G18)</f>
        <v>1</v>
      </c>
      <c r="G12" s="91" t="b">
        <f>'1c_WaterHeating'!H14&gt;=SUM('1c_WaterHeating'!H15+'1c_WaterHeating'!H16+'1c_WaterHeating'!H17+'1c_WaterHeating'!H18)</f>
        <v>1</v>
      </c>
      <c r="H12" s="91" t="b">
        <f>'1c_WaterHeating'!I14&gt;=SUM('1c_WaterHeating'!I15+'1c_WaterHeating'!I16+'1c_WaterHeating'!I17+'1c_WaterHeating'!I18)</f>
        <v>1</v>
      </c>
      <c r="I12" s="91" t="b">
        <f>'1c_WaterHeating'!J14&gt;=SUM('1c_WaterHeating'!J15+'1c_WaterHeating'!J16+'1c_WaterHeating'!J17+'1c_WaterHeating'!J18)</f>
        <v>1</v>
      </c>
      <c r="J12" s="91" t="b">
        <f>'1c_WaterHeating'!K14&gt;=SUM('1c_WaterHeating'!K15+'1c_WaterHeating'!K16+'1c_WaterHeating'!K17+'1c_WaterHeating'!K18)</f>
        <v>1</v>
      </c>
      <c r="K12" s="91" t="b">
        <f>'1c_WaterHeating'!L14&gt;=SUM('1c_WaterHeating'!L15+'1c_WaterHeating'!L16+'1c_WaterHeating'!L17+'1c_WaterHeating'!L18)</f>
        <v>1</v>
      </c>
      <c r="L12" s="91" t="b">
        <f>'1c_WaterHeating'!M14&gt;=SUM('1c_WaterHeating'!M15+'1c_WaterHeating'!M16+'1c_WaterHeating'!M17+'1c_WaterHeating'!M18)</f>
        <v>1</v>
      </c>
      <c r="M12" s="91" t="b">
        <f>'1c_WaterHeating'!N14&gt;=SUM('1c_WaterHeating'!N15+'1c_WaterHeating'!N16+'1c_WaterHeating'!N17+'1c_WaterHeating'!N18)</f>
        <v>1</v>
      </c>
      <c r="N12" s="91" t="b">
        <f>'1c_WaterHeating'!O14&gt;=SUM('1c_WaterHeating'!O15+'1c_WaterHeating'!O16+'1c_WaterHeating'!O17+'1c_WaterHeating'!O18)</f>
        <v>1</v>
      </c>
    </row>
    <row r="13" spans="1:14" x14ac:dyDescent="0.25">
      <c r="A13" t="s">
        <v>154</v>
      </c>
      <c r="B13" t="s">
        <v>160</v>
      </c>
      <c r="C13" s="91" t="b">
        <f>'1d_Cooking'!D10&gt;=SUM('1d_Cooking'!D11+'1d_Cooking'!D12+'1d_Cooking'!D13)</f>
        <v>1</v>
      </c>
      <c r="D13" s="91" t="b">
        <f>'1d_Cooking'!E10&gt;=SUM('1d_Cooking'!E11+'1d_Cooking'!E12+'1d_Cooking'!E13)</f>
        <v>1</v>
      </c>
      <c r="E13" s="91" t="b">
        <f>'1d_Cooking'!F10&gt;=SUM('1d_Cooking'!F11+'1d_Cooking'!F12+'1d_Cooking'!F13)</f>
        <v>1</v>
      </c>
      <c r="F13" s="91" t="b">
        <f>'1d_Cooking'!G10&gt;=SUM('1d_Cooking'!G11+'1d_Cooking'!G12+'1d_Cooking'!G13)</f>
        <v>1</v>
      </c>
      <c r="G13" s="91" t="b">
        <f>'1d_Cooking'!H10&gt;=SUM('1d_Cooking'!H11+'1d_Cooking'!H12+'1d_Cooking'!H13)</f>
        <v>1</v>
      </c>
      <c r="H13" s="91" t="b">
        <f>'1d_Cooking'!I10&gt;=SUM('1d_Cooking'!I11+'1d_Cooking'!I12+'1d_Cooking'!I13)</f>
        <v>1</v>
      </c>
      <c r="I13" s="91" t="b">
        <f>'1d_Cooking'!J10&gt;=SUM('1d_Cooking'!J11+'1d_Cooking'!J12+'1d_Cooking'!J13)</f>
        <v>1</v>
      </c>
      <c r="J13" s="91" t="b">
        <f>'1d_Cooking'!K10&gt;=SUM('1d_Cooking'!K11+'1d_Cooking'!K12+'1d_Cooking'!K13)</f>
        <v>1</v>
      </c>
      <c r="K13" s="91" t="b">
        <f>'1d_Cooking'!L10&gt;=SUM('1d_Cooking'!L11+'1d_Cooking'!L12+'1d_Cooking'!L13)</f>
        <v>1</v>
      </c>
      <c r="L13" s="91" t="b">
        <f>'1d_Cooking'!M10&gt;=SUM('1d_Cooking'!M11+'1d_Cooking'!M12+'1d_Cooking'!M13)</f>
        <v>1</v>
      </c>
      <c r="M13" s="91" t="b">
        <f>'1d_Cooking'!N10&gt;=SUM('1d_Cooking'!N11+'1d_Cooking'!N12+'1d_Cooking'!N13)</f>
        <v>1</v>
      </c>
      <c r="N13" s="91" t="b">
        <f>'1d_Cooking'!O10&gt;=SUM('1d_Cooking'!O11+'1d_Cooking'!O12+'1d_Cooking'!O13)</f>
        <v>1</v>
      </c>
    </row>
    <row r="14" spans="1:14" x14ac:dyDescent="0.25">
      <c r="A14" t="s">
        <v>154</v>
      </c>
      <c r="B14" t="s">
        <v>161</v>
      </c>
      <c r="C14" s="91" t="b">
        <f>'1d_Cooking'!D14&gt;=SUM('1d_Cooking'!D15+'1d_Cooking'!D16+'1d_Cooking'!D17+'1d_Cooking'!D18)</f>
        <v>1</v>
      </c>
      <c r="D14" s="91" t="b">
        <f>'1d_Cooking'!E14&gt;=SUM('1d_Cooking'!E15+'1d_Cooking'!E16+'1d_Cooking'!E17+'1d_Cooking'!E18)</f>
        <v>1</v>
      </c>
      <c r="E14" s="91" t="b">
        <f>'1d_Cooking'!F14&gt;=SUM('1d_Cooking'!F15+'1d_Cooking'!F16+'1d_Cooking'!F17+'1d_Cooking'!F18)</f>
        <v>1</v>
      </c>
      <c r="F14" s="91" t="b">
        <f>'1d_Cooking'!G14&gt;=SUM('1d_Cooking'!G15+'1d_Cooking'!G16+'1d_Cooking'!G17+'1d_Cooking'!G18)</f>
        <v>1</v>
      </c>
      <c r="G14" s="91" t="b">
        <f>'1d_Cooking'!H14&gt;=SUM('1d_Cooking'!H15+'1d_Cooking'!H16+'1d_Cooking'!H17+'1d_Cooking'!H18)</f>
        <v>1</v>
      </c>
      <c r="H14" s="91" t="b">
        <f>'1d_Cooking'!I14&gt;=SUM('1d_Cooking'!I15+'1d_Cooking'!I16+'1d_Cooking'!I17+'1d_Cooking'!I18)</f>
        <v>1</v>
      </c>
      <c r="I14" s="91" t="b">
        <f>'1d_Cooking'!J14&gt;=SUM('1d_Cooking'!J15+'1d_Cooking'!J16+'1d_Cooking'!J17+'1d_Cooking'!J18)</f>
        <v>1</v>
      </c>
      <c r="J14" s="91" t="b">
        <f>'1d_Cooking'!K14&gt;=SUM('1d_Cooking'!K15+'1d_Cooking'!K16+'1d_Cooking'!K17+'1d_Cooking'!K18)</f>
        <v>1</v>
      </c>
      <c r="K14" s="91" t="b">
        <f>'1d_Cooking'!L14&gt;=SUM('1d_Cooking'!L15+'1d_Cooking'!L16+'1d_Cooking'!L17+'1d_Cooking'!L18)</f>
        <v>1</v>
      </c>
      <c r="L14" s="91" t="b">
        <f>'1d_Cooking'!M14&gt;=SUM('1d_Cooking'!M15+'1d_Cooking'!M16+'1d_Cooking'!M17+'1d_Cooking'!M18)</f>
        <v>1</v>
      </c>
      <c r="M14" s="91" t="b">
        <f>'1d_Cooking'!N14&gt;=SUM('1d_Cooking'!N15+'1d_Cooking'!N16+'1d_Cooking'!N17+'1d_Cooking'!N18)</f>
        <v>1</v>
      </c>
      <c r="N14" s="91" t="b">
        <f>'1d_Cooking'!O14&gt;=SUM('1d_Cooking'!O15+'1d_Cooking'!O16+'1d_Cooking'!O17+'1d_Cooking'!O18)</f>
        <v>1</v>
      </c>
    </row>
    <row r="15" spans="1:14" x14ac:dyDescent="0.25">
      <c r="A15" t="s">
        <v>155</v>
      </c>
      <c r="B15" t="s">
        <v>160</v>
      </c>
      <c r="C15" s="91" t="b">
        <f>'1f_OtherEndUses'!D10&gt;=SUM('1f_OtherEndUses'!D11+'1f_OtherEndUses'!D12+'1f_OtherEndUses'!D13)</f>
        <v>1</v>
      </c>
      <c r="D15" s="91" t="b">
        <f>'1f_OtherEndUses'!E10&gt;=SUM('1f_OtherEndUses'!E11+'1f_OtherEndUses'!E12+'1f_OtherEndUses'!E13)</f>
        <v>1</v>
      </c>
      <c r="E15" s="91" t="b">
        <f>'1f_OtherEndUses'!F10&gt;=SUM('1f_OtherEndUses'!F11+'1f_OtherEndUses'!F12+'1f_OtherEndUses'!F13)</f>
        <v>1</v>
      </c>
      <c r="F15" s="91" t="b">
        <f>'1f_OtherEndUses'!G10&gt;=SUM('1f_OtherEndUses'!G11+'1f_OtherEndUses'!G12+'1f_OtherEndUses'!G13)</f>
        <v>1</v>
      </c>
      <c r="G15" s="91" t="b">
        <f>'1f_OtherEndUses'!H10&gt;=SUM('1f_OtherEndUses'!H11+'1f_OtherEndUses'!H12+'1f_OtherEndUses'!H13)</f>
        <v>1</v>
      </c>
      <c r="H15" s="91" t="b">
        <f>'1f_OtherEndUses'!I10&gt;=SUM('1f_OtherEndUses'!I11+'1f_OtherEndUses'!I12+'1f_OtherEndUses'!I13)</f>
        <v>1</v>
      </c>
      <c r="I15" s="91" t="b">
        <f>'1f_OtherEndUses'!J10&gt;=SUM('1f_OtherEndUses'!J11+'1f_OtherEndUses'!J12+'1f_OtherEndUses'!J13)</f>
        <v>1</v>
      </c>
      <c r="J15" s="91" t="b">
        <f>'1f_OtherEndUses'!K10&gt;=SUM('1f_OtherEndUses'!K11+'1f_OtherEndUses'!K12+'1f_OtherEndUses'!K13)</f>
        <v>1</v>
      </c>
      <c r="K15" s="91" t="b">
        <f>'1f_OtherEndUses'!L10&gt;=SUM('1f_OtherEndUses'!L11+'1f_OtherEndUses'!L12+'1f_OtherEndUses'!L13)</f>
        <v>1</v>
      </c>
      <c r="L15" s="91" t="b">
        <f>'1f_OtherEndUses'!M10&gt;=SUM('1f_OtherEndUses'!M11+'1f_OtherEndUses'!M12+'1f_OtherEndUses'!M13)</f>
        <v>1</v>
      </c>
      <c r="M15" s="91" t="b">
        <f>'1f_OtherEndUses'!N10&gt;=SUM('1f_OtherEndUses'!N11+'1f_OtherEndUses'!N12+'1f_OtherEndUses'!N13)</f>
        <v>1</v>
      </c>
      <c r="N15" s="91" t="b">
        <f>'1f_OtherEndUses'!O10&gt;=SUM('1f_OtherEndUses'!O11+'1f_OtherEndUses'!O12+'1f_OtherEndUses'!O13)</f>
        <v>1</v>
      </c>
    </row>
    <row r="16" spans="1:14" x14ac:dyDescent="0.25">
      <c r="A16" t="s">
        <v>155</v>
      </c>
      <c r="B16" t="s">
        <v>161</v>
      </c>
      <c r="C16" s="91" t="b">
        <f>'1f_OtherEndUses'!D14&gt;=SUM('1f_OtherEndUses'!D15+'1f_OtherEndUses'!D16+'1f_OtherEndUses'!D17++'1f_OtherEndUses'!D18)</f>
        <v>1</v>
      </c>
      <c r="D16" s="91" t="b">
        <f>'1f_OtherEndUses'!E14&gt;=SUM('1f_OtherEndUses'!E15+'1f_OtherEndUses'!E16+'1f_OtherEndUses'!E17++'1f_OtherEndUses'!E18)</f>
        <v>1</v>
      </c>
      <c r="E16" s="91" t="b">
        <f>'1f_OtherEndUses'!F14&gt;=SUM('1f_OtherEndUses'!F15+'1f_OtherEndUses'!F16+'1f_OtherEndUses'!F17++'1f_OtherEndUses'!F18)</f>
        <v>1</v>
      </c>
      <c r="F16" s="91" t="b">
        <f>'1f_OtherEndUses'!G14&gt;=SUM('1f_OtherEndUses'!G15+'1f_OtherEndUses'!G16+'1f_OtherEndUses'!G17++'1f_OtherEndUses'!G18)</f>
        <v>1</v>
      </c>
      <c r="G16" s="91" t="b">
        <f>'1f_OtherEndUses'!H14&gt;=SUM('1f_OtherEndUses'!H15+'1f_OtherEndUses'!H16+'1f_OtherEndUses'!H17++'1f_OtherEndUses'!H18)</f>
        <v>1</v>
      </c>
      <c r="H16" s="91" t="b">
        <f>'1f_OtherEndUses'!I14&gt;=SUM('1f_OtherEndUses'!I15+'1f_OtherEndUses'!I16+'1f_OtherEndUses'!I17++'1f_OtherEndUses'!I18)</f>
        <v>1</v>
      </c>
      <c r="I16" s="91" t="b">
        <f>'1f_OtherEndUses'!J14&gt;=SUM('1f_OtherEndUses'!J15+'1f_OtherEndUses'!J16+'1f_OtherEndUses'!J17++'1f_OtherEndUses'!J18)</f>
        <v>1</v>
      </c>
      <c r="J16" s="91" t="b">
        <f>'1f_OtherEndUses'!K14&gt;=SUM('1f_OtherEndUses'!K15+'1f_OtherEndUses'!K16+'1f_OtherEndUses'!K17++'1f_OtherEndUses'!K18)</f>
        <v>1</v>
      </c>
      <c r="K16" s="91" t="b">
        <f>'1f_OtherEndUses'!L14&gt;=SUM('1f_OtherEndUses'!L15+'1f_OtherEndUses'!L16+'1f_OtherEndUses'!L17++'1f_OtherEndUses'!L18)</f>
        <v>1</v>
      </c>
      <c r="L16" s="91" t="b">
        <f>'1f_OtherEndUses'!M14&gt;=SUM('1f_OtherEndUses'!M15+'1f_OtherEndUses'!M16+'1f_OtherEndUses'!M17++'1f_OtherEndUses'!M18)</f>
        <v>1</v>
      </c>
      <c r="M16" s="91" t="b">
        <f>'1f_OtherEndUses'!N14&gt;=SUM('1f_OtherEndUses'!N15+'1f_OtherEndUses'!N16+'1f_OtherEndUses'!N17++'1f_OtherEndUses'!N18)</f>
        <v>1</v>
      </c>
      <c r="N16" s="91" t="b">
        <f>'1f_OtherEndUses'!O14&gt;=SUM('1f_OtherEndUses'!O15+'1f_OtherEndUses'!O16+'1f_OtherEndUses'!O17++'1f_OtherEndUses'!O18)</f>
        <v>1</v>
      </c>
    </row>
    <row r="17" spans="1:14" x14ac:dyDescent="0.25">
      <c r="A17" t="s">
        <v>152</v>
      </c>
      <c r="B17" t="s">
        <v>162</v>
      </c>
      <c r="C17" s="91" t="str">
        <f>IF('1a_SpaceHeating'!D9&gt;0,IF(AND(Calorific_Values!D9&lt;=30000,Calorific_Values!D9&gt;=5000),"TRUE","FALSE"),"TRUE")</f>
        <v>TRUE</v>
      </c>
      <c r="D17" s="91" t="str">
        <f>IF('1a_SpaceHeating'!E9&gt;0,IF(AND(Calorific_Values!E9&lt;=30000,Calorific_Values!E9&gt;=5000),"TRUE","FALSE"),"TRUE")</f>
        <v>TRUE</v>
      </c>
      <c r="E17" s="91" t="str">
        <f>IF('1a_SpaceHeating'!F9&gt;0,IF(AND(Calorific_Values!F9&lt;=30000,Calorific_Values!F9&gt;=5000),"TRUE","FALSE"),"TRUE")</f>
        <v>TRUE</v>
      </c>
      <c r="F17" s="91" t="str">
        <f>IF('1a_SpaceHeating'!G9&gt;0,IF(AND(Calorific_Values!G9&lt;=30000,Calorific_Values!G9&gt;=5000),"TRUE","FALSE"),"TRUE")</f>
        <v>TRUE</v>
      </c>
      <c r="G17" s="91" t="str">
        <f>IF('1a_SpaceHeating'!H9&gt;0,IF(AND(Calorific_Values!H9&lt;=30000,Calorific_Values!H9&gt;=5000),"TRUE","FALSE"),"TRUE")</f>
        <v>TRUE</v>
      </c>
      <c r="H17" s="91" t="str">
        <f>IF('1a_SpaceHeating'!I9&gt;0,IF(AND(Calorific_Values!I9&lt;=30000,Calorific_Values!I9&gt;=5000),"TRUE","FALSE"),"TRUE")</f>
        <v>TRUE</v>
      </c>
      <c r="I17" s="91" t="str">
        <f>IF('1a_SpaceHeating'!J9&gt;0,IF(AND(Calorific_Values!J9&lt;=30000,Calorific_Values!J9&gt;=5000),"TRUE","FALSE"),"TRUE")</f>
        <v>TRUE</v>
      </c>
      <c r="J17" s="91" t="str">
        <f>IF('1a_SpaceHeating'!K9&gt;0,IF(AND(Calorific_Values!K9&lt;=30000,Calorific_Values!K9&gt;=5000),"TRUE","FALSE"),"TRUE")</f>
        <v>TRUE</v>
      </c>
      <c r="K17" s="91" t="str">
        <f>IF('1a_SpaceHeating'!L9&gt;0,IF(AND(Calorific_Values!L9&lt;=30000,Calorific_Values!L9&gt;=5000),"TRUE","FALSE"),"TRUE")</f>
        <v>TRUE</v>
      </c>
      <c r="L17" s="91" t="str">
        <f>IF('1a_SpaceHeating'!M9&gt;0,IF(AND(Calorific_Values!M9&lt;=30000,Calorific_Values!M9&gt;=5000),"TRUE","FALSE"),"TRUE")</f>
        <v>TRUE</v>
      </c>
      <c r="M17" s="91" t="str">
        <f>IF('1a_SpaceHeating'!N9&gt;0,IF(AND(Calorific_Values!N9&lt;=30000,Calorific_Values!N9&gt;=5000),"TRUE","FALSE"),"TRUE")</f>
        <v>TRUE</v>
      </c>
      <c r="N17" s="91" t="str">
        <f>IF('1a_SpaceHeating'!O9&gt;0,IF(AND(Calorific_Values!O9&lt;=30000,Calorific_Values!O9&gt;=5000),"TRUE","FALSE"),"TRUE")</f>
        <v>TRUE</v>
      </c>
    </row>
    <row r="18" spans="1:14" x14ac:dyDescent="0.25">
      <c r="A18" t="s">
        <v>152</v>
      </c>
      <c r="B18" t="s">
        <v>163</v>
      </c>
      <c r="C18" s="91" t="str">
        <f>IF('1a_SpaceHeating'!D10&gt;0,IF(AND(Calorific_Values!D10&lt;=50000,Calorific_Values!D10&gt;=40000),"TRUE","FALSE"),"TRUE")</f>
        <v>TRUE</v>
      </c>
      <c r="D18" s="91" t="str">
        <f>IF('1a_SpaceHeating'!E10&gt;0,IF(AND(Calorific_Values!E10&lt;=50000,Calorific_Values!E10&gt;=40000),"TRUE","FALSE"),"TRUE")</f>
        <v>TRUE</v>
      </c>
      <c r="E18" s="91" t="str">
        <f>IF('1a_SpaceHeating'!F10&gt;0,IF(AND(Calorific_Values!F10&lt;=50000,Calorific_Values!F10&gt;=40000),"TRUE","FALSE"),"TRUE")</f>
        <v>TRUE</v>
      </c>
      <c r="F18" s="91" t="str">
        <f>IF('1a_SpaceHeating'!G10&gt;0,IF(AND(Calorific_Values!G10&lt;=50000,Calorific_Values!G10&gt;=40000),"TRUE","FALSE"),"TRUE")</f>
        <v>TRUE</v>
      </c>
      <c r="G18" s="91" t="str">
        <f>IF('1a_SpaceHeating'!H10&gt;0,IF(AND(Calorific_Values!H10&lt;=50000,Calorific_Values!H10&gt;=40000),"TRUE","FALSE"),"TRUE")</f>
        <v>TRUE</v>
      </c>
      <c r="H18" s="91" t="str">
        <f>IF('1a_SpaceHeating'!I10&gt;0,IF(AND(Calorific_Values!I10&lt;=50000,Calorific_Values!I10&gt;=40000),"TRUE","FALSE"),"TRUE")</f>
        <v>TRUE</v>
      </c>
      <c r="I18" s="91" t="str">
        <f>IF('1a_SpaceHeating'!J10&gt;0,IF(AND(Calorific_Values!J10&lt;=50000,Calorific_Values!J10&gt;=40000),"TRUE","FALSE"),"TRUE")</f>
        <v>TRUE</v>
      </c>
      <c r="J18" s="91" t="str">
        <f>IF('1a_SpaceHeating'!K10&gt;0,IF(AND(Calorific_Values!K10&lt;=50000,Calorific_Values!K10&gt;=40000),"TRUE","FALSE"),"TRUE")</f>
        <v>TRUE</v>
      </c>
      <c r="K18" s="91" t="str">
        <f>IF('1a_SpaceHeating'!L10&gt;0,IF(AND(Calorific_Values!L10&lt;=50000,Calorific_Values!L10&gt;=40000),"TRUE","FALSE"),"TRUE")</f>
        <v>TRUE</v>
      </c>
      <c r="L18" s="91" t="str">
        <f>IF('1a_SpaceHeating'!M10&gt;0,IF(AND(Calorific_Values!M10&lt;=50000,Calorific_Values!M10&gt;=40000),"TRUE","FALSE"),"TRUE")</f>
        <v>TRUE</v>
      </c>
      <c r="M18" s="91" t="str">
        <f>IF('1a_SpaceHeating'!N10&gt;0,IF(AND(Calorific_Values!N10&lt;=50000,Calorific_Values!N10&gt;=40000),"TRUE","FALSE"),"TRUE")</f>
        <v>TRUE</v>
      </c>
      <c r="N18" s="91" t="str">
        <f>IF('1a_SpaceHeating'!O10&gt;0,IF(AND(Calorific_Values!O10&lt;=50000,Calorific_Values!O10&gt;=40000),"TRUE","FALSE"),"TRUE")</f>
        <v>TRUE</v>
      </c>
    </row>
    <row r="19" spans="1:14" x14ac:dyDescent="0.25">
      <c r="A19" t="s">
        <v>152</v>
      </c>
      <c r="B19" t="s">
        <v>164</v>
      </c>
      <c r="C19" s="91" t="str">
        <f>IF('1a_SpaceHeating'!D11&gt;0,IF(AND(Calorific_Values!D11&lt;=50000,Calorific_Values!D11&gt;=40000),"TRUE","FALSE"),"TRUE")</f>
        <v>TRUE</v>
      </c>
      <c r="D19" s="91" t="str">
        <f>IF('1a_SpaceHeating'!E11&gt;0,IF(AND(Calorific_Values!E11&lt;=50000,Calorific_Values!E11&gt;=40000),"TRUE","FALSE"),"TRUE")</f>
        <v>TRUE</v>
      </c>
      <c r="E19" s="91" t="str">
        <f>IF('1a_SpaceHeating'!F11&gt;0,IF(AND(Calorific_Values!F11&lt;=50000,Calorific_Values!F11&gt;=40000),"TRUE","FALSE"),"TRUE")</f>
        <v>TRUE</v>
      </c>
      <c r="F19" s="91" t="str">
        <f>IF('1a_SpaceHeating'!G11&gt;0,IF(AND(Calorific_Values!G11&lt;=50000,Calorific_Values!G11&gt;=40000),"TRUE","FALSE"),"TRUE")</f>
        <v>TRUE</v>
      </c>
      <c r="G19" s="91" t="str">
        <f>IF('1a_SpaceHeating'!H11&gt;0,IF(AND(Calorific_Values!H11&lt;=50000,Calorific_Values!H11&gt;=40000),"TRUE","FALSE"),"TRUE")</f>
        <v>TRUE</v>
      </c>
      <c r="H19" s="91" t="str">
        <f>IF('1a_SpaceHeating'!I11&gt;0,IF(AND(Calorific_Values!I11&lt;=50000,Calorific_Values!I11&gt;=40000),"TRUE","FALSE"),"TRUE")</f>
        <v>TRUE</v>
      </c>
      <c r="I19" s="91" t="str">
        <f>IF('1a_SpaceHeating'!J11&gt;0,IF(AND(Calorific_Values!J11&lt;=50000,Calorific_Values!J11&gt;=40000),"TRUE","FALSE"),"TRUE")</f>
        <v>TRUE</v>
      </c>
      <c r="J19" s="91" t="str">
        <f>IF('1a_SpaceHeating'!K11&gt;0,IF(AND(Calorific_Values!K11&lt;=50000,Calorific_Values!K11&gt;=40000),"TRUE","FALSE"),"TRUE")</f>
        <v>TRUE</v>
      </c>
      <c r="K19" s="91" t="str">
        <f>IF('1a_SpaceHeating'!L11&gt;0,IF(AND(Calorific_Values!L11&lt;=50000,Calorific_Values!L11&gt;=40000),"TRUE","FALSE"),"TRUE")</f>
        <v>TRUE</v>
      </c>
      <c r="L19" s="91" t="str">
        <f>IF('1a_SpaceHeating'!M11&gt;0,IF(AND(Calorific_Values!M11&lt;=50000,Calorific_Values!M11&gt;=40000),"TRUE","FALSE"),"TRUE")</f>
        <v>TRUE</v>
      </c>
      <c r="M19" s="91" t="str">
        <f>IF('1a_SpaceHeating'!N11&gt;0,IF(AND(Calorific_Values!N11&lt;=50000,Calorific_Values!N11&gt;=40000),"TRUE","FALSE"),"TRUE")</f>
        <v>TRUE</v>
      </c>
      <c r="N19" s="91" t="str">
        <f>IF('1a_SpaceHeating'!O11&gt;0,IF(AND(Calorific_Values!O11&lt;=50000,Calorific_Values!O11&gt;=40000),"TRUE","FALSE"),"TRUE")</f>
        <v>TRUE</v>
      </c>
    </row>
    <row r="20" spans="1:14" x14ac:dyDescent="0.25">
      <c r="A20" t="s">
        <v>152</v>
      </c>
      <c r="B20" t="s">
        <v>165</v>
      </c>
      <c r="C20" s="91" t="str">
        <f>IF('1a_SpaceHeating'!D12&gt;0,IF(AND(Calorific_Values!D12&lt;=45000,Calorific_Values!D12&gt;=40000),"TRUE","FALSE"),"TRUE")</f>
        <v>TRUE</v>
      </c>
      <c r="D20" s="91" t="str">
        <f>IF('1a_SpaceHeating'!E12&gt;0,IF(AND(Calorific_Values!E12&lt;=45000,Calorific_Values!E12&gt;=40000),"TRUE","FALSE"),"TRUE")</f>
        <v>TRUE</v>
      </c>
      <c r="E20" s="91" t="str">
        <f>IF('1a_SpaceHeating'!F12&gt;0,IF(AND(Calorific_Values!F12&lt;=45000,Calorific_Values!F12&gt;=40000),"TRUE","FALSE"),"TRUE")</f>
        <v>TRUE</v>
      </c>
      <c r="F20" s="91" t="str">
        <f>IF('1a_SpaceHeating'!G12&gt;0,IF(AND(Calorific_Values!G12&lt;=45000,Calorific_Values!G12&gt;=40000),"TRUE","FALSE"),"TRUE")</f>
        <v>TRUE</v>
      </c>
      <c r="G20" s="91" t="str">
        <f>IF('1a_SpaceHeating'!H12&gt;0,IF(AND(Calorific_Values!H12&lt;=45000,Calorific_Values!H12&gt;=40000),"TRUE","FALSE"),"TRUE")</f>
        <v>TRUE</v>
      </c>
      <c r="H20" s="91" t="str">
        <f>IF('1a_SpaceHeating'!I12&gt;0,IF(AND(Calorific_Values!I12&lt;=45000,Calorific_Values!I12&gt;=40000),"TRUE","FALSE"),"TRUE")</f>
        <v>TRUE</v>
      </c>
      <c r="I20" s="91" t="str">
        <f>IF('1a_SpaceHeating'!J12&gt;0,IF(AND(Calorific_Values!J12&lt;=45000,Calorific_Values!J12&gt;=40000),"TRUE","FALSE"),"TRUE")</f>
        <v>TRUE</v>
      </c>
      <c r="J20" s="91" t="str">
        <f>IF('1a_SpaceHeating'!K12&gt;0,IF(AND(Calorific_Values!K12&lt;=45000,Calorific_Values!K12&gt;=40000),"TRUE","FALSE"),"TRUE")</f>
        <v>TRUE</v>
      </c>
      <c r="K20" s="91" t="str">
        <f>IF('1a_SpaceHeating'!L12&gt;0,IF(AND(Calorific_Values!L12&lt;=45000,Calorific_Values!L12&gt;=40000),"TRUE","FALSE"),"TRUE")</f>
        <v>TRUE</v>
      </c>
      <c r="L20" s="91" t="str">
        <f>IF('1a_SpaceHeating'!M12&gt;0,IF(AND(Calorific_Values!M12&lt;=45000,Calorific_Values!M12&gt;=40000),"TRUE","FALSE"),"TRUE")</f>
        <v>TRUE</v>
      </c>
      <c r="M20" s="91" t="str">
        <f>IF('1a_SpaceHeating'!N12&gt;0,IF(AND(Calorific_Values!N12&lt;=45000,Calorific_Values!N12&gt;=40000),"TRUE","FALSE"),"TRUE")</f>
        <v>TRUE</v>
      </c>
      <c r="N20" s="91" t="str">
        <f>IF('1a_SpaceHeating'!O12&gt;0,IF(AND(Calorific_Values!O12&lt;=45000,Calorific_Values!O12&gt;=40000),"TRUE","FALSE"),"TRUE")</f>
        <v>TRUE</v>
      </c>
    </row>
    <row r="21" spans="1:14" x14ac:dyDescent="0.25">
      <c r="A21" t="s">
        <v>152</v>
      </c>
      <c r="B21" t="s">
        <v>166</v>
      </c>
      <c r="C21" s="91" t="str">
        <f>IF('1a_SpaceHeating'!D13&gt;0,IF(AND(Calorific_Values!D13&lt;=45000,Calorific_Values!D13&gt;=40000),"TRUE","FALSE"),"TRUE")</f>
        <v>TRUE</v>
      </c>
      <c r="D21" s="91" t="str">
        <f>IF('1a_SpaceHeating'!E13&gt;0,IF(AND(Calorific_Values!E13&lt;=45000,Calorific_Values!E13&gt;=40000),"TRUE","FALSE"),"TRUE")</f>
        <v>TRUE</v>
      </c>
      <c r="E21" s="91" t="str">
        <f>IF('1a_SpaceHeating'!F13&gt;0,IF(AND(Calorific_Values!F13&lt;=45000,Calorific_Values!F13&gt;=40000),"TRUE","FALSE"),"TRUE")</f>
        <v>TRUE</v>
      </c>
      <c r="F21" s="91" t="str">
        <f>IF('1a_SpaceHeating'!G13&gt;0,IF(AND(Calorific_Values!G13&lt;=45000,Calorific_Values!G13&gt;=40000),"TRUE","FALSE"),"TRUE")</f>
        <v>TRUE</v>
      </c>
      <c r="G21" s="91" t="str">
        <f>IF('1a_SpaceHeating'!H13&gt;0,IF(AND(Calorific_Values!H13&lt;=45000,Calorific_Values!H13&gt;=40000),"TRUE","FALSE"),"TRUE")</f>
        <v>TRUE</v>
      </c>
      <c r="H21" s="91" t="str">
        <f>IF('1a_SpaceHeating'!I13&gt;0,IF(AND(Calorific_Values!I13&lt;=45000,Calorific_Values!I13&gt;=40000),"TRUE","FALSE"),"TRUE")</f>
        <v>TRUE</v>
      </c>
      <c r="I21" s="91" t="str">
        <f>IF('1a_SpaceHeating'!J13&gt;0,IF(AND(Calorific_Values!J13&lt;=45000,Calorific_Values!J13&gt;=40000),"TRUE","FALSE"),"TRUE")</f>
        <v>TRUE</v>
      </c>
      <c r="J21" s="91" t="str">
        <f>IF('1a_SpaceHeating'!K13&gt;0,IF(AND(Calorific_Values!K13&lt;=45000,Calorific_Values!K13&gt;=40000),"TRUE","FALSE"),"TRUE")</f>
        <v>TRUE</v>
      </c>
      <c r="K21" s="91" t="str">
        <f>IF('1a_SpaceHeating'!L13&gt;0,IF(AND(Calorific_Values!L13&lt;=45000,Calorific_Values!L13&gt;=40000),"TRUE","FALSE"),"TRUE")</f>
        <v>TRUE</v>
      </c>
      <c r="L21" s="91" t="str">
        <f>IF('1a_SpaceHeating'!M13&gt;0,IF(AND(Calorific_Values!M13&lt;=45000,Calorific_Values!M13&gt;=40000),"TRUE","FALSE"),"TRUE")</f>
        <v>TRUE</v>
      </c>
      <c r="M21" s="91" t="str">
        <f>IF('1a_SpaceHeating'!N13&gt;0,IF(AND(Calorific_Values!N13&lt;=45000,Calorific_Values!N13&gt;=40000),"TRUE","FALSE"),"TRUE")</f>
        <v>TRUE</v>
      </c>
      <c r="N21" s="91" t="str">
        <f>IF('1a_SpaceHeating'!O13&gt;0,IF(AND(Calorific_Values!O13&lt;=45000,Calorific_Values!O13&gt;=40000),"TRUE","FALSE"),"TRUE")</f>
        <v>TRUE</v>
      </c>
    </row>
    <row r="22" spans="1:14" x14ac:dyDescent="0.25">
      <c r="A22" t="s">
        <v>169</v>
      </c>
      <c r="B22" t="s">
        <v>162</v>
      </c>
      <c r="C22" s="91" t="str">
        <f>IF('1b_SpaceCooling'!D9&gt;0,IF(AND(Calorific_Values!D9&lt;=30000,Calorific_Values!D9&gt;=5000),"TRUE","FALSE"),"TRUE")</f>
        <v>TRUE</v>
      </c>
      <c r="D22" s="91" t="str">
        <f>IF('1b_SpaceCooling'!E9&gt;0,IF(AND(Calorific_Values!E9&lt;=30000,Calorific_Values!E9&gt;=5000),"TRUE","FALSE"),"TRUE")</f>
        <v>TRUE</v>
      </c>
      <c r="E22" s="91" t="str">
        <f>IF('1b_SpaceCooling'!F9&gt;0,IF(AND(Calorific_Values!F9&lt;=30000,Calorific_Values!F9&gt;=5000),"TRUE","FALSE"),"TRUE")</f>
        <v>TRUE</v>
      </c>
      <c r="F22" s="91" t="str">
        <f>IF('1b_SpaceCooling'!G9&gt;0,IF(AND(Calorific_Values!G9&lt;=30000,Calorific_Values!G9&gt;=5000),"TRUE","FALSE"),"TRUE")</f>
        <v>TRUE</v>
      </c>
      <c r="G22" s="91" t="str">
        <f>IF('1b_SpaceCooling'!H9&gt;0,IF(AND(Calorific_Values!H9&lt;=30000,Calorific_Values!H9&gt;=5000),"TRUE","FALSE"),"TRUE")</f>
        <v>TRUE</v>
      </c>
      <c r="H22" s="91" t="str">
        <f>IF('1b_SpaceCooling'!I9&gt;0,IF(AND(Calorific_Values!I9&lt;=30000,Calorific_Values!I9&gt;=5000),"TRUE","FALSE"),"TRUE")</f>
        <v>TRUE</v>
      </c>
      <c r="I22" s="91" t="str">
        <f>IF('1b_SpaceCooling'!J9&gt;0,IF(AND(Calorific_Values!J9&lt;=30000,Calorific_Values!J9&gt;=5000),"TRUE","FALSE"),"TRUE")</f>
        <v>TRUE</v>
      </c>
      <c r="J22" s="91" t="str">
        <f>IF('1b_SpaceCooling'!K9&gt;0,IF(AND(Calorific_Values!K9&lt;=30000,Calorific_Values!K9&gt;=5000),"TRUE","FALSE"),"TRUE")</f>
        <v>TRUE</v>
      </c>
      <c r="K22" s="91" t="str">
        <f>IF('1b_SpaceCooling'!L9&gt;0,IF(AND(Calorific_Values!L9&lt;=30000,Calorific_Values!L9&gt;=5000),"TRUE","FALSE"),"TRUE")</f>
        <v>TRUE</v>
      </c>
      <c r="L22" s="91" t="str">
        <f>IF('1b_SpaceCooling'!M9&gt;0,IF(AND(Calorific_Values!M9&lt;=30000,Calorific_Values!M9&gt;=5000),"TRUE","FALSE"),"TRUE")</f>
        <v>TRUE</v>
      </c>
      <c r="M22" s="91" t="str">
        <f>IF('1b_SpaceCooling'!N9&gt;0,IF(AND(Calorific_Values!N9&lt;=30000,Calorific_Values!N9&gt;=5000),"TRUE","FALSE"),"TRUE")</f>
        <v>TRUE</v>
      </c>
      <c r="N22" s="91" t="str">
        <f>IF('1b_SpaceCooling'!O9&gt;0,IF(AND(Calorific_Values!O9&lt;=30000,Calorific_Values!O9&gt;=5000),"TRUE","FALSE"),"TRUE")</f>
        <v>TRUE</v>
      </c>
    </row>
    <row r="23" spans="1:14" x14ac:dyDescent="0.25">
      <c r="A23" t="s">
        <v>169</v>
      </c>
      <c r="B23" t="s">
        <v>163</v>
      </c>
      <c r="C23" s="91" t="str">
        <f>IF('1b_SpaceCooling'!D10&gt;0,IF(AND(Calorific_Values!D10&lt;=30000,Calorific_Values!D10&gt;=5000),"TRUE","FALSE"),"TRUE")</f>
        <v>TRUE</v>
      </c>
      <c r="D23" s="91" t="str">
        <f>IF('1b_SpaceCooling'!E10&gt;0,IF(AND(Calorific_Values!E10&lt;=30000,Calorific_Values!E10&gt;=5000),"TRUE","FALSE"),"TRUE")</f>
        <v>TRUE</v>
      </c>
      <c r="E23" s="91" t="str">
        <f>IF('1b_SpaceCooling'!F10&gt;0,IF(AND(Calorific_Values!F10&lt;=30000,Calorific_Values!F10&gt;=5000),"TRUE","FALSE"),"TRUE")</f>
        <v>TRUE</v>
      </c>
      <c r="F23" s="91" t="str">
        <f>IF('1b_SpaceCooling'!G10&gt;0,IF(AND(Calorific_Values!G10&lt;=30000,Calorific_Values!G10&gt;=5000),"TRUE","FALSE"),"TRUE")</f>
        <v>TRUE</v>
      </c>
      <c r="G23" s="91" t="str">
        <f>IF('1b_SpaceCooling'!H10&gt;0,IF(AND(Calorific_Values!H10&lt;=30000,Calorific_Values!H10&gt;=5000),"TRUE","FALSE"),"TRUE")</f>
        <v>TRUE</v>
      </c>
      <c r="H23" s="91" t="str">
        <f>IF('1b_SpaceCooling'!I10&gt;0,IF(AND(Calorific_Values!I10&lt;=30000,Calorific_Values!I10&gt;=5000),"TRUE","FALSE"),"TRUE")</f>
        <v>TRUE</v>
      </c>
      <c r="I23" s="91" t="str">
        <f>IF('1b_SpaceCooling'!J10&gt;0,IF(AND(Calorific_Values!J10&lt;=30000,Calorific_Values!J10&gt;=5000),"TRUE","FALSE"),"TRUE")</f>
        <v>TRUE</v>
      </c>
      <c r="J23" s="91" t="str">
        <f>IF('1b_SpaceCooling'!K10&gt;0,IF(AND(Calorific_Values!K10&lt;=30000,Calorific_Values!K10&gt;=5000),"TRUE","FALSE"),"TRUE")</f>
        <v>TRUE</v>
      </c>
      <c r="K23" s="91" t="str">
        <f>IF('1b_SpaceCooling'!L10&gt;0,IF(AND(Calorific_Values!L10&lt;=30000,Calorific_Values!L10&gt;=5000),"TRUE","FALSE"),"TRUE")</f>
        <v>TRUE</v>
      </c>
      <c r="L23" s="91" t="str">
        <f>IF('1b_SpaceCooling'!M10&gt;0,IF(AND(Calorific_Values!M10&lt;=30000,Calorific_Values!M10&gt;=5000),"TRUE","FALSE"),"TRUE")</f>
        <v>TRUE</v>
      </c>
      <c r="M23" s="91" t="str">
        <f>IF('1b_SpaceCooling'!N10&gt;0,IF(AND(Calorific_Values!N10&lt;=30000,Calorific_Values!N10&gt;=5000),"TRUE","FALSE"),"TRUE")</f>
        <v>TRUE</v>
      </c>
      <c r="N23" s="91" t="str">
        <f>IF('1b_SpaceCooling'!O10&gt;0,IF(AND(Calorific_Values!O10&lt;=30000,Calorific_Values!O10&gt;=5000),"TRUE","FALSE"),"TRUE")</f>
        <v>TRUE</v>
      </c>
    </row>
    <row r="24" spans="1:14" x14ac:dyDescent="0.25">
      <c r="A24" t="s">
        <v>169</v>
      </c>
      <c r="B24" t="s">
        <v>164</v>
      </c>
      <c r="C24" s="91" t="str">
        <f>IF('1b_SpaceCooling'!D11&gt;0,IF(AND(Calorific_Values!D11&lt;=30000,Calorific_Values!D11&gt;=5000),"TRUE","FALSE"),"TRUE")</f>
        <v>TRUE</v>
      </c>
      <c r="D24" s="91" t="str">
        <f>IF('1b_SpaceCooling'!E11&gt;0,IF(AND(Calorific_Values!E11&lt;=30000,Calorific_Values!E11&gt;=5000),"TRUE","FALSE"),"TRUE")</f>
        <v>TRUE</v>
      </c>
      <c r="E24" s="91" t="str">
        <f>IF('1b_SpaceCooling'!F11&gt;0,IF(AND(Calorific_Values!F11&lt;=30000,Calorific_Values!F11&gt;=5000),"TRUE","FALSE"),"TRUE")</f>
        <v>TRUE</v>
      </c>
      <c r="F24" s="91" t="str">
        <f>IF('1b_SpaceCooling'!G11&gt;0,IF(AND(Calorific_Values!G11&lt;=30000,Calorific_Values!G11&gt;=5000),"TRUE","FALSE"),"TRUE")</f>
        <v>TRUE</v>
      </c>
      <c r="G24" s="91" t="str">
        <f>IF('1b_SpaceCooling'!H11&gt;0,IF(AND(Calorific_Values!H11&lt;=30000,Calorific_Values!H11&gt;=5000),"TRUE","FALSE"),"TRUE")</f>
        <v>TRUE</v>
      </c>
      <c r="H24" s="91" t="str">
        <f>IF('1b_SpaceCooling'!I11&gt;0,IF(AND(Calorific_Values!I11&lt;=30000,Calorific_Values!I11&gt;=5000),"TRUE","FALSE"),"TRUE")</f>
        <v>TRUE</v>
      </c>
      <c r="I24" s="91" t="str">
        <f>IF('1b_SpaceCooling'!J11&gt;0,IF(AND(Calorific_Values!J11&lt;=30000,Calorific_Values!J11&gt;=5000),"TRUE","FALSE"),"TRUE")</f>
        <v>TRUE</v>
      </c>
      <c r="J24" s="91" t="str">
        <f>IF('1b_SpaceCooling'!K11&gt;0,IF(AND(Calorific_Values!K11&lt;=30000,Calorific_Values!K11&gt;=5000),"TRUE","FALSE"),"TRUE")</f>
        <v>TRUE</v>
      </c>
      <c r="K24" s="91" t="str">
        <f>IF('1b_SpaceCooling'!L11&gt;0,IF(AND(Calorific_Values!L11&lt;=30000,Calorific_Values!L11&gt;=5000),"TRUE","FALSE"),"TRUE")</f>
        <v>TRUE</v>
      </c>
      <c r="L24" s="91" t="str">
        <f>IF('1b_SpaceCooling'!M11&gt;0,IF(AND(Calorific_Values!M11&lt;=30000,Calorific_Values!M11&gt;=5000),"TRUE","FALSE"),"TRUE")</f>
        <v>TRUE</v>
      </c>
      <c r="M24" s="91" t="str">
        <f>IF('1b_SpaceCooling'!N11&gt;0,IF(AND(Calorific_Values!N11&lt;=30000,Calorific_Values!N11&gt;=5000),"TRUE","FALSE"),"TRUE")</f>
        <v>TRUE</v>
      </c>
      <c r="N24" s="91" t="str">
        <f>IF('1b_SpaceCooling'!O11&gt;0,IF(AND(Calorific_Values!O11&lt;=30000,Calorific_Values!O11&gt;=5000),"TRUE","FALSE"),"TRUE")</f>
        <v>TRUE</v>
      </c>
    </row>
    <row r="25" spans="1:14" x14ac:dyDescent="0.25">
      <c r="A25" t="s">
        <v>169</v>
      </c>
      <c r="B25" t="s">
        <v>165</v>
      </c>
      <c r="C25" s="91" t="str">
        <f>IF('1b_SpaceCooling'!D12&gt;0,IF(AND(Calorific_Values!D12&lt;=30000,Calorific_Values!D12&gt;=5000),"TRUE","FALSE"),"TRUE")</f>
        <v>TRUE</v>
      </c>
      <c r="D25" s="91" t="str">
        <f>IF('1b_SpaceCooling'!E12&gt;0,IF(AND(Calorific_Values!E12&lt;=30000,Calorific_Values!E12&gt;=5000),"TRUE","FALSE"),"TRUE")</f>
        <v>TRUE</v>
      </c>
      <c r="E25" s="91" t="str">
        <f>IF('1b_SpaceCooling'!F12&gt;0,IF(AND(Calorific_Values!F12&lt;=30000,Calorific_Values!F12&gt;=5000),"TRUE","FALSE"),"TRUE")</f>
        <v>TRUE</v>
      </c>
      <c r="F25" s="91" t="str">
        <f>IF('1b_SpaceCooling'!G12&gt;0,IF(AND(Calorific_Values!G12&lt;=30000,Calorific_Values!G12&gt;=5000),"TRUE","FALSE"),"TRUE")</f>
        <v>TRUE</v>
      </c>
      <c r="G25" s="91" t="str">
        <f>IF('1b_SpaceCooling'!H12&gt;0,IF(AND(Calorific_Values!H12&lt;=30000,Calorific_Values!H12&gt;=5000),"TRUE","FALSE"),"TRUE")</f>
        <v>TRUE</v>
      </c>
      <c r="H25" s="91" t="str">
        <f>IF('1b_SpaceCooling'!I12&gt;0,IF(AND(Calorific_Values!I12&lt;=30000,Calorific_Values!I12&gt;=5000),"TRUE","FALSE"),"TRUE")</f>
        <v>TRUE</v>
      </c>
      <c r="I25" s="91" t="str">
        <f>IF('1b_SpaceCooling'!J12&gt;0,IF(AND(Calorific_Values!J12&lt;=30000,Calorific_Values!J12&gt;=5000),"TRUE","FALSE"),"TRUE")</f>
        <v>TRUE</v>
      </c>
      <c r="J25" s="91" t="str">
        <f>IF('1b_SpaceCooling'!K12&gt;0,IF(AND(Calorific_Values!K12&lt;=30000,Calorific_Values!K12&gt;=5000),"TRUE","FALSE"),"TRUE")</f>
        <v>TRUE</v>
      </c>
      <c r="K25" s="91" t="str">
        <f>IF('1b_SpaceCooling'!L12&gt;0,IF(AND(Calorific_Values!L12&lt;=30000,Calorific_Values!L12&gt;=5000),"TRUE","FALSE"),"TRUE")</f>
        <v>TRUE</v>
      </c>
      <c r="L25" s="91" t="str">
        <f>IF('1b_SpaceCooling'!M12&gt;0,IF(AND(Calorific_Values!M12&lt;=30000,Calorific_Values!M12&gt;=5000),"TRUE","FALSE"),"TRUE")</f>
        <v>TRUE</v>
      </c>
      <c r="M25" s="91" t="str">
        <f>IF('1b_SpaceCooling'!N12&gt;0,IF(AND(Calorific_Values!N12&lt;=30000,Calorific_Values!N12&gt;=5000),"TRUE","FALSE"),"TRUE")</f>
        <v>TRUE</v>
      </c>
      <c r="N25" s="91" t="str">
        <f>IF('1b_SpaceCooling'!O12&gt;0,IF(AND(Calorific_Values!O12&lt;=30000,Calorific_Values!O12&gt;=5000),"TRUE","FALSE"),"TRUE")</f>
        <v>TRUE</v>
      </c>
    </row>
    <row r="26" spans="1:14" x14ac:dyDescent="0.25">
      <c r="A26" t="s">
        <v>169</v>
      </c>
      <c r="B26" t="s">
        <v>166</v>
      </c>
      <c r="C26" s="91" t="str">
        <f>IF('1b_SpaceCooling'!D13&gt;0,IF(AND(Calorific_Values!D13&lt;=30000,Calorific_Values!D13&gt;=5000),"TRUE","FALSE"),"TRUE")</f>
        <v>TRUE</v>
      </c>
      <c r="D26" s="91" t="str">
        <f>IF('1b_SpaceCooling'!E13&gt;0,IF(AND(Calorific_Values!E13&lt;=30000,Calorific_Values!E13&gt;=5000),"TRUE","FALSE"),"TRUE")</f>
        <v>TRUE</v>
      </c>
      <c r="E26" s="91" t="str">
        <f>IF('1b_SpaceCooling'!F13&gt;0,IF(AND(Calorific_Values!F13&lt;=30000,Calorific_Values!F13&gt;=5000),"TRUE","FALSE"),"TRUE")</f>
        <v>TRUE</v>
      </c>
      <c r="F26" s="91" t="str">
        <f>IF('1b_SpaceCooling'!G13&gt;0,IF(AND(Calorific_Values!G13&lt;=30000,Calorific_Values!G13&gt;=5000),"TRUE","FALSE"),"TRUE")</f>
        <v>TRUE</v>
      </c>
      <c r="G26" s="91" t="str">
        <f>IF('1b_SpaceCooling'!H13&gt;0,IF(AND(Calorific_Values!H13&lt;=30000,Calorific_Values!H13&gt;=5000),"TRUE","FALSE"),"TRUE")</f>
        <v>TRUE</v>
      </c>
      <c r="H26" s="91" t="str">
        <f>IF('1b_SpaceCooling'!I13&gt;0,IF(AND(Calorific_Values!I13&lt;=30000,Calorific_Values!I13&gt;=5000),"TRUE","FALSE"),"TRUE")</f>
        <v>TRUE</v>
      </c>
      <c r="I26" s="91" t="str">
        <f>IF('1b_SpaceCooling'!J13&gt;0,IF(AND(Calorific_Values!J13&lt;=30000,Calorific_Values!J13&gt;=5000),"TRUE","FALSE"),"TRUE")</f>
        <v>TRUE</v>
      </c>
      <c r="J26" s="91" t="str">
        <f>IF('1b_SpaceCooling'!K13&gt;0,IF(AND(Calorific_Values!K13&lt;=30000,Calorific_Values!K13&gt;=5000),"TRUE","FALSE"),"TRUE")</f>
        <v>TRUE</v>
      </c>
      <c r="K26" s="91" t="str">
        <f>IF('1b_SpaceCooling'!L13&gt;0,IF(AND(Calorific_Values!L13&lt;=30000,Calorific_Values!L13&gt;=5000),"TRUE","FALSE"),"TRUE")</f>
        <v>TRUE</v>
      </c>
      <c r="L26" s="91" t="str">
        <f>IF('1b_SpaceCooling'!M13&gt;0,IF(AND(Calorific_Values!M13&lt;=30000,Calorific_Values!M13&gt;=5000),"TRUE","FALSE"),"TRUE")</f>
        <v>TRUE</v>
      </c>
      <c r="M26" s="91" t="str">
        <f>IF('1b_SpaceCooling'!N13&gt;0,IF(AND(Calorific_Values!N13&lt;=30000,Calorific_Values!N13&gt;=5000),"TRUE","FALSE"),"TRUE")</f>
        <v>TRUE</v>
      </c>
      <c r="N26" s="91" t="str">
        <f>IF('1b_SpaceCooling'!O13&gt;0,IF(AND(Calorific_Values!O13&lt;=30000,Calorific_Values!O13&gt;=5000),"TRUE","FALSE"),"TRUE")</f>
        <v>TRUE</v>
      </c>
    </row>
    <row r="27" spans="1:14" x14ac:dyDescent="0.25">
      <c r="A27" t="s">
        <v>153</v>
      </c>
      <c r="B27" t="s">
        <v>167</v>
      </c>
      <c r="C27" s="91" t="str">
        <f>IF('1c_WaterHeating'!D9&gt;0,IF(AND(Calorific_Values!D9&lt;=30000,Calorific_Values!D9&gt;=5000),"TRUE","FALSE"),"TRUE")</f>
        <v>TRUE</v>
      </c>
      <c r="D27" s="91" t="str">
        <f>IF('1c_WaterHeating'!E9&gt;0,IF(AND(Calorific_Values!E9&lt;=30000,Calorific_Values!E9&gt;=5000),"TRUE","FALSE"),"TRUE")</f>
        <v>TRUE</v>
      </c>
      <c r="E27" s="91" t="str">
        <f>IF('1c_WaterHeating'!F9&gt;0,IF(AND(Calorific_Values!F9&lt;=30000,Calorific_Values!F9&gt;=5000),"TRUE","FALSE"),"TRUE")</f>
        <v>TRUE</v>
      </c>
      <c r="F27" s="91" t="str">
        <f>IF('1c_WaterHeating'!G9&gt;0,IF(AND(Calorific_Values!G9&lt;=30000,Calorific_Values!G9&gt;=5000),"TRUE","FALSE"),"TRUE")</f>
        <v>TRUE</v>
      </c>
      <c r="G27" s="91" t="str">
        <f>IF('1c_WaterHeating'!H9&gt;0,IF(AND(Calorific_Values!H9&lt;=30000,Calorific_Values!H9&gt;=5000),"TRUE","FALSE"),"TRUE")</f>
        <v>TRUE</v>
      </c>
      <c r="H27" s="91" t="str">
        <f>IF('1c_WaterHeating'!I9&gt;0,IF(AND(Calorific_Values!I9&lt;=30000,Calorific_Values!I9&gt;=5000),"TRUE","FALSE"),"TRUE")</f>
        <v>TRUE</v>
      </c>
      <c r="I27" s="91" t="str">
        <f>IF('1c_WaterHeating'!J9&gt;0,IF(AND(Calorific_Values!J9&lt;=30000,Calorific_Values!J9&gt;=5000),"TRUE","FALSE"),"TRUE")</f>
        <v>TRUE</v>
      </c>
      <c r="J27" s="91" t="str">
        <f>IF('1c_WaterHeating'!K9&gt;0,IF(AND(Calorific_Values!K9&lt;=30000,Calorific_Values!K9&gt;=5000),"TRUE","FALSE"),"TRUE")</f>
        <v>TRUE</v>
      </c>
      <c r="K27" s="91" t="str">
        <f>IF('1c_WaterHeating'!L9&gt;0,IF(AND(Calorific_Values!L9&lt;=30000,Calorific_Values!L9&gt;=5000),"TRUE","FALSE"),"TRUE")</f>
        <v>TRUE</v>
      </c>
      <c r="L27" s="91" t="str">
        <f>IF('1c_WaterHeating'!M9&gt;0,IF(AND(Calorific_Values!M9&lt;=30000,Calorific_Values!M9&gt;=5000),"TRUE","FALSE"),"TRUE")</f>
        <v>TRUE</v>
      </c>
      <c r="M27" s="91" t="str">
        <f>IF('1c_WaterHeating'!N9&gt;0,IF(AND(Calorific_Values!N9&lt;=30000,Calorific_Values!N9&gt;=5000),"TRUE","FALSE"),"TRUE")</f>
        <v>TRUE</v>
      </c>
      <c r="N27" s="91" t="str">
        <f>IF('1c_WaterHeating'!O9&gt;0,IF(AND(Calorific_Values!O9&lt;=30000,Calorific_Values!O9&gt;=5000),"TRUE","FALSE"),"TRUE")</f>
        <v>TRUE</v>
      </c>
    </row>
    <row r="28" spans="1:14" x14ac:dyDescent="0.25">
      <c r="A28" t="s">
        <v>153</v>
      </c>
      <c r="B28" t="s">
        <v>168</v>
      </c>
      <c r="C28" s="91" t="str">
        <f>IF('1c_WaterHeating'!D10&gt;0,IF(AND(Calorific_Values!D10&lt;=50000,Calorific_Values!D10&gt;=40000),"TRUE","FALSE"),"TRUE")</f>
        <v>TRUE</v>
      </c>
      <c r="D28" s="91" t="str">
        <f>IF('1c_WaterHeating'!E10&gt;0,IF(AND(Calorific_Values!E10&lt;=50000,Calorific_Values!E10&gt;=40000),"TRUE","FALSE"),"TRUE")</f>
        <v>TRUE</v>
      </c>
      <c r="E28" s="91" t="str">
        <f>IF('1c_WaterHeating'!F10&gt;0,IF(AND(Calorific_Values!F10&lt;=50000,Calorific_Values!F10&gt;=40000),"TRUE","FALSE"),"TRUE")</f>
        <v>TRUE</v>
      </c>
      <c r="F28" s="91" t="str">
        <f>IF('1c_WaterHeating'!G10&gt;0,IF(AND(Calorific_Values!G10&lt;=50000,Calorific_Values!G10&gt;=40000),"TRUE","FALSE"),"TRUE")</f>
        <v>TRUE</v>
      </c>
      <c r="G28" s="91" t="str">
        <f>IF('1c_WaterHeating'!H10&gt;0,IF(AND(Calorific_Values!H10&lt;=50000,Calorific_Values!H10&gt;=40000),"TRUE","FALSE"),"TRUE")</f>
        <v>TRUE</v>
      </c>
      <c r="H28" s="91" t="str">
        <f>IF('1c_WaterHeating'!I10&gt;0,IF(AND(Calorific_Values!I10&lt;=50000,Calorific_Values!I10&gt;=40000),"TRUE","FALSE"),"TRUE")</f>
        <v>TRUE</v>
      </c>
      <c r="I28" s="91" t="str">
        <f>IF('1c_WaterHeating'!J10&gt;0,IF(AND(Calorific_Values!J10&lt;=50000,Calorific_Values!J10&gt;=40000),"TRUE","FALSE"),"TRUE")</f>
        <v>TRUE</v>
      </c>
      <c r="J28" s="91" t="str">
        <f>IF('1c_WaterHeating'!K10&gt;0,IF(AND(Calorific_Values!K10&lt;=50000,Calorific_Values!K10&gt;=40000),"TRUE","FALSE"),"TRUE")</f>
        <v>TRUE</v>
      </c>
      <c r="K28" s="91" t="str">
        <f>IF('1c_WaterHeating'!L10&gt;0,IF(AND(Calorific_Values!L10&lt;=50000,Calorific_Values!L10&gt;=40000),"TRUE","FALSE"),"TRUE")</f>
        <v>TRUE</v>
      </c>
      <c r="L28" s="91" t="str">
        <f>IF('1c_WaterHeating'!M10&gt;0,IF(AND(Calorific_Values!M10&lt;=50000,Calorific_Values!M10&gt;=40000),"TRUE","FALSE"),"TRUE")</f>
        <v>TRUE</v>
      </c>
      <c r="M28" s="91" t="str">
        <f>IF('1c_WaterHeating'!N10&gt;0,IF(AND(Calorific_Values!N10&lt;=50000,Calorific_Values!N10&gt;=40000),"TRUE","FALSE"),"TRUE")</f>
        <v>TRUE</v>
      </c>
      <c r="N28" s="91" t="str">
        <f>IF('1c_WaterHeating'!O10&gt;0,IF(AND(Calorific_Values!O10&lt;=50000,Calorific_Values!O10&gt;=40000),"TRUE","FALSE"),"TRUE")</f>
        <v>TRUE</v>
      </c>
    </row>
    <row r="29" spans="1:14" x14ac:dyDescent="0.25">
      <c r="A29" t="s">
        <v>153</v>
      </c>
      <c r="B29" t="s">
        <v>164</v>
      </c>
      <c r="C29" s="91" t="str">
        <f>IF('1c_WaterHeating'!D11&gt;0,IF(AND(Calorific_Values!D11&lt;=50000,Calorific_Values!D11&gt;=4000),"TRUE","FALSE"),"TRUE")</f>
        <v>TRUE</v>
      </c>
      <c r="D29" s="91" t="str">
        <f>IF('1c_WaterHeating'!E11&gt;0,IF(AND(Calorific_Values!E11&lt;=50000,Calorific_Values!E11&gt;=4000),"TRUE","FALSE"),"TRUE")</f>
        <v>TRUE</v>
      </c>
      <c r="E29" s="91" t="str">
        <f>IF('1c_WaterHeating'!F11&gt;0,IF(AND(Calorific_Values!F11&lt;=50000,Calorific_Values!F11&gt;=4000),"TRUE","FALSE"),"TRUE")</f>
        <v>TRUE</v>
      </c>
      <c r="F29" s="91" t="str">
        <f>IF('1c_WaterHeating'!G11&gt;0,IF(AND(Calorific_Values!G11&lt;=50000,Calorific_Values!G11&gt;=4000),"TRUE","FALSE"),"TRUE")</f>
        <v>TRUE</v>
      </c>
      <c r="G29" s="91" t="str">
        <f>IF('1c_WaterHeating'!H11&gt;0,IF(AND(Calorific_Values!H11&lt;=50000,Calorific_Values!H11&gt;=4000),"TRUE","FALSE"),"TRUE")</f>
        <v>TRUE</v>
      </c>
      <c r="H29" s="91" t="str">
        <f>IF('1c_WaterHeating'!I11&gt;0,IF(AND(Calorific_Values!I11&lt;=50000,Calorific_Values!I11&gt;=4000),"TRUE","FALSE"),"TRUE")</f>
        <v>TRUE</v>
      </c>
      <c r="I29" s="91" t="str">
        <f>IF('1c_WaterHeating'!J11&gt;0,IF(AND(Calorific_Values!J11&lt;=50000,Calorific_Values!J11&gt;=4000),"TRUE","FALSE"),"TRUE")</f>
        <v>TRUE</v>
      </c>
      <c r="J29" s="91" t="str">
        <f>IF('1c_WaterHeating'!K11&gt;0,IF(AND(Calorific_Values!K11&lt;=50000,Calorific_Values!K11&gt;=4000),"TRUE","FALSE"),"TRUE")</f>
        <v>TRUE</v>
      </c>
      <c r="K29" s="91" t="str">
        <f>IF('1c_WaterHeating'!L11&gt;0,IF(AND(Calorific_Values!L11&lt;=50000,Calorific_Values!L11&gt;=4000),"TRUE","FALSE"),"TRUE")</f>
        <v>TRUE</v>
      </c>
      <c r="L29" s="91" t="str">
        <f>IF('1c_WaterHeating'!M11&gt;0,IF(AND(Calorific_Values!M11&lt;=50000,Calorific_Values!M11&gt;=4000),"TRUE","FALSE"),"TRUE")</f>
        <v>TRUE</v>
      </c>
      <c r="M29" s="91" t="str">
        <f>IF('1c_WaterHeating'!N11&gt;0,IF(AND(Calorific_Values!N11&lt;=50000,Calorific_Values!N11&gt;=4000),"TRUE","FALSE"),"TRUE")</f>
        <v>TRUE</v>
      </c>
      <c r="N29" s="91" t="str">
        <f>IF('1c_WaterHeating'!O11&gt;0,IF(AND(Calorific_Values!O11&lt;=50000,Calorific_Values!O11&gt;=4000),"TRUE","FALSE"),"TRUE")</f>
        <v>TRUE</v>
      </c>
    </row>
    <row r="30" spans="1:14" x14ac:dyDescent="0.25">
      <c r="A30" t="s">
        <v>153</v>
      </c>
      <c r="B30" t="s">
        <v>165</v>
      </c>
      <c r="C30" s="91" t="str">
        <f>IF('1c_WaterHeating'!D12&gt;0,IF(AND(Calorific_Values!D12&lt;=45000,Calorific_Values!D12&gt;=40000),"TRUE","FALSE"),"TRUE")</f>
        <v>TRUE</v>
      </c>
      <c r="D30" s="91" t="str">
        <f>IF('1c_WaterHeating'!E12&gt;0,IF(AND(Calorific_Values!E12&lt;=45000,Calorific_Values!E12&gt;=40000),"TRUE","FALSE"),"TRUE")</f>
        <v>TRUE</v>
      </c>
      <c r="E30" s="91" t="str">
        <f>IF('1c_WaterHeating'!F12&gt;0,IF(AND(Calorific_Values!F12&lt;=45000,Calorific_Values!F12&gt;=40000),"TRUE","FALSE"),"TRUE")</f>
        <v>TRUE</v>
      </c>
      <c r="F30" s="91" t="str">
        <f>IF('1c_WaterHeating'!G12&gt;0,IF(AND(Calorific_Values!G12&lt;=45000,Calorific_Values!G12&gt;=40000),"TRUE","FALSE"),"TRUE")</f>
        <v>TRUE</v>
      </c>
      <c r="G30" s="91" t="str">
        <f>IF('1c_WaterHeating'!H12&gt;0,IF(AND(Calorific_Values!H12&lt;=45000,Calorific_Values!H12&gt;=40000),"TRUE","FALSE"),"TRUE")</f>
        <v>TRUE</v>
      </c>
      <c r="H30" s="91" t="str">
        <f>IF('1c_WaterHeating'!I12&gt;0,IF(AND(Calorific_Values!I12&lt;=45000,Calorific_Values!I12&gt;=40000),"TRUE","FALSE"),"TRUE")</f>
        <v>TRUE</v>
      </c>
      <c r="I30" s="91" t="str">
        <f>IF('1c_WaterHeating'!J12&gt;0,IF(AND(Calorific_Values!J12&lt;=45000,Calorific_Values!J12&gt;=40000),"TRUE","FALSE"),"TRUE")</f>
        <v>TRUE</v>
      </c>
      <c r="J30" s="91" t="str">
        <f>IF('1c_WaterHeating'!K12&gt;0,IF(AND(Calorific_Values!K12&lt;=45000,Calorific_Values!K12&gt;=40000),"TRUE","FALSE"),"TRUE")</f>
        <v>TRUE</v>
      </c>
      <c r="K30" s="91" t="str">
        <f>IF('1c_WaterHeating'!L12&gt;0,IF(AND(Calorific_Values!L12&lt;=45000,Calorific_Values!L12&gt;=40000),"TRUE","FALSE"),"TRUE")</f>
        <v>TRUE</v>
      </c>
      <c r="L30" s="91" t="str">
        <f>IF('1c_WaterHeating'!M12&gt;0,IF(AND(Calorific_Values!M12&lt;=45000,Calorific_Values!M12&gt;=40000),"TRUE","FALSE"),"TRUE")</f>
        <v>TRUE</v>
      </c>
      <c r="M30" s="91" t="str">
        <f>IF('1c_WaterHeating'!N12&gt;0,IF(AND(Calorific_Values!N12&lt;=45000,Calorific_Values!N12&gt;=40000),"TRUE","FALSE"),"TRUE")</f>
        <v>TRUE</v>
      </c>
      <c r="N30" s="91" t="str">
        <f>IF('1c_WaterHeating'!O12&gt;0,IF(AND(Calorific_Values!O12&lt;=45000,Calorific_Values!O12&gt;=40000),"TRUE","FALSE"),"TRUE")</f>
        <v>TRUE</v>
      </c>
    </row>
    <row r="31" spans="1:14" x14ac:dyDescent="0.25">
      <c r="A31" t="s">
        <v>153</v>
      </c>
      <c r="B31" t="s">
        <v>166</v>
      </c>
      <c r="C31" s="91" t="str">
        <f>IF('1c_WaterHeating'!D13&gt;0,IF(AND(Calorific_Values!D13&lt;=45000,Calorific_Values!D13&gt;=40000),"TRUE","FALSE"),"TRUE")</f>
        <v>TRUE</v>
      </c>
      <c r="D31" s="91" t="str">
        <f>IF('1c_WaterHeating'!E13&gt;0,IF(AND(Calorific_Values!E13&lt;=45000,Calorific_Values!E13&gt;=40000),"TRUE","FALSE"),"TRUE")</f>
        <v>TRUE</v>
      </c>
      <c r="E31" s="91" t="str">
        <f>IF('1c_WaterHeating'!F13&gt;0,IF(AND(Calorific_Values!F13&lt;=45000,Calorific_Values!F13&gt;=40000),"TRUE","FALSE"),"TRUE")</f>
        <v>TRUE</v>
      </c>
      <c r="F31" s="91" t="str">
        <f>IF('1c_WaterHeating'!G13&gt;0,IF(AND(Calorific_Values!G13&lt;=45000,Calorific_Values!G13&gt;=40000),"TRUE","FALSE"),"TRUE")</f>
        <v>TRUE</v>
      </c>
      <c r="G31" s="91" t="str">
        <f>IF('1c_WaterHeating'!H13&gt;0,IF(AND(Calorific_Values!H13&lt;=45000,Calorific_Values!H13&gt;=40000),"TRUE","FALSE"),"TRUE")</f>
        <v>TRUE</v>
      </c>
      <c r="H31" s="91" t="str">
        <f>IF('1c_WaterHeating'!I13&gt;0,IF(AND(Calorific_Values!I13&lt;=45000,Calorific_Values!I13&gt;=40000),"TRUE","FALSE"),"TRUE")</f>
        <v>TRUE</v>
      </c>
      <c r="I31" s="91" t="str">
        <f>IF('1c_WaterHeating'!J13&gt;0,IF(AND(Calorific_Values!J13&lt;=45000,Calorific_Values!J13&gt;=40000),"TRUE","FALSE"),"TRUE")</f>
        <v>TRUE</v>
      </c>
      <c r="J31" s="91" t="str">
        <f>IF('1c_WaterHeating'!K13&gt;0,IF(AND(Calorific_Values!K13&lt;=45000,Calorific_Values!K13&gt;=40000),"TRUE","FALSE"),"TRUE")</f>
        <v>TRUE</v>
      </c>
      <c r="K31" s="91" t="str">
        <f>IF('1c_WaterHeating'!L13&gt;0,IF(AND(Calorific_Values!L13&lt;=45000,Calorific_Values!L13&gt;=40000),"TRUE","FALSE"),"TRUE")</f>
        <v>TRUE</v>
      </c>
      <c r="L31" s="91" t="str">
        <f>IF('1c_WaterHeating'!M13&gt;0,IF(AND(Calorific_Values!M13&lt;=45000,Calorific_Values!M13&gt;=40000),"TRUE","FALSE"),"TRUE")</f>
        <v>TRUE</v>
      </c>
      <c r="M31" s="91" t="str">
        <f>IF('1c_WaterHeating'!N13&gt;0,IF(AND(Calorific_Values!N13&lt;=45000,Calorific_Values!N13&gt;=40000),"TRUE","FALSE"),"TRUE")</f>
        <v>TRUE</v>
      </c>
      <c r="N31" s="91" t="str">
        <f>IF('1c_WaterHeating'!O13&gt;0,IF(AND(Calorific_Values!O13&lt;=45000,Calorific_Values!O13&gt;=40000),"TRUE","FALSE"),"TRUE")</f>
        <v>TRUE</v>
      </c>
    </row>
    <row r="32" spans="1:14" x14ac:dyDescent="0.25">
      <c r="A32" t="s">
        <v>154</v>
      </c>
      <c r="B32" t="s">
        <v>167</v>
      </c>
      <c r="C32" s="91" t="str">
        <f>IF('1d_Cooking'!D9&gt;0,IF(AND(Calorific_Values!D9&lt;=30000,Calorific_Values!D9&gt;=5000),"TRUE","FALSE"),"TRUE")</f>
        <v>TRUE</v>
      </c>
      <c r="D32" s="91" t="str">
        <f>IF('1d_Cooking'!E9&gt;0,IF(AND(Calorific_Values!E9&lt;=30000,Calorific_Values!E9&gt;=5000),"TRUE","FALSE"),"TRUE")</f>
        <v>TRUE</v>
      </c>
      <c r="E32" s="91" t="str">
        <f>IF('1d_Cooking'!F9&gt;0,IF(AND(Calorific_Values!F9&lt;=30000,Calorific_Values!F9&gt;=5000),"TRUE","FALSE"),"TRUE")</f>
        <v>TRUE</v>
      </c>
      <c r="F32" s="91" t="str">
        <f>IF('1d_Cooking'!G9&gt;0,IF(AND(Calorific_Values!G9&lt;=30000,Calorific_Values!G9&gt;=5000),"TRUE","FALSE"),"TRUE")</f>
        <v>TRUE</v>
      </c>
      <c r="G32" s="91" t="str">
        <f>IF('1d_Cooking'!H9&gt;0,IF(AND(Calorific_Values!H9&lt;=30000,Calorific_Values!H9&gt;=5000),"TRUE","FALSE"),"TRUE")</f>
        <v>TRUE</v>
      </c>
      <c r="H32" s="91" t="str">
        <f>IF('1d_Cooking'!I9&gt;0,IF(AND(Calorific_Values!I9&lt;=30000,Calorific_Values!I9&gt;=5000),"TRUE","FALSE"),"TRUE")</f>
        <v>TRUE</v>
      </c>
      <c r="I32" s="91" t="str">
        <f>IF('1d_Cooking'!J9&gt;0,IF(AND(Calorific_Values!J9&lt;=30000,Calorific_Values!J9&gt;=5000),"TRUE","FALSE"),"TRUE")</f>
        <v>TRUE</v>
      </c>
      <c r="J32" s="91" t="str">
        <f>IF('1d_Cooking'!K9&gt;0,IF(AND(Calorific_Values!K9&lt;=30000,Calorific_Values!K9&gt;=5000),"TRUE","FALSE"),"TRUE")</f>
        <v>TRUE</v>
      </c>
      <c r="K32" s="91" t="str">
        <f>IF('1d_Cooking'!L9&gt;0,IF(AND(Calorific_Values!L9&lt;=30000,Calorific_Values!L9&gt;=5000),"TRUE","FALSE"),"TRUE")</f>
        <v>TRUE</v>
      </c>
      <c r="L32" s="91" t="str">
        <f>IF('1d_Cooking'!M9&gt;0,IF(AND(Calorific_Values!M9&lt;=30000,Calorific_Values!M9&gt;=5000),"TRUE","FALSE"),"TRUE")</f>
        <v>TRUE</v>
      </c>
      <c r="M32" s="91" t="str">
        <f>IF('1d_Cooking'!N9&gt;0,IF(AND(Calorific_Values!N9&lt;=30000,Calorific_Values!N9&gt;=5000),"TRUE","FALSE"),"TRUE")</f>
        <v>TRUE</v>
      </c>
      <c r="N32" s="91" t="str">
        <f>IF('1d_Cooking'!O9&gt;0,IF(AND(Calorific_Values!O9&lt;=30000,Calorific_Values!O9&gt;=5000),"TRUE","FALSE"),"TRUE")</f>
        <v>TRUE</v>
      </c>
    </row>
    <row r="33" spans="1:14" x14ac:dyDescent="0.25">
      <c r="A33" t="s">
        <v>154</v>
      </c>
      <c r="B33" t="s">
        <v>168</v>
      </c>
      <c r="C33" s="91" t="str">
        <f>IF('1d_Cooking'!D10&gt;0,IF(AND(Calorific_Values!D10&lt;=50000,Calorific_Values!D10&gt;=40000),"TRUE","FALSE"),"TRUE")</f>
        <v>TRUE</v>
      </c>
      <c r="D33" s="91" t="str">
        <f>IF('1d_Cooking'!E10&gt;0,IF(AND(Calorific_Values!E10&lt;=50000,Calorific_Values!E10&gt;=40000),"TRUE","FALSE"),"TRUE")</f>
        <v>TRUE</v>
      </c>
      <c r="E33" s="91" t="str">
        <f>IF('1d_Cooking'!F10&gt;0,IF(AND(Calorific_Values!F10&lt;=50000,Calorific_Values!F10&gt;=40000),"TRUE","FALSE"),"TRUE")</f>
        <v>TRUE</v>
      </c>
      <c r="F33" s="91" t="str">
        <f>IF('1d_Cooking'!G10&gt;0,IF(AND(Calorific_Values!G10&lt;=50000,Calorific_Values!G10&gt;=40000),"TRUE","FALSE"),"TRUE")</f>
        <v>TRUE</v>
      </c>
      <c r="G33" s="91" t="str">
        <f>IF('1d_Cooking'!H10&gt;0,IF(AND(Calorific_Values!H10&lt;=50000,Calorific_Values!H10&gt;=40000),"TRUE","FALSE"),"TRUE")</f>
        <v>TRUE</v>
      </c>
      <c r="H33" s="91" t="str">
        <f>IF('1d_Cooking'!I10&gt;0,IF(AND(Calorific_Values!I10&lt;=50000,Calorific_Values!I10&gt;=40000),"TRUE","FALSE"),"TRUE")</f>
        <v>TRUE</v>
      </c>
      <c r="I33" s="91" t="str">
        <f>IF('1d_Cooking'!J10&gt;0,IF(AND(Calorific_Values!J10&lt;=50000,Calorific_Values!J10&gt;=40000),"TRUE","FALSE"),"TRUE")</f>
        <v>TRUE</v>
      </c>
      <c r="J33" s="91" t="str">
        <f>IF('1d_Cooking'!K10&gt;0,IF(AND(Calorific_Values!K10&lt;=50000,Calorific_Values!K10&gt;=40000),"TRUE","FALSE"),"TRUE")</f>
        <v>TRUE</v>
      </c>
      <c r="K33" s="91" t="str">
        <f>IF('1d_Cooking'!L10&gt;0,IF(AND(Calorific_Values!L10&lt;=50000,Calorific_Values!L10&gt;=40000),"TRUE","FALSE"),"TRUE")</f>
        <v>TRUE</v>
      </c>
      <c r="L33" s="91" t="str">
        <f>IF('1d_Cooking'!M10&gt;0,IF(AND(Calorific_Values!M10&lt;=50000,Calorific_Values!M10&gt;=40000),"TRUE","FALSE"),"TRUE")</f>
        <v>TRUE</v>
      </c>
      <c r="M33" s="91" t="str">
        <f>IF('1d_Cooking'!N10&gt;0,IF(AND(Calorific_Values!N10&lt;=50000,Calorific_Values!N10&gt;=40000),"TRUE","FALSE"),"TRUE")</f>
        <v>TRUE</v>
      </c>
      <c r="N33" s="91" t="str">
        <f>IF('1d_Cooking'!O10&gt;0,IF(AND(Calorific_Values!O10&lt;=50000,Calorific_Values!O10&gt;=40000),"TRUE","FALSE"),"TRUE")</f>
        <v>TRUE</v>
      </c>
    </row>
    <row r="34" spans="1:14" x14ac:dyDescent="0.25">
      <c r="A34" t="s">
        <v>154</v>
      </c>
      <c r="B34" t="s">
        <v>164</v>
      </c>
      <c r="C34" s="91" t="str">
        <f>IF('1d_Cooking'!D11&gt;0,IF(AND(Calorific_Values!D11&lt;=50000,Calorific_Values!D11&gt;=4000),"TRUE","FALSE"),"TRUE")</f>
        <v>TRUE</v>
      </c>
      <c r="D34" s="91" t="str">
        <f>IF('1d_Cooking'!E11&gt;0,IF(AND(Calorific_Values!E11&lt;=50000,Calorific_Values!E11&gt;=4000),"TRUE","FALSE"),"TRUE")</f>
        <v>TRUE</v>
      </c>
      <c r="E34" s="91" t="str">
        <f>IF('1d_Cooking'!F11&gt;0,IF(AND(Calorific_Values!F11&lt;=50000,Calorific_Values!F11&gt;=4000),"TRUE","FALSE"),"TRUE")</f>
        <v>TRUE</v>
      </c>
      <c r="F34" s="91" t="str">
        <f>IF('1d_Cooking'!G11&gt;0,IF(AND(Calorific_Values!G11&lt;=50000,Calorific_Values!G11&gt;=4000),"TRUE","FALSE"),"TRUE")</f>
        <v>TRUE</v>
      </c>
      <c r="G34" s="91" t="str">
        <f>IF('1d_Cooking'!H11&gt;0,IF(AND(Calorific_Values!H11&lt;=50000,Calorific_Values!H11&gt;=4000),"TRUE","FALSE"),"TRUE")</f>
        <v>TRUE</v>
      </c>
      <c r="H34" s="91" t="str">
        <f>IF('1d_Cooking'!I11&gt;0,IF(AND(Calorific_Values!I11&lt;=50000,Calorific_Values!I11&gt;=4000),"TRUE","FALSE"),"TRUE")</f>
        <v>TRUE</v>
      </c>
      <c r="I34" s="91" t="str">
        <f>IF('1d_Cooking'!J11&gt;0,IF(AND(Calorific_Values!J11&lt;=50000,Calorific_Values!J11&gt;=4000),"TRUE","FALSE"),"TRUE")</f>
        <v>TRUE</v>
      </c>
      <c r="J34" s="91" t="str">
        <f>IF('1d_Cooking'!K11&gt;0,IF(AND(Calorific_Values!K11&lt;=50000,Calorific_Values!K11&gt;=4000),"TRUE","FALSE"),"TRUE")</f>
        <v>TRUE</v>
      </c>
      <c r="K34" s="91" t="str">
        <f>IF('1d_Cooking'!L11&gt;0,IF(AND(Calorific_Values!L11&lt;=50000,Calorific_Values!L11&gt;=4000),"TRUE","FALSE"),"TRUE")</f>
        <v>TRUE</v>
      </c>
      <c r="L34" s="91" t="str">
        <f>IF('1d_Cooking'!M11&gt;0,IF(AND(Calorific_Values!M11&lt;=50000,Calorific_Values!M11&gt;=4000),"TRUE","FALSE"),"TRUE")</f>
        <v>TRUE</v>
      </c>
      <c r="M34" s="91" t="str">
        <f>IF('1d_Cooking'!N11&gt;0,IF(AND(Calorific_Values!N11&lt;=50000,Calorific_Values!N11&gt;=4000),"TRUE","FALSE"),"TRUE")</f>
        <v>TRUE</v>
      </c>
      <c r="N34" s="91" t="str">
        <f>IF('1d_Cooking'!O11&gt;0,IF(AND(Calorific_Values!O11&lt;=50000,Calorific_Values!O11&gt;=4000),"TRUE","FALSE"),"TRUE")</f>
        <v>TRUE</v>
      </c>
    </row>
    <row r="35" spans="1:14" x14ac:dyDescent="0.25">
      <c r="A35" t="s">
        <v>154</v>
      </c>
      <c r="B35" t="s">
        <v>165</v>
      </c>
      <c r="C35" s="91" t="str">
        <f>IF('1d_Cooking'!D12&gt;0,IF(AND(Calorific_Values!D12&lt;=45000,Calorific_Values!D12&gt;=40000),"TRUE","FALSE"),"TRUE")</f>
        <v>TRUE</v>
      </c>
      <c r="D35" s="91" t="str">
        <f>IF('1d_Cooking'!E12&gt;0,IF(AND(Calorific_Values!E12&lt;=45000,Calorific_Values!E12&gt;=40000),"TRUE","FALSE"),"TRUE")</f>
        <v>TRUE</v>
      </c>
      <c r="E35" s="91" t="str">
        <f>IF('1d_Cooking'!F12&gt;0,IF(AND(Calorific_Values!F12&lt;=45000,Calorific_Values!F12&gt;=40000),"TRUE","FALSE"),"TRUE")</f>
        <v>TRUE</v>
      </c>
      <c r="F35" s="91" t="str">
        <f>IF('1d_Cooking'!G12&gt;0,IF(AND(Calorific_Values!G12&lt;=45000,Calorific_Values!G12&gt;=40000),"TRUE","FALSE"),"TRUE")</f>
        <v>TRUE</v>
      </c>
      <c r="G35" s="91" t="str">
        <f>IF('1d_Cooking'!H12&gt;0,IF(AND(Calorific_Values!H12&lt;=45000,Calorific_Values!H12&gt;=40000),"TRUE","FALSE"),"TRUE")</f>
        <v>TRUE</v>
      </c>
      <c r="H35" s="91" t="str">
        <f>IF('1d_Cooking'!I12&gt;0,IF(AND(Calorific_Values!I12&lt;=45000,Calorific_Values!I12&gt;=40000),"TRUE","FALSE"),"TRUE")</f>
        <v>TRUE</v>
      </c>
      <c r="I35" s="91" t="str">
        <f>IF('1d_Cooking'!J12&gt;0,IF(AND(Calorific_Values!J12&lt;=45000,Calorific_Values!J12&gt;=40000),"TRUE","FALSE"),"TRUE")</f>
        <v>TRUE</v>
      </c>
      <c r="J35" s="91" t="str">
        <f>IF('1d_Cooking'!K12&gt;0,IF(AND(Calorific_Values!K12&lt;=45000,Calorific_Values!K12&gt;=40000),"TRUE","FALSE"),"TRUE")</f>
        <v>TRUE</v>
      </c>
      <c r="K35" s="91" t="str">
        <f>IF('1d_Cooking'!L12&gt;0,IF(AND(Calorific_Values!L12&lt;=45000,Calorific_Values!L12&gt;=40000),"TRUE","FALSE"),"TRUE")</f>
        <v>TRUE</v>
      </c>
      <c r="L35" s="91" t="str">
        <f>IF('1d_Cooking'!M12&gt;0,IF(AND(Calorific_Values!M12&lt;=45000,Calorific_Values!M12&gt;=40000),"TRUE","FALSE"),"TRUE")</f>
        <v>TRUE</v>
      </c>
      <c r="M35" s="91" t="str">
        <f>IF('1d_Cooking'!N12&gt;0,IF(AND(Calorific_Values!N12&lt;=45000,Calorific_Values!N12&gt;=40000),"TRUE","FALSE"),"TRUE")</f>
        <v>TRUE</v>
      </c>
      <c r="N35" s="91" t="str">
        <f>IF('1d_Cooking'!O12&gt;0,IF(AND(Calorific_Values!O12&lt;=45000,Calorific_Values!O12&gt;=40000),"TRUE","FALSE"),"TRUE")</f>
        <v>TRUE</v>
      </c>
    </row>
    <row r="36" spans="1:14" x14ac:dyDescent="0.25">
      <c r="A36" t="s">
        <v>154</v>
      </c>
      <c r="B36" t="s">
        <v>166</v>
      </c>
      <c r="C36" s="91" t="str">
        <f>IF('1d_Cooking'!D13&gt;0,IF(AND(Calorific_Values!D13&lt;=45000,Calorific_Values!D13&gt;=40000),"TRUE","FALSE"),"TRUE")</f>
        <v>TRUE</v>
      </c>
      <c r="D36" s="91" t="str">
        <f>IF('1d_Cooking'!E13&gt;0,IF(AND(Calorific_Values!E13&lt;=45000,Calorific_Values!E13&gt;=40000),"TRUE","FALSE"),"TRUE")</f>
        <v>TRUE</v>
      </c>
      <c r="E36" s="91" t="str">
        <f>IF('1d_Cooking'!F13&gt;0,IF(AND(Calorific_Values!F13&lt;=45000,Calorific_Values!F13&gt;=40000),"TRUE","FALSE"),"TRUE")</f>
        <v>TRUE</v>
      </c>
      <c r="F36" s="91" t="str">
        <f>IF('1d_Cooking'!G13&gt;0,IF(AND(Calorific_Values!G13&lt;=45000,Calorific_Values!G13&gt;=40000),"TRUE","FALSE"),"TRUE")</f>
        <v>TRUE</v>
      </c>
      <c r="G36" s="91" t="str">
        <f>IF('1d_Cooking'!H13&gt;0,IF(AND(Calorific_Values!H13&lt;=45000,Calorific_Values!H13&gt;=40000),"TRUE","FALSE"),"TRUE")</f>
        <v>TRUE</v>
      </c>
      <c r="H36" s="91" t="str">
        <f>IF('1d_Cooking'!I13&gt;0,IF(AND(Calorific_Values!I13&lt;=45000,Calorific_Values!I13&gt;=40000),"TRUE","FALSE"),"TRUE")</f>
        <v>TRUE</v>
      </c>
      <c r="I36" s="91" t="str">
        <f>IF('1d_Cooking'!J13&gt;0,IF(AND(Calorific_Values!J13&lt;=45000,Calorific_Values!J13&gt;=40000),"TRUE","FALSE"),"TRUE")</f>
        <v>TRUE</v>
      </c>
      <c r="J36" s="91" t="str">
        <f>IF('1d_Cooking'!K13&gt;0,IF(AND(Calorific_Values!K13&lt;=45000,Calorific_Values!K13&gt;=40000),"TRUE","FALSE"),"TRUE")</f>
        <v>TRUE</v>
      </c>
      <c r="K36" s="91" t="str">
        <f>IF('1d_Cooking'!L13&gt;0,IF(AND(Calorific_Values!L13&lt;=45000,Calorific_Values!L13&gt;=40000),"TRUE","FALSE"),"TRUE")</f>
        <v>TRUE</v>
      </c>
      <c r="L36" s="91" t="str">
        <f>IF('1d_Cooking'!M13&gt;0,IF(AND(Calorific_Values!M13&lt;=45000,Calorific_Values!M13&gt;=40000),"TRUE","FALSE"),"TRUE")</f>
        <v>TRUE</v>
      </c>
      <c r="M36" s="91" t="str">
        <f>IF('1d_Cooking'!N13&gt;0,IF(AND(Calorific_Values!N13&lt;=45000,Calorific_Values!N13&gt;=40000),"TRUE","FALSE"),"TRUE")</f>
        <v>TRUE</v>
      </c>
      <c r="N36" s="91" t="str">
        <f>IF('1d_Cooking'!O13&gt;0,IF(AND(Calorific_Values!O13&lt;=45000,Calorific_Values!O13&gt;=40000),"TRUE","FALSE"),"TRUE")</f>
        <v>TRUE</v>
      </c>
    </row>
    <row r="37" spans="1:14" x14ac:dyDescent="0.25">
      <c r="A37" t="s">
        <v>155</v>
      </c>
      <c r="B37" t="s">
        <v>167</v>
      </c>
      <c r="C37" s="91" t="str">
        <f>IF('1f_OtherEndUses'!D9&gt;0,IF(AND(Calorific_Values!D9&lt;=30000,Calorific_Values!D9&gt;=5000),"TRUE","FALSE"),"TRUE")</f>
        <v>TRUE</v>
      </c>
      <c r="D37" s="91" t="str">
        <f>IF('1f_OtherEndUses'!E9&gt;0,IF(AND(Calorific_Values!E9&lt;=30000,Calorific_Values!E9&gt;=5000),"TRUE","FALSE"),"TRUE")</f>
        <v>TRUE</v>
      </c>
      <c r="E37" s="91" t="str">
        <f>IF('1f_OtherEndUses'!F9&gt;0,IF(AND(Calorific_Values!F9&lt;=30000,Calorific_Values!F9&gt;=5000),"TRUE","FALSE"),"TRUE")</f>
        <v>TRUE</v>
      </c>
      <c r="F37" s="91" t="str">
        <f>IF('1f_OtherEndUses'!G9&gt;0,IF(AND(Calorific_Values!G9&lt;=30000,Calorific_Values!G9&gt;=5000),"TRUE","FALSE"),"TRUE")</f>
        <v>TRUE</v>
      </c>
      <c r="G37" s="91" t="str">
        <f>IF('1f_OtherEndUses'!H9&gt;0,IF(AND(Calorific_Values!H9&lt;=30000,Calorific_Values!H9&gt;=5000),"TRUE","FALSE"),"TRUE")</f>
        <v>TRUE</v>
      </c>
      <c r="H37" s="91" t="str">
        <f>IF('1f_OtherEndUses'!I9&gt;0,IF(AND(Calorific_Values!I9&lt;=30000,Calorific_Values!I9&gt;=5000),"TRUE","FALSE"),"TRUE")</f>
        <v>TRUE</v>
      </c>
      <c r="I37" s="91" t="str">
        <f>IF('1f_OtherEndUses'!J9&gt;0,IF(AND(Calorific_Values!J9&lt;=30000,Calorific_Values!J9&gt;=5000),"TRUE","FALSE"),"TRUE")</f>
        <v>TRUE</v>
      </c>
      <c r="J37" s="91" t="str">
        <f>IF('1f_OtherEndUses'!K9&gt;0,IF(AND(Calorific_Values!K9&lt;=30000,Calorific_Values!K9&gt;=5000),"TRUE","FALSE"),"TRUE")</f>
        <v>TRUE</v>
      </c>
      <c r="K37" s="91" t="str">
        <f>IF('1f_OtherEndUses'!L9&gt;0,IF(AND(Calorific_Values!L9&lt;=30000,Calorific_Values!L9&gt;=5000),"TRUE","FALSE"),"TRUE")</f>
        <v>TRUE</v>
      </c>
      <c r="L37" s="91" t="str">
        <f>IF('1f_OtherEndUses'!M9&gt;0,IF(AND(Calorific_Values!M9&lt;=30000,Calorific_Values!M9&gt;=5000),"TRUE","FALSE"),"TRUE")</f>
        <v>TRUE</v>
      </c>
      <c r="M37" s="91" t="str">
        <f>IF('1f_OtherEndUses'!N9&gt;0,IF(AND(Calorific_Values!N9&lt;=30000,Calorific_Values!N9&gt;=5000),"TRUE","FALSE"),"TRUE")</f>
        <v>TRUE</v>
      </c>
      <c r="N37" s="91" t="str">
        <f>IF('1f_OtherEndUses'!O9&gt;0,IF(AND(Calorific_Values!O9&lt;=30000,Calorific_Values!O9&gt;=5000),"TRUE","FALSE"),"TRUE")</f>
        <v>TRUE</v>
      </c>
    </row>
    <row r="38" spans="1:14" x14ac:dyDescent="0.25">
      <c r="A38" t="s">
        <v>155</v>
      </c>
      <c r="B38" t="s">
        <v>168</v>
      </c>
      <c r="C38" s="91" t="str">
        <f>IF('1f_OtherEndUses'!D10&gt;0,IF(AND(Calorific_Values!D10&lt;=50000,Calorific_Values!D10&gt;=40000),"TRUE","FALSE"),"TRUE")</f>
        <v>TRUE</v>
      </c>
      <c r="D38" s="91" t="str">
        <f>IF('1f_OtherEndUses'!E10&gt;0,IF(AND(Calorific_Values!E10&lt;=50000,Calorific_Values!E10&gt;=40000),"TRUE","FALSE"),"TRUE")</f>
        <v>TRUE</v>
      </c>
      <c r="E38" s="91" t="str">
        <f>IF('1f_OtherEndUses'!F10&gt;0,IF(AND(Calorific_Values!F10&lt;=50000,Calorific_Values!F10&gt;=40000),"TRUE","FALSE"),"TRUE")</f>
        <v>TRUE</v>
      </c>
      <c r="F38" s="91" t="str">
        <f>IF('1f_OtherEndUses'!G10&gt;0,IF(AND(Calorific_Values!G10&lt;=50000,Calorific_Values!G10&gt;=40000),"TRUE","FALSE"),"TRUE")</f>
        <v>TRUE</v>
      </c>
      <c r="G38" s="91" t="str">
        <f>IF('1f_OtherEndUses'!H10&gt;0,IF(AND(Calorific_Values!H10&lt;=50000,Calorific_Values!H10&gt;=40000),"TRUE","FALSE"),"TRUE")</f>
        <v>TRUE</v>
      </c>
      <c r="H38" s="91" t="str">
        <f>IF('1f_OtherEndUses'!I10&gt;0,IF(AND(Calorific_Values!I10&lt;=50000,Calorific_Values!I10&gt;=40000),"TRUE","FALSE"),"TRUE")</f>
        <v>TRUE</v>
      </c>
      <c r="I38" s="91" t="str">
        <f>IF('1f_OtherEndUses'!J10&gt;0,IF(AND(Calorific_Values!J10&lt;=50000,Calorific_Values!J10&gt;=40000),"TRUE","FALSE"),"TRUE")</f>
        <v>TRUE</v>
      </c>
      <c r="J38" s="91" t="str">
        <f>IF('1f_OtherEndUses'!K10&gt;0,IF(AND(Calorific_Values!K10&lt;=50000,Calorific_Values!K10&gt;=40000),"TRUE","FALSE"),"TRUE")</f>
        <v>TRUE</v>
      </c>
      <c r="K38" s="91" t="str">
        <f>IF('1f_OtherEndUses'!L10&gt;0,IF(AND(Calorific_Values!L10&lt;=50000,Calorific_Values!L10&gt;=40000),"TRUE","FALSE"),"TRUE")</f>
        <v>TRUE</v>
      </c>
      <c r="L38" s="91" t="str">
        <f>IF('1f_OtherEndUses'!M10&gt;0,IF(AND(Calorific_Values!M10&lt;=50000,Calorific_Values!M10&gt;=40000),"TRUE","FALSE"),"TRUE")</f>
        <v>TRUE</v>
      </c>
      <c r="M38" s="91" t="str">
        <f>IF('1f_OtherEndUses'!N10&gt;0,IF(AND(Calorific_Values!N10&lt;=50000,Calorific_Values!N10&gt;=40000),"TRUE","FALSE"),"TRUE")</f>
        <v>TRUE</v>
      </c>
      <c r="N38" s="91" t="str">
        <f>IF('1f_OtherEndUses'!O10&gt;0,IF(AND(Calorific_Values!O10&lt;=50000,Calorific_Values!O10&gt;=40000),"TRUE","FALSE"),"TRUE")</f>
        <v>TRUE</v>
      </c>
    </row>
    <row r="39" spans="1:14" x14ac:dyDescent="0.25">
      <c r="A39" t="s">
        <v>155</v>
      </c>
      <c r="B39" t="s">
        <v>164</v>
      </c>
      <c r="C39" s="91" t="str">
        <f>IF('1f_OtherEndUses'!D11&gt;0,IF(AND(Calorific_Values!D11&lt;=50000,Calorific_Values!D11&gt;=40000),"TRUE","FALSE"),"TRUE")</f>
        <v>TRUE</v>
      </c>
      <c r="D39" s="91" t="str">
        <f>IF('1f_OtherEndUses'!E11&gt;0,IF(AND(Calorific_Values!E11&lt;=50000,Calorific_Values!E11&gt;=40000),"TRUE","FALSE"),"TRUE")</f>
        <v>TRUE</v>
      </c>
      <c r="E39" s="91" t="str">
        <f>IF('1f_OtherEndUses'!F11&gt;0,IF(AND(Calorific_Values!F11&lt;=50000,Calorific_Values!F11&gt;=40000),"TRUE","FALSE"),"TRUE")</f>
        <v>TRUE</v>
      </c>
      <c r="F39" s="91" t="str">
        <f>IF('1f_OtherEndUses'!G11&gt;0,IF(AND(Calorific_Values!G11&lt;=50000,Calorific_Values!G11&gt;=40000),"TRUE","FALSE"),"TRUE")</f>
        <v>TRUE</v>
      </c>
      <c r="G39" s="91" t="str">
        <f>IF('1f_OtherEndUses'!H11&gt;0,IF(AND(Calorific_Values!H11&lt;=50000,Calorific_Values!H11&gt;=40000),"TRUE","FALSE"),"TRUE")</f>
        <v>TRUE</v>
      </c>
      <c r="H39" s="91" t="str">
        <f>IF('1f_OtherEndUses'!I11&gt;0,IF(AND(Calorific_Values!I11&lt;=50000,Calorific_Values!I11&gt;=40000),"TRUE","FALSE"),"TRUE")</f>
        <v>TRUE</v>
      </c>
      <c r="I39" s="91" t="str">
        <f>IF('1f_OtherEndUses'!J11&gt;0,IF(AND(Calorific_Values!J11&lt;=50000,Calorific_Values!J11&gt;=40000),"TRUE","FALSE"),"TRUE")</f>
        <v>TRUE</v>
      </c>
      <c r="J39" s="91" t="str">
        <f>IF('1f_OtherEndUses'!K11&gt;0,IF(AND(Calorific_Values!K11&lt;=50000,Calorific_Values!K11&gt;=40000),"TRUE","FALSE"),"TRUE")</f>
        <v>TRUE</v>
      </c>
      <c r="K39" s="91" t="str">
        <f>IF('1f_OtherEndUses'!L11&gt;0,IF(AND(Calorific_Values!L11&lt;=50000,Calorific_Values!L11&gt;=40000),"TRUE","FALSE"),"TRUE")</f>
        <v>TRUE</v>
      </c>
      <c r="L39" s="91" t="str">
        <f>IF('1f_OtherEndUses'!M11&gt;0,IF(AND(Calorific_Values!M11&lt;=50000,Calorific_Values!M11&gt;=40000),"TRUE","FALSE"),"TRUE")</f>
        <v>TRUE</v>
      </c>
      <c r="M39" s="91" t="str">
        <f>IF('1f_OtherEndUses'!N11&gt;0,IF(AND(Calorific_Values!N11&lt;=50000,Calorific_Values!N11&gt;=40000),"TRUE","FALSE"),"TRUE")</f>
        <v>TRUE</v>
      </c>
      <c r="N39" s="91" t="str">
        <f>IF('1f_OtherEndUses'!O11&gt;0,IF(AND(Calorific_Values!O11&lt;=50000,Calorific_Values!O11&gt;=40000),"TRUE","FALSE"),"TRUE")</f>
        <v>TRUE</v>
      </c>
    </row>
    <row r="40" spans="1:14" x14ac:dyDescent="0.25">
      <c r="A40" t="s">
        <v>155</v>
      </c>
      <c r="B40" t="s">
        <v>165</v>
      </c>
      <c r="C40" s="91" t="str">
        <f>IF('1f_OtherEndUses'!D12&gt;0,IF(AND(Calorific_Values!D12&lt;=45000,Calorific_Values!D12&gt;=40000),"TRUE","FALSE"),"TRUE")</f>
        <v>TRUE</v>
      </c>
      <c r="D40" s="91" t="str">
        <f>IF('1f_OtherEndUses'!E12&gt;0,IF(AND(Calorific_Values!E12&lt;=45000,Calorific_Values!E12&gt;=40000),"TRUE","FALSE"),"TRUE")</f>
        <v>TRUE</v>
      </c>
      <c r="E40" s="91" t="str">
        <f>IF('1f_OtherEndUses'!F12&gt;0,IF(AND(Calorific_Values!F12&lt;=45000,Calorific_Values!F12&gt;=40000),"TRUE","FALSE"),"TRUE")</f>
        <v>TRUE</v>
      </c>
      <c r="F40" s="91" t="str">
        <f>IF('1f_OtherEndUses'!G12&gt;0,IF(AND(Calorific_Values!G12&lt;=45000,Calorific_Values!G12&gt;=40000),"TRUE","FALSE"),"TRUE")</f>
        <v>TRUE</v>
      </c>
      <c r="G40" s="91" t="str">
        <f>IF('1f_OtherEndUses'!H12&gt;0,IF(AND(Calorific_Values!H12&lt;=45000,Calorific_Values!H12&gt;=40000),"TRUE","FALSE"),"TRUE")</f>
        <v>TRUE</v>
      </c>
      <c r="H40" s="91" t="str">
        <f>IF('1f_OtherEndUses'!I12&gt;0,IF(AND(Calorific_Values!I12&lt;=45000,Calorific_Values!I12&gt;=40000),"TRUE","FALSE"),"TRUE")</f>
        <v>TRUE</v>
      </c>
      <c r="I40" s="91" t="str">
        <f>IF('1f_OtherEndUses'!J12&gt;0,IF(AND(Calorific_Values!J12&lt;=45000,Calorific_Values!J12&gt;=40000),"TRUE","FALSE"),"TRUE")</f>
        <v>TRUE</v>
      </c>
      <c r="J40" s="91" t="str">
        <f>IF('1f_OtherEndUses'!K12&gt;0,IF(AND(Calorific_Values!K12&lt;=45000,Calorific_Values!K12&gt;=40000),"TRUE","FALSE"),"TRUE")</f>
        <v>TRUE</v>
      </c>
      <c r="K40" s="91" t="str">
        <f>IF('1f_OtherEndUses'!L12&gt;0,IF(AND(Calorific_Values!L12&lt;=45000,Calorific_Values!L12&gt;=40000),"TRUE","FALSE"),"TRUE")</f>
        <v>TRUE</v>
      </c>
      <c r="L40" s="91" t="str">
        <f>IF('1f_OtherEndUses'!M12&gt;0,IF(AND(Calorific_Values!M12&lt;=45000,Calorific_Values!M12&gt;=40000),"TRUE","FALSE"),"TRUE")</f>
        <v>TRUE</v>
      </c>
      <c r="M40" s="91" t="str">
        <f>IF('1f_OtherEndUses'!N12&gt;0,IF(AND(Calorific_Values!N12&lt;=45000,Calorific_Values!N12&gt;=40000),"TRUE","FALSE"),"TRUE")</f>
        <v>TRUE</v>
      </c>
      <c r="N40" s="91" t="str">
        <f>IF('1f_OtherEndUses'!O12&gt;0,IF(AND(Calorific_Values!O12&lt;=45000,Calorific_Values!O12&gt;=40000),"TRUE","FALSE"),"TRUE")</f>
        <v>TRUE</v>
      </c>
    </row>
    <row r="41" spans="1:14" x14ac:dyDescent="0.25">
      <c r="A41" t="s">
        <v>155</v>
      </c>
      <c r="B41" t="s">
        <v>166</v>
      </c>
      <c r="C41" s="91" t="str">
        <f>IF('1f_OtherEndUses'!D13&gt;0,IF(AND(Calorific_Values!D13&lt;=45000,Calorific_Values!D13&gt;=40000),"TRUE","FALSE"),"TRUE")</f>
        <v>TRUE</v>
      </c>
      <c r="D41" s="91" t="str">
        <f>IF('1f_OtherEndUses'!E13&gt;0,IF(AND(Calorific_Values!E13&lt;=45000,Calorific_Values!E13&gt;=40000),"TRUE","FALSE"),"TRUE")</f>
        <v>TRUE</v>
      </c>
      <c r="E41" s="91" t="str">
        <f>IF('1f_OtherEndUses'!F13&gt;0,IF(AND(Calorific_Values!F13&lt;=45000,Calorific_Values!F13&gt;=40000),"TRUE","FALSE"),"TRUE")</f>
        <v>TRUE</v>
      </c>
      <c r="F41" s="91" t="str">
        <f>IF('1f_OtherEndUses'!G13&gt;0,IF(AND(Calorific_Values!G13&lt;=45000,Calorific_Values!G13&gt;=40000),"TRUE","FALSE"),"TRUE")</f>
        <v>TRUE</v>
      </c>
      <c r="G41" s="91" t="str">
        <f>IF('1f_OtherEndUses'!H13&gt;0,IF(AND(Calorific_Values!H13&lt;=45000,Calorific_Values!H13&gt;=40000),"TRUE","FALSE"),"TRUE")</f>
        <v>TRUE</v>
      </c>
      <c r="H41" s="91" t="str">
        <f>IF('1f_OtherEndUses'!I13&gt;0,IF(AND(Calorific_Values!I13&lt;=45000,Calorific_Values!I13&gt;=40000),"TRUE","FALSE"),"TRUE")</f>
        <v>TRUE</v>
      </c>
      <c r="I41" s="91" t="str">
        <f>IF('1f_OtherEndUses'!J13&gt;0,IF(AND(Calorific_Values!J13&lt;=45000,Calorific_Values!J13&gt;=40000),"TRUE","FALSE"),"TRUE")</f>
        <v>TRUE</v>
      </c>
      <c r="J41" s="91" t="str">
        <f>IF('1f_OtherEndUses'!K13&gt;0,IF(AND(Calorific_Values!K13&lt;=45000,Calorific_Values!K13&gt;=40000),"TRUE","FALSE"),"TRUE")</f>
        <v>TRUE</v>
      </c>
      <c r="K41" s="91" t="str">
        <f>IF('1f_OtherEndUses'!L13&gt;0,IF(AND(Calorific_Values!L13&lt;=45000,Calorific_Values!L13&gt;=40000),"TRUE","FALSE"),"TRUE")</f>
        <v>TRUE</v>
      </c>
      <c r="L41" s="91" t="str">
        <f>IF('1f_OtherEndUses'!M13&gt;0,IF(AND(Calorific_Values!M13&lt;=45000,Calorific_Values!M13&gt;=40000),"TRUE","FALSE"),"TRUE")</f>
        <v>TRUE</v>
      </c>
      <c r="M41" s="91" t="str">
        <f>IF('1f_OtherEndUses'!N13&gt;0,IF(AND(Calorific_Values!N13&lt;=45000,Calorific_Values!N13&gt;=40000),"TRUE","FALSE"),"TRUE")</f>
        <v>TRUE</v>
      </c>
      <c r="N41" s="91" t="str">
        <f>IF('1f_OtherEndUses'!O13&gt;0,IF(AND(Calorific_Values!O13&lt;=45000,Calorific_Values!O13&gt;=40000),"TRUE","FALSE"),"TRUE")</f>
        <v>TRUE</v>
      </c>
    </row>
    <row r="42" spans="1:14" x14ac:dyDescent="0.25">
      <c r="A42" t="s">
        <v>158</v>
      </c>
      <c r="B42" t="s">
        <v>173</v>
      </c>
      <c r="C42" s="91" t="str">
        <f>IF(Calorific_Values!D9&lt;&gt;0,IF(AND(5000&lt;=Calorific_Values!D9,Calorific_Values!D9&lt;=30000),"TRUE","FALSE"),"")</f>
        <v>TRUE</v>
      </c>
      <c r="D42" s="91" t="str">
        <f>IF(Calorific_Values!E9&lt;&gt;0,IF(AND(5000&lt;=Calorific_Values!E9,Calorific_Values!E9&lt;=30000),"TRUE","FALSE"),"")</f>
        <v>TRUE</v>
      </c>
      <c r="E42" s="91" t="str">
        <f>IF(Calorific_Values!F9&lt;&gt;0,IF(AND(5000&lt;=Calorific_Values!F9,Calorific_Values!F9&lt;=30000),"TRUE","FALSE"),"")</f>
        <v>TRUE</v>
      </c>
      <c r="F42" s="91" t="str">
        <f>IF(Calorific_Values!G9&lt;&gt;0,IF(AND(5000&lt;=Calorific_Values!G9,Calorific_Values!G9&lt;=30000),"TRUE","FALSE"),"")</f>
        <v>TRUE</v>
      </c>
      <c r="G42" s="91" t="str">
        <f>IF(Calorific_Values!H9&lt;&gt;0,IF(AND(5000&lt;=Calorific_Values!H9,Calorific_Values!H9&lt;=30000),"TRUE","FALSE"),"")</f>
        <v>TRUE</v>
      </c>
      <c r="H42" s="91" t="str">
        <f>IF(Calorific_Values!I9&lt;&gt;0,IF(AND(5000&lt;=Calorific_Values!I9,Calorific_Values!I9&lt;=30000),"TRUE","FALSE"),"")</f>
        <v>TRUE</v>
      </c>
      <c r="I42" s="91" t="str">
        <f>IF(Calorific_Values!J9&lt;&gt;0,IF(AND(5000&lt;=Calorific_Values!J9,Calorific_Values!J9&lt;=30000),"TRUE","FALSE"),"")</f>
        <v>TRUE</v>
      </c>
      <c r="J42" s="91" t="str">
        <f>IF(Calorific_Values!K9&lt;&gt;0,IF(AND(5000&lt;=Calorific_Values!K9,Calorific_Values!K9&lt;=30000),"TRUE","FALSE"),"")</f>
        <v>TRUE</v>
      </c>
      <c r="K42" s="91" t="str">
        <f>IF(Calorific_Values!L9&lt;&gt;0,IF(AND(5000&lt;=Calorific_Values!L9,Calorific_Values!L9&lt;=30000),"TRUE","FALSE"),"")</f>
        <v>TRUE</v>
      </c>
      <c r="L42" s="91" t="str">
        <f>IF(Calorific_Values!M9&lt;&gt;0,IF(AND(5000&lt;=Calorific_Values!M9,Calorific_Values!M9&lt;=30000),"TRUE","FALSE"),"")</f>
        <v/>
      </c>
      <c r="M42" s="91" t="str">
        <f>IF(Calorific_Values!N9&lt;&gt;0,IF(AND(5000&lt;=Calorific_Values!N9,Calorific_Values!N9&lt;=30000),"TRUE","FALSE"),"")</f>
        <v/>
      </c>
      <c r="N42" s="91" t="str">
        <f>IF(Calorific_Values!O9&lt;&gt;0,IF(AND(5000&lt;=Calorific_Values!O9,Calorific_Values!O9&lt;=30000),"TRUE","FALSE"),"")</f>
        <v/>
      </c>
    </row>
    <row r="43" spans="1:14" x14ac:dyDescent="0.25">
      <c r="A43" t="s">
        <v>158</v>
      </c>
      <c r="B43" t="s">
        <v>174</v>
      </c>
      <c r="C43" s="91" t="str">
        <f>IF(Calorific_Values!D10&lt;&gt;0,IF(AND(40000&lt;=Calorific_Values!D10,Calorific_Values!D10&lt;=50000),"TRUE","FALSE"),"")</f>
        <v>TRUE</v>
      </c>
      <c r="D43" s="91" t="str">
        <f>IF(Calorific_Values!E10&lt;&gt;0,IF(AND(40000&lt;=Calorific_Values!E10,Calorific_Values!E10&lt;=50000),"TRUE","FALSE"),"")</f>
        <v>TRUE</v>
      </c>
      <c r="E43" s="91" t="str">
        <f>IF(Calorific_Values!F10&lt;&gt;0,IF(AND(40000&lt;=Calorific_Values!F10,Calorific_Values!F10&lt;=50000),"TRUE","FALSE"),"")</f>
        <v>TRUE</v>
      </c>
      <c r="F43" s="91" t="str">
        <f>IF(Calorific_Values!G10&lt;&gt;0,IF(AND(40000&lt;=Calorific_Values!G10,Calorific_Values!G10&lt;=50000),"TRUE","FALSE"),"")</f>
        <v>TRUE</v>
      </c>
      <c r="G43" s="91" t="str">
        <f>IF(Calorific_Values!H10&lt;&gt;0,IF(AND(40000&lt;=Calorific_Values!H10,Calorific_Values!H10&lt;=50000),"TRUE","FALSE"),"")</f>
        <v>TRUE</v>
      </c>
      <c r="H43" s="91" t="str">
        <f>IF(Calorific_Values!I10&lt;&gt;0,IF(AND(40000&lt;=Calorific_Values!I10,Calorific_Values!I10&lt;=50000),"TRUE","FALSE"),"")</f>
        <v>TRUE</v>
      </c>
      <c r="I43" s="91" t="str">
        <f>IF(Calorific_Values!J10&lt;&gt;0,IF(AND(40000&lt;=Calorific_Values!J10,Calorific_Values!J10&lt;=50000),"TRUE","FALSE"),"")</f>
        <v>TRUE</v>
      </c>
      <c r="J43" s="91" t="str">
        <f>IF(Calorific_Values!K10&lt;&gt;0,IF(AND(40000&lt;=Calorific_Values!K10,Calorific_Values!K10&lt;=50000),"TRUE","FALSE"),"")</f>
        <v>TRUE</v>
      </c>
      <c r="K43" s="91" t="str">
        <f>IF(Calorific_Values!L10&lt;&gt;0,IF(AND(40000&lt;=Calorific_Values!L10,Calorific_Values!L10&lt;=50000),"TRUE","FALSE"),"")</f>
        <v>TRUE</v>
      </c>
      <c r="L43" s="91" t="str">
        <f>IF(Calorific_Values!M10&lt;&gt;0,IF(AND(40000&lt;=Calorific_Values!M10,Calorific_Values!M10&lt;=50000),"TRUE","FALSE"),"")</f>
        <v/>
      </c>
      <c r="M43" s="91" t="str">
        <f>IF(Calorific_Values!N10&lt;&gt;0,IF(AND(40000&lt;=Calorific_Values!N10,Calorific_Values!N10&lt;=50000),"TRUE","FALSE"),"")</f>
        <v/>
      </c>
      <c r="N43" s="91" t="str">
        <f>IF(Calorific_Values!O10&lt;&gt;0,IF(AND(40000&lt;=Calorific_Values!O10,Calorific_Values!O10&lt;=50000),"TRUE","FALSE"),"")</f>
        <v/>
      </c>
    </row>
    <row r="44" spans="1:14" x14ac:dyDescent="0.25">
      <c r="A44" t="s">
        <v>158</v>
      </c>
      <c r="B44" t="s">
        <v>175</v>
      </c>
      <c r="C44" s="91" t="str">
        <f>IF(Calorific_Values!D11&lt;&gt;0,IF(AND(40000&lt;=Calorific_Values!D11,Calorific_Values!D11&lt;=50000),"TRUE","FALSE"),"")</f>
        <v>TRUE</v>
      </c>
      <c r="D44" s="91" t="str">
        <f>IF(Calorific_Values!E11&lt;&gt;0,IF(AND(40000&lt;=Calorific_Values!E11,Calorific_Values!E11&lt;=50000),"TRUE","FALSE"),"")</f>
        <v>TRUE</v>
      </c>
      <c r="E44" s="91" t="str">
        <f>IF(Calorific_Values!F11&lt;&gt;0,IF(AND(40000&lt;=Calorific_Values!F11,Calorific_Values!F11&lt;=50000),"TRUE","FALSE"),"")</f>
        <v>TRUE</v>
      </c>
      <c r="F44" s="91" t="str">
        <f>IF(Calorific_Values!G11&lt;&gt;0,IF(AND(40000&lt;=Calorific_Values!G11,Calorific_Values!G11&lt;=50000),"TRUE","FALSE"),"")</f>
        <v>TRUE</v>
      </c>
      <c r="G44" s="91" t="str">
        <f>IF(Calorific_Values!H11&lt;&gt;0,IF(AND(40000&lt;=Calorific_Values!H11,Calorific_Values!H11&lt;=50000),"TRUE","FALSE"),"")</f>
        <v>TRUE</v>
      </c>
      <c r="H44" s="91" t="str">
        <f>IF(Calorific_Values!I11&lt;&gt;0,IF(AND(40000&lt;=Calorific_Values!I11,Calorific_Values!I11&lt;=50000),"TRUE","FALSE"),"")</f>
        <v>TRUE</v>
      </c>
      <c r="I44" s="91" t="str">
        <f>IF(Calorific_Values!J11&lt;&gt;0,IF(AND(40000&lt;=Calorific_Values!J11,Calorific_Values!J11&lt;=50000),"TRUE","FALSE"),"")</f>
        <v>TRUE</v>
      </c>
      <c r="J44" s="91" t="str">
        <f>IF(Calorific_Values!K11&lt;&gt;0,IF(AND(40000&lt;=Calorific_Values!K11,Calorific_Values!K11&lt;=50000),"TRUE","FALSE"),"")</f>
        <v>TRUE</v>
      </c>
      <c r="K44" s="91" t="str">
        <f>IF(Calorific_Values!L11&lt;&gt;0,IF(AND(40000&lt;=Calorific_Values!L11,Calorific_Values!L11&lt;=50000),"TRUE","FALSE"),"")</f>
        <v>TRUE</v>
      </c>
      <c r="L44" s="91" t="str">
        <f>IF(Calorific_Values!M11&lt;&gt;0,IF(AND(40000&lt;=Calorific_Values!M11,Calorific_Values!M11&lt;=50000),"TRUE","FALSE"),"")</f>
        <v/>
      </c>
      <c r="M44" s="91" t="str">
        <f>IF(Calorific_Values!N11&lt;&gt;0,IF(AND(40000&lt;=Calorific_Values!N11,Calorific_Values!N11&lt;=50000),"TRUE","FALSE"),"")</f>
        <v/>
      </c>
      <c r="N44" s="91" t="str">
        <f>IF(Calorific_Values!O11&lt;&gt;0,IF(AND(40000&lt;=Calorific_Values!O11,Calorific_Values!O11&lt;=50000),"TRUE","FALSE"),"")</f>
        <v/>
      </c>
    </row>
    <row r="45" spans="1:14" x14ac:dyDescent="0.25">
      <c r="A45" t="s">
        <v>158</v>
      </c>
      <c r="B45" t="s">
        <v>176</v>
      </c>
      <c r="C45" s="91" t="str">
        <f>IF(Calorific_Values!D12&lt;&gt;0,IF(AND(40000&lt;=Calorific_Values!D12,Calorific_Values!D12&lt;=45000),"TRUE","FALSE"),"")</f>
        <v/>
      </c>
      <c r="D45" s="91" t="str">
        <f>IF(Calorific_Values!E12&lt;&gt;0,IF(AND(40000&lt;=Calorific_Values!E12,Calorific_Values!E12&lt;=45000),"TRUE","FALSE"),"")</f>
        <v/>
      </c>
      <c r="E45" s="91" t="str">
        <f>IF(Calorific_Values!F12&lt;&gt;0,IF(AND(40000&lt;=Calorific_Values!F12,Calorific_Values!F12&lt;=45000),"TRUE","FALSE"),"")</f>
        <v/>
      </c>
      <c r="F45" s="91" t="str">
        <f>IF(Calorific_Values!G12&lt;&gt;0,IF(AND(40000&lt;=Calorific_Values!G12,Calorific_Values!G12&lt;=45000),"TRUE","FALSE"),"")</f>
        <v/>
      </c>
      <c r="G45" s="91" t="str">
        <f>IF(Calorific_Values!H12&lt;&gt;0,IF(AND(40000&lt;=Calorific_Values!H12,Calorific_Values!H12&lt;=45000),"TRUE","FALSE"),"")</f>
        <v/>
      </c>
      <c r="H45" s="91" t="str">
        <f>IF(Calorific_Values!I12&lt;&gt;0,IF(AND(40000&lt;=Calorific_Values!I12,Calorific_Values!I12&lt;=45000),"TRUE","FALSE"),"")</f>
        <v/>
      </c>
      <c r="I45" s="91" t="str">
        <f>IF(Calorific_Values!J12&lt;&gt;0,IF(AND(40000&lt;=Calorific_Values!J12,Calorific_Values!J12&lt;=45000),"TRUE","FALSE"),"")</f>
        <v/>
      </c>
      <c r="J45" s="91" t="str">
        <f>IF(Calorific_Values!K12&lt;&gt;0,IF(AND(40000&lt;=Calorific_Values!K12,Calorific_Values!K12&lt;=45000),"TRUE","FALSE"),"")</f>
        <v/>
      </c>
      <c r="K45" s="91" t="str">
        <f>IF(Calorific_Values!L12&lt;&gt;0,IF(AND(40000&lt;=Calorific_Values!L12,Calorific_Values!L12&lt;=45000),"TRUE","FALSE"),"")</f>
        <v/>
      </c>
      <c r="L45" s="91" t="str">
        <f>IF(Calorific_Values!M12&lt;&gt;0,IF(AND(40000&lt;=Calorific_Values!M12,Calorific_Values!M12&lt;=45000),"TRUE","FALSE"),"")</f>
        <v/>
      </c>
      <c r="M45" s="91" t="str">
        <f>IF(Calorific_Values!N12&lt;&gt;0,IF(AND(40000&lt;=Calorific_Values!N12,Calorific_Values!N12&lt;=45000),"TRUE","FALSE"),"")</f>
        <v/>
      </c>
      <c r="N45" s="91" t="str">
        <f>IF(Calorific_Values!O12&lt;&gt;0,IF(AND(40000&lt;=Calorific_Values!O12,Calorific_Values!O12&lt;=45000),"TRUE","FALSE"),"")</f>
        <v/>
      </c>
    </row>
    <row r="46" spans="1:14" x14ac:dyDescent="0.25">
      <c r="A46" t="s">
        <v>158</v>
      </c>
      <c r="B46" t="s">
        <v>177</v>
      </c>
      <c r="C46" s="91" t="str">
        <f>IF(Calorific_Values!D13&lt;&gt;0,IF(AND(40000&lt;=Calorific_Values!D13,Calorific_Values!D13&lt;=45000),"TRUE","FALSE"),"")</f>
        <v>TRUE</v>
      </c>
      <c r="D46" s="91" t="str">
        <f>IF(Calorific_Values!E13&lt;&gt;0,IF(AND(40000&lt;=Calorific_Values!E13,Calorific_Values!E13&lt;=45000),"TRUE","FALSE"),"")</f>
        <v>TRUE</v>
      </c>
      <c r="E46" s="91" t="str">
        <f>IF(Calorific_Values!F13&lt;&gt;0,IF(AND(40000&lt;=Calorific_Values!F13,Calorific_Values!F13&lt;=45000),"TRUE","FALSE"),"")</f>
        <v>TRUE</v>
      </c>
      <c r="F46" s="91" t="str">
        <f>IF(Calorific_Values!G13&lt;&gt;0,IF(AND(40000&lt;=Calorific_Values!G13,Calorific_Values!G13&lt;=45000),"TRUE","FALSE"),"")</f>
        <v>TRUE</v>
      </c>
      <c r="G46" s="91" t="str">
        <f>IF(Calorific_Values!H13&lt;&gt;0,IF(AND(40000&lt;=Calorific_Values!H13,Calorific_Values!H13&lt;=45000),"TRUE","FALSE"),"")</f>
        <v>TRUE</v>
      </c>
      <c r="H46" s="91" t="str">
        <f>IF(Calorific_Values!I13&lt;&gt;0,IF(AND(40000&lt;=Calorific_Values!I13,Calorific_Values!I13&lt;=45000),"TRUE","FALSE"),"")</f>
        <v>TRUE</v>
      </c>
      <c r="I46" s="91" t="str">
        <f>IF(Calorific_Values!J13&lt;&gt;0,IF(AND(40000&lt;=Calorific_Values!J13,Calorific_Values!J13&lt;=45000),"TRUE","FALSE"),"")</f>
        <v>TRUE</v>
      </c>
      <c r="J46" s="91" t="str">
        <f>IF(Calorific_Values!K13&lt;&gt;0,IF(AND(40000&lt;=Calorific_Values!K13,Calorific_Values!K13&lt;=45000),"TRUE","FALSE"),"")</f>
        <v>TRUE</v>
      </c>
      <c r="K46" s="91" t="str">
        <f>IF(Calorific_Values!L13&lt;&gt;0,IF(AND(40000&lt;=Calorific_Values!L13,Calorific_Values!L13&lt;=45000),"TRUE","FALSE"),"")</f>
        <v>TRUE</v>
      </c>
      <c r="L46" s="91" t="str">
        <f>IF(Calorific_Values!M13&lt;&gt;0,IF(AND(40000&lt;=Calorific_Values!M13,Calorific_Values!M13&lt;=45000),"TRUE","FALSE"),"")</f>
        <v/>
      </c>
      <c r="M46" s="91" t="str">
        <f>IF(Calorific_Values!N13&lt;&gt;0,IF(AND(40000&lt;=Calorific_Values!N13,Calorific_Values!N13&lt;=45000),"TRUE","FALSE"),"")</f>
        <v/>
      </c>
      <c r="N46" s="91"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1"/>
  <dimension ref="A1:B8"/>
  <sheetViews>
    <sheetView topLeftCell="A4" zoomScaleNormal="100" workbookViewId="0">
      <selection activeCell="B16" sqref="B16"/>
    </sheetView>
  </sheetViews>
  <sheetFormatPr baseColWidth="10" defaultColWidth="9.140625" defaultRowHeight="12.75" x14ac:dyDescent="0.2"/>
  <cols>
    <col min="1" max="1" width="27.140625" style="128" customWidth="1"/>
    <col min="2" max="2" width="27.85546875" style="128" customWidth="1"/>
    <col min="3" max="3" width="9.140625" style="128" customWidth="1"/>
    <col min="4" max="52" width="9.140625" style="128"/>
    <col min="53" max="156" width="9.140625" style="128" customWidth="1"/>
    <col min="157" max="16384" width="9.140625" style="128"/>
  </cols>
  <sheetData>
    <row r="1" spans="1:2" x14ac:dyDescent="0.2">
      <c r="A1" s="127" t="s">
        <v>187</v>
      </c>
      <c r="B1" s="127" t="s">
        <v>188</v>
      </c>
    </row>
    <row r="2" spans="1:2" x14ac:dyDescent="0.2">
      <c r="A2" s="129" t="s">
        <v>158</v>
      </c>
      <c r="B2" s="129" t="s">
        <v>189</v>
      </c>
    </row>
    <row r="3" spans="1:2" x14ac:dyDescent="0.2">
      <c r="A3" s="129" t="s">
        <v>152</v>
      </c>
      <c r="B3" s="129" t="s">
        <v>189</v>
      </c>
    </row>
    <row r="4" spans="1:2" x14ac:dyDescent="0.2">
      <c r="A4" s="129" t="s">
        <v>169</v>
      </c>
      <c r="B4" s="129" t="s">
        <v>189</v>
      </c>
    </row>
    <row r="5" spans="1:2" x14ac:dyDescent="0.2">
      <c r="A5" s="129" t="s">
        <v>153</v>
      </c>
      <c r="B5" s="129" t="s">
        <v>189</v>
      </c>
    </row>
    <row r="6" spans="1:2" x14ac:dyDescent="0.2">
      <c r="A6" s="129" t="s">
        <v>154</v>
      </c>
      <c r="B6" s="129" t="s">
        <v>189</v>
      </c>
    </row>
    <row r="7" spans="1:2" x14ac:dyDescent="0.2">
      <c r="A7" s="129" t="s">
        <v>228</v>
      </c>
      <c r="B7" s="129" t="s">
        <v>189</v>
      </c>
    </row>
    <row r="8" spans="1:2" x14ac:dyDescent="0.2">
      <c r="A8" s="129" t="s">
        <v>155</v>
      </c>
      <c r="B8" s="129" t="s">
        <v>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2"/>
  <dimension ref="A1:G22"/>
  <sheetViews>
    <sheetView zoomScaleNormal="100" workbookViewId="0">
      <selection activeCell="D7" sqref="D7"/>
    </sheetView>
  </sheetViews>
  <sheetFormatPr baseColWidth="10" defaultColWidth="9" defaultRowHeight="12.75" x14ac:dyDescent="0.2"/>
  <cols>
    <col min="1" max="1" width="22" style="128" customWidth="1"/>
    <col min="2" max="3" width="9" style="128" customWidth="1"/>
    <col min="4" max="5" width="9" style="128"/>
    <col min="6" max="6" width="25.28515625" style="128" customWidth="1"/>
    <col min="7" max="52" width="9" style="128"/>
    <col min="53" max="156" width="9" style="128" customWidth="1"/>
    <col min="157" max="16384" width="9" style="128"/>
  </cols>
  <sheetData>
    <row r="1" spans="1:7" ht="15" x14ac:dyDescent="0.25">
      <c r="A1" s="130" t="s">
        <v>190</v>
      </c>
      <c r="B1" s="130" t="s">
        <v>191</v>
      </c>
      <c r="C1" s="130" t="s">
        <v>192</v>
      </c>
      <c r="D1" s="130" t="s">
        <v>193</v>
      </c>
      <c r="E1" s="131"/>
      <c r="F1" s="130" t="s">
        <v>194</v>
      </c>
      <c r="G1" s="136" t="s">
        <v>233</v>
      </c>
    </row>
    <row r="2" spans="1:7" ht="15" x14ac:dyDescent="0.25">
      <c r="A2" s="131" t="s">
        <v>195</v>
      </c>
      <c r="B2" s="131" t="s">
        <v>196</v>
      </c>
      <c r="C2" s="131" t="s">
        <v>197</v>
      </c>
      <c r="D2" s="137" t="s">
        <v>278</v>
      </c>
      <c r="E2" s="131"/>
      <c r="F2" s="130" t="s">
        <v>198</v>
      </c>
      <c r="G2" s="136" t="s">
        <v>234</v>
      </c>
    </row>
    <row r="3" spans="1:7" ht="15" x14ac:dyDescent="0.25">
      <c r="A3" s="131" t="s">
        <v>199</v>
      </c>
      <c r="B3" s="131" t="s">
        <v>196</v>
      </c>
      <c r="C3" s="131" t="s">
        <v>197</v>
      </c>
      <c r="D3" s="131" t="s">
        <v>200</v>
      </c>
      <c r="E3" s="131"/>
      <c r="F3" s="130" t="s">
        <v>201</v>
      </c>
      <c r="G3" s="132" t="s">
        <v>202</v>
      </c>
    </row>
    <row r="4" spans="1:7" ht="15" x14ac:dyDescent="0.25">
      <c r="A4" s="131" t="s">
        <v>203</v>
      </c>
      <c r="B4" s="131" t="s">
        <v>196</v>
      </c>
      <c r="C4" s="137" t="s">
        <v>235</v>
      </c>
      <c r="D4" s="137" t="s">
        <v>236</v>
      </c>
      <c r="E4" s="131"/>
      <c r="F4" s="130"/>
      <c r="G4" s="133"/>
    </row>
    <row r="5" spans="1:7" ht="15" x14ac:dyDescent="0.25">
      <c r="A5" s="131" t="s">
        <v>205</v>
      </c>
      <c r="B5" s="131" t="s">
        <v>196</v>
      </c>
      <c r="C5" s="131" t="s">
        <v>204</v>
      </c>
      <c r="D5" s="131" t="s">
        <v>206</v>
      </c>
      <c r="E5" s="131"/>
      <c r="F5" s="127"/>
      <c r="G5" s="134"/>
    </row>
    <row r="6" spans="1:7" ht="15" x14ac:dyDescent="0.25">
      <c r="A6" s="131" t="s">
        <v>207</v>
      </c>
      <c r="B6" s="131" t="s">
        <v>196</v>
      </c>
      <c r="C6" s="137" t="s">
        <v>197</v>
      </c>
      <c r="D6" s="137" t="s">
        <v>297</v>
      </c>
      <c r="E6" s="131"/>
      <c r="F6" s="130"/>
      <c r="G6" s="133"/>
    </row>
    <row r="7" spans="1:7" ht="15" x14ac:dyDescent="0.25">
      <c r="A7" s="131" t="s">
        <v>208</v>
      </c>
      <c r="B7" s="131" t="s">
        <v>196</v>
      </c>
      <c r="C7" s="137" t="s">
        <v>235</v>
      </c>
      <c r="D7" s="137" t="s">
        <v>299</v>
      </c>
      <c r="E7" s="131"/>
      <c r="F7" s="130"/>
      <c r="G7" s="133"/>
    </row>
    <row r="8" spans="1:7" ht="15" x14ac:dyDescent="0.25">
      <c r="A8" s="131" t="s">
        <v>209</v>
      </c>
      <c r="B8" s="131" t="s">
        <v>196</v>
      </c>
      <c r="C8" s="137" t="s">
        <v>197</v>
      </c>
      <c r="D8" s="137" t="s">
        <v>232</v>
      </c>
      <c r="E8" s="131"/>
      <c r="F8" s="130"/>
      <c r="G8" s="133"/>
    </row>
    <row r="9" spans="1:7" ht="15" x14ac:dyDescent="0.25">
      <c r="A9" s="131" t="s">
        <v>210</v>
      </c>
      <c r="B9" s="131" t="s">
        <v>196</v>
      </c>
      <c r="C9" s="137" t="s">
        <v>197</v>
      </c>
      <c r="D9" s="137" t="s">
        <v>232</v>
      </c>
      <c r="E9" s="131"/>
      <c r="F9" s="130"/>
      <c r="G9" s="133"/>
    </row>
    <row r="10" spans="1:7" ht="15" x14ac:dyDescent="0.25">
      <c r="A10" s="131" t="s">
        <v>211</v>
      </c>
      <c r="B10" s="131" t="s">
        <v>196</v>
      </c>
      <c r="C10" s="137" t="s">
        <v>197</v>
      </c>
      <c r="D10" s="137" t="s">
        <v>232</v>
      </c>
      <c r="E10" s="131"/>
      <c r="F10" s="130"/>
      <c r="G10" s="133"/>
    </row>
    <row r="11" spans="1:7" ht="15" x14ac:dyDescent="0.25">
      <c r="A11" s="131" t="s">
        <v>212</v>
      </c>
      <c r="B11" s="131" t="s">
        <v>196</v>
      </c>
      <c r="C11" s="137" t="s">
        <v>197</v>
      </c>
      <c r="D11" s="137" t="s">
        <v>232</v>
      </c>
      <c r="E11" s="131"/>
      <c r="F11" s="130"/>
      <c r="G11" s="133"/>
    </row>
    <row r="12" spans="1:7" ht="15" x14ac:dyDescent="0.25">
      <c r="A12" s="131" t="s">
        <v>213</v>
      </c>
      <c r="B12" s="131" t="s">
        <v>196</v>
      </c>
      <c r="C12" s="137" t="s">
        <v>197</v>
      </c>
      <c r="D12" s="137" t="s">
        <v>232</v>
      </c>
      <c r="E12" s="131"/>
      <c r="F12" s="130"/>
      <c r="G12" s="133"/>
    </row>
    <row r="13" spans="1:7" ht="15" x14ac:dyDescent="0.25">
      <c r="A13" s="131" t="s">
        <v>214</v>
      </c>
      <c r="B13" s="131" t="s">
        <v>196</v>
      </c>
      <c r="C13" s="131" t="s">
        <v>204</v>
      </c>
      <c r="D13" s="131" t="s">
        <v>215</v>
      </c>
      <c r="E13" s="131"/>
      <c r="F13" s="130"/>
      <c r="G13" s="133"/>
    </row>
    <row r="14" spans="1:7" ht="15" x14ac:dyDescent="0.25">
      <c r="A14" s="131" t="s">
        <v>216</v>
      </c>
      <c r="B14" s="131" t="s">
        <v>196</v>
      </c>
      <c r="C14" s="131" t="s">
        <v>217</v>
      </c>
      <c r="D14" s="131">
        <v>5</v>
      </c>
      <c r="E14" s="131"/>
      <c r="F14" s="130"/>
      <c r="G14" s="133"/>
    </row>
    <row r="15" spans="1:7" ht="15" x14ac:dyDescent="0.25">
      <c r="A15" s="131" t="s">
        <v>218</v>
      </c>
      <c r="B15" s="131" t="s">
        <v>196</v>
      </c>
      <c r="C15" s="137" t="s">
        <v>197</v>
      </c>
      <c r="D15" s="137" t="s">
        <v>232</v>
      </c>
      <c r="E15" s="131"/>
      <c r="F15" s="130"/>
      <c r="G15" s="133"/>
    </row>
    <row r="16" spans="1:7" ht="15" x14ac:dyDescent="0.25">
      <c r="A16" s="131" t="s">
        <v>219</v>
      </c>
      <c r="B16" s="131" t="s">
        <v>220</v>
      </c>
      <c r="C16" s="131" t="s">
        <v>204</v>
      </c>
      <c r="D16" s="131" t="s">
        <v>221</v>
      </c>
      <c r="E16" s="131"/>
      <c r="F16" s="130"/>
      <c r="G16" s="133"/>
    </row>
    <row r="17" spans="1:7" ht="15" x14ac:dyDescent="0.25">
      <c r="A17" s="131" t="s">
        <v>222</v>
      </c>
      <c r="B17" s="131" t="s">
        <v>220</v>
      </c>
      <c r="C17" s="131" t="s">
        <v>223</v>
      </c>
      <c r="D17" s="131"/>
      <c r="E17" s="131"/>
      <c r="F17" s="130"/>
      <c r="G17" s="133"/>
    </row>
    <row r="18" spans="1:7" ht="15" x14ac:dyDescent="0.25">
      <c r="A18" s="131" t="s">
        <v>224</v>
      </c>
      <c r="B18" s="131" t="s">
        <v>220</v>
      </c>
      <c r="C18" s="131" t="s">
        <v>223</v>
      </c>
      <c r="D18" s="131"/>
      <c r="E18" s="131"/>
      <c r="F18" s="130"/>
      <c r="G18" s="133"/>
    </row>
    <row r="19" spans="1:7" ht="15" x14ac:dyDescent="0.25">
      <c r="A19" s="131" t="s">
        <v>225</v>
      </c>
      <c r="B19" s="131" t="s">
        <v>220</v>
      </c>
      <c r="C19" s="131" t="s">
        <v>223</v>
      </c>
      <c r="D19" s="131"/>
      <c r="E19" s="131"/>
      <c r="F19" s="130"/>
      <c r="G19" s="133"/>
    </row>
    <row r="20" spans="1:7" ht="15" x14ac:dyDescent="0.25">
      <c r="A20" s="131" t="s">
        <v>226</v>
      </c>
      <c r="B20" s="131" t="s">
        <v>220</v>
      </c>
      <c r="C20" s="131" t="s">
        <v>223</v>
      </c>
      <c r="D20" s="131"/>
      <c r="E20" s="131"/>
      <c r="F20" s="130"/>
      <c r="G20" s="133"/>
    </row>
    <row r="21" spans="1:7" ht="15" x14ac:dyDescent="0.25">
      <c r="A21" s="131" t="s">
        <v>227</v>
      </c>
      <c r="B21" s="131" t="s">
        <v>220</v>
      </c>
      <c r="C21" s="131" t="s">
        <v>223</v>
      </c>
      <c r="D21" s="131"/>
      <c r="E21" s="131"/>
      <c r="F21" s="130"/>
      <c r="G21" s="133"/>
    </row>
    <row r="22" spans="1:7" x14ac:dyDescent="0.2">
      <c r="G22" s="1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22</vt:i4>
      </vt:variant>
      <vt:variant>
        <vt:lpstr>Benannte Bereiche</vt:lpstr>
      </vt:variant>
      <vt:variant>
        <vt:i4>20</vt:i4>
      </vt:variant>
    </vt:vector>
  </HeadingPairs>
  <TitlesOfParts>
    <vt:vector size="42"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1a_SpaceHeating (2)</vt:lpstr>
      <vt:lpstr>1b_SpaceCooling (2)</vt:lpstr>
      <vt:lpstr>1c_WaterHeating (2)</vt:lpstr>
      <vt:lpstr>1d_Cooking (2)</vt:lpstr>
      <vt:lpstr>1e_LightingAndAppliances (2)</vt:lpstr>
      <vt:lpstr>1f_OtherEndUses (2)</vt:lpstr>
      <vt:lpstr>Validation</vt:lpstr>
      <vt:lpstr>Parameter_mapping</vt:lpstr>
      <vt:lpstr>Parameters</vt:lpstr>
      <vt:lpstr>'1a_SpaceHeating'!Druckbereich</vt:lpstr>
      <vt:lpstr>'1a_SpaceHeating (2)'!Druckbereich</vt:lpstr>
      <vt:lpstr>'1b_SpaceCooling'!Druckbereich</vt:lpstr>
      <vt:lpstr>'1b_SpaceCooling (2)'!Druckbereich</vt:lpstr>
      <vt:lpstr>'1c_WaterHeating'!Druckbereich</vt:lpstr>
      <vt:lpstr>'1c_WaterHeating (2)'!Druckbereich</vt:lpstr>
      <vt:lpstr>'1d_Cooking'!Druckbereich</vt:lpstr>
      <vt:lpstr>'1d_Cooking (2)'!Druckbereich</vt:lpstr>
      <vt:lpstr>'1e_LightingAndAppliances'!Druckbereich</vt:lpstr>
      <vt:lpstr>'1e_LightingAndAppliances (2)'!Druckbereich</vt:lpstr>
      <vt:lpstr>'1f_OtherEndUses'!Druckbereich</vt:lpstr>
      <vt:lpstr>'1f_OtherEndUses (2)'!Druckbereich</vt:lpstr>
      <vt:lpstr>Calorific_Values!Druckbereich</vt:lpstr>
      <vt:lpstr>Cover!Druckbereich</vt:lpstr>
      <vt:lpstr>Definitions!Druckbereich</vt:lpstr>
      <vt:lpstr>Remarks!Druckbereich</vt:lpstr>
      <vt:lpstr>Table1_Totals!Druckbereich</vt:lpstr>
      <vt:lpstr>Table2_Energy_Totals!Druckbereich</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Kerekes, Andelka</cp:lastModifiedBy>
  <cp:lastPrinted>2017-09-15T13:51:39Z</cp:lastPrinted>
  <dcterms:created xsi:type="dcterms:W3CDTF">2014-09-17T09:30:01Z</dcterms:created>
  <dcterms:modified xsi:type="dcterms:W3CDTF">2023-09-20T12:25:14Z</dcterms:modified>
  <cp:category>Annual questionnaires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-257942347</vt:i4>
  </property>
  <property fmtid="{D5CDD505-2E9C-101B-9397-08002B2CF9AE}" pid="3" name="_NewReviewCycle">
    <vt:lpwstr/>
  </property>
  <property fmtid="{D5CDD505-2E9C-101B-9397-08002B2CF9AE}" pid="4" name="_EmailSubject">
    <vt:lpwstr>Some files sent by EWA for ENERGY are corrupted</vt:lpwstr>
  </property>
  <property fmtid="{D5CDD505-2E9C-101B-9397-08002B2CF9AE}" pid="5" name="_AuthorEmail">
    <vt:lpwstr>energie@statistik.gv.at</vt:lpwstr>
  </property>
  <property fmtid="{D5CDD505-2E9C-101B-9397-08002B2CF9AE}" pid="6" name="_AuthorEmailDisplayName">
    <vt:lpwstr>ENERGIE</vt:lpwstr>
  </property>
  <property fmtid="{D5CDD505-2E9C-101B-9397-08002B2CF9AE}" pid="7" name="_ReviewingToolsShownOnce">
    <vt:lpwstr/>
  </property>
</Properties>
</file>