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120" yWindow="-120" windowWidth="29040" windowHeight="1584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'1a_SpaceHeating'!$A$1:$L$18</definedName>
    <definedName name="_xlnm.Print_Area" localSheetId="6">'1b_SpaceCooling'!$A$1:$K$6</definedName>
    <definedName name="_xlnm.Print_Area" localSheetId="7">'1c_WaterHeating'!$A$1:$L$18</definedName>
    <definedName name="_xlnm.Print_Area" localSheetId="8">'1d_Cooking'!$A$1:$L$18</definedName>
    <definedName name="_xlnm.Print_Area" localSheetId="9">'1e_LightingAndAppliances'!$A$1:$L$6</definedName>
    <definedName name="_xlnm.Print_Area" localSheetId="10">'1f_OtherEndUses'!$A$1:$L$18</definedName>
    <definedName name="_xlnm.Print_Area" localSheetId="2">Calorific_Values!$A$1:$L$18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J17" i="5"/>
  <c r="H17" i="5"/>
  <c r="E17" i="5"/>
  <c r="G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3" i="5"/>
  <c r="K12"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15" i="5"/>
  <c r="G11" i="5"/>
  <c r="E11" i="5"/>
  <c r="F6" i="5"/>
  <c r="G15" i="5"/>
  <c r="G12" i="5"/>
  <c r="E7" i="5"/>
  <c r="I6" i="5"/>
  <c r="E12" i="5"/>
  <c r="J16" i="5"/>
  <c r="E6" i="5"/>
  <c r="H7" i="5"/>
  <c r="H10" i="5"/>
  <c r="J11" i="5"/>
  <c r="J18" i="5"/>
  <c r="K9" i="5"/>
  <c r="G13" i="5"/>
  <c r="J10" i="5"/>
  <c r="E16" i="5"/>
  <c r="G8" i="5"/>
  <c r="E14" i="5"/>
  <c r="H6" i="5"/>
  <c r="H18" i="5"/>
  <c r="H9" i="5"/>
  <c r="J7" i="5"/>
  <c r="J8" i="5"/>
  <c r="G7" i="5"/>
  <c r="J15" i="5"/>
  <c r="H8" i="5"/>
  <c r="E18" i="5"/>
  <c r="G16" i="5"/>
  <c r="E9" i="5"/>
  <c r="E13" i="5"/>
  <c r="E15" i="5"/>
  <c r="G18" i="5"/>
  <c r="G6" i="5"/>
  <c r="G14" i="5"/>
  <c r="J9" i="5"/>
  <c r="H16" i="5"/>
  <c r="J14" i="5"/>
  <c r="G9" i="5"/>
  <c r="H12" i="5"/>
  <c r="H11" i="5"/>
  <c r="J6" i="5"/>
  <c r="H14" i="5"/>
  <c r="E8" i="5"/>
  <c r="G10" i="5"/>
  <c r="J13" i="5"/>
  <c r="J12" i="5"/>
  <c r="H13"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<sst xmlns="http://schemas.openxmlformats.org/spreadsheetml/2006/main" count="966" uniqueCount="316">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</sst>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topLeftCell="A4" zoomScale="90" zoomScaleNormal="90" workbookViewId="0">
      <selection activeCell="C23" sqref="C23:D23"/>
    </sheetView>
  </sheetViews>
  <sheetFormatPr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52</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topLeftCell="A54" zoomScale="90" zoomScaleNormal="90" workbookViewId="0"/>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L10" sqref="L10"/>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6" t="s">
        <v>0</v>
      </c>
      <c r="B1" s="177"/>
      <c r="C1" s="20"/>
      <c r="D1" s="1"/>
      <c r="E1" s="2"/>
      <c r="F1" s="2"/>
      <c r="G1" s="2"/>
      <c r="H1" s="2"/>
      <c r="I1" s="2"/>
      <c r="J1" s="2"/>
      <c r="K1" s="2"/>
      <c r="L1" s="2"/>
      <c r="M1" s="2"/>
      <c r="N1" s="2"/>
      <c r="O1" s="2"/>
    </row>
    <row r="2" spans="1:134" ht="18" customHeight="1" x14ac:dyDescent="0.25">
      <c r="A2" s="178"/>
      <c r="B2" s="179"/>
      <c r="C2" s="1"/>
      <c r="D2" s="1"/>
      <c r="E2" s="5"/>
      <c r="F2" s="3"/>
      <c r="G2" s="3"/>
      <c r="H2" s="3"/>
      <c r="I2" s="3"/>
      <c r="J2" s="3"/>
      <c r="K2" s="3"/>
      <c r="L2" s="3"/>
      <c r="M2" s="3"/>
      <c r="N2" s="3"/>
      <c r="O2" s="3"/>
    </row>
    <row r="3" spans="1:134" ht="18" customHeight="1" x14ac:dyDescent="0.3">
      <c r="A3" s="180" t="s">
        <v>12</v>
      </c>
      <c r="B3" s="181"/>
      <c r="C3" s="1"/>
      <c r="D3" s="1"/>
      <c r="E3" s="5"/>
      <c r="F3" s="3"/>
      <c r="G3" s="3"/>
      <c r="H3" s="3"/>
      <c r="I3" s="3"/>
      <c r="J3" s="3"/>
      <c r="K3" s="3"/>
      <c r="L3" s="3"/>
      <c r="M3" s="3"/>
      <c r="N3" s="3"/>
      <c r="O3" s="3"/>
      <c r="DS3" s="4" t="s">
        <v>229</v>
      </c>
    </row>
    <row r="4" spans="1:134" ht="18" customHeight="1" x14ac:dyDescent="0.25">
      <c r="A4" s="182"/>
      <c r="B4" s="179"/>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3" t="s">
        <v>3</v>
      </c>
      <c r="B5" s="184"/>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2"/>
      <c r="C6" s="47"/>
      <c r="D6" s="48"/>
      <c r="E6" s="49"/>
      <c r="F6" s="49"/>
      <c r="G6" s="49"/>
      <c r="H6" s="49"/>
      <c r="I6" s="49"/>
      <c r="J6" s="49"/>
      <c r="K6" s="49"/>
      <c r="L6" s="49"/>
      <c r="M6" s="49"/>
      <c r="N6" s="49"/>
      <c r="O6" s="49"/>
      <c r="DS6" s="4" t="str">
        <f>VLOOKUP(Cover!$D$15, Country_list!$B$3:$C$44, 2, 0)</f>
        <v>IE</v>
      </c>
      <c r="DV6" s="4" t="s">
        <v>298</v>
      </c>
    </row>
    <row r="7" spans="1:134" ht="24" customHeight="1" x14ac:dyDescent="0.2">
      <c r="A7" s="174" t="s">
        <v>15</v>
      </c>
      <c r="B7" s="175"/>
      <c r="C7" s="45"/>
      <c r="D7" s="15"/>
      <c r="E7" s="46"/>
      <c r="F7" s="46"/>
      <c r="G7" s="46"/>
      <c r="H7" s="46"/>
      <c r="I7" s="46"/>
      <c r="J7" s="46"/>
      <c r="K7" s="46"/>
      <c r="L7" s="46"/>
      <c r="M7" s="46"/>
      <c r="N7" s="46"/>
      <c r="O7" s="46"/>
    </row>
    <row r="8" spans="1:134" ht="24" customHeight="1" x14ac:dyDescent="0.2">
      <c r="A8" s="174" t="s">
        <v>29</v>
      </c>
      <c r="B8" s="175"/>
      <c r="C8" s="45"/>
      <c r="D8" s="15"/>
      <c r="E8" s="46"/>
      <c r="F8" s="46"/>
      <c r="G8" s="46"/>
      <c r="H8" s="46"/>
      <c r="I8" s="46"/>
      <c r="J8" s="46"/>
      <c r="K8" s="46"/>
      <c r="L8" s="46"/>
      <c r="M8" s="46"/>
      <c r="N8" s="46"/>
      <c r="O8" s="46"/>
    </row>
    <row r="9" spans="1:134" ht="24" customHeight="1" x14ac:dyDescent="0.2">
      <c r="A9" s="174" t="s">
        <v>156</v>
      </c>
      <c r="B9" s="175"/>
      <c r="C9" s="9" t="s">
        <v>132</v>
      </c>
      <c r="D9" s="93"/>
      <c r="E9" s="94"/>
      <c r="F9" s="94"/>
      <c r="G9" s="94"/>
      <c r="H9" s="94"/>
      <c r="I9" s="94">
        <v>19490.93182945118</v>
      </c>
      <c r="J9" s="94">
        <v>19108.218163260128</v>
      </c>
      <c r="K9" s="94">
        <v>18587.876337293517</v>
      </c>
      <c r="L9" s="94">
        <v>17872.902279122482</v>
      </c>
      <c r="M9" s="94"/>
      <c r="N9" s="94"/>
      <c r="O9" s="94"/>
      <c r="DT9" s="4" t="s">
        <v>279</v>
      </c>
      <c r="EB9" s="4" t="s">
        <v>300</v>
      </c>
      <c r="ED9" s="4" t="s">
        <v>301</v>
      </c>
    </row>
    <row r="10" spans="1:134" ht="24" customHeight="1" x14ac:dyDescent="0.2">
      <c r="A10" s="174" t="s">
        <v>20</v>
      </c>
      <c r="B10" s="175"/>
      <c r="C10" s="9" t="s">
        <v>132</v>
      </c>
      <c r="D10" s="93"/>
      <c r="E10" s="94"/>
      <c r="F10" s="94"/>
      <c r="G10" s="94"/>
      <c r="H10" s="94"/>
      <c r="I10" s="94">
        <v>44170.664585339735</v>
      </c>
      <c r="J10" s="94">
        <v>44172.885071312128</v>
      </c>
      <c r="K10" s="94">
        <v>44170.341985521693</v>
      </c>
      <c r="L10" s="94">
        <v>43750.141074467043</v>
      </c>
      <c r="M10" s="94"/>
      <c r="N10" s="94"/>
      <c r="O10" s="94"/>
      <c r="DT10" s="4" t="s">
        <v>280</v>
      </c>
      <c r="EB10" s="4" t="s">
        <v>300</v>
      </c>
      <c r="ED10" s="4" t="s">
        <v>301</v>
      </c>
    </row>
    <row r="11" spans="1:134" s="13" customFormat="1" ht="15" customHeight="1" x14ac:dyDescent="0.2">
      <c r="A11" s="173" t="s">
        <v>18</v>
      </c>
      <c r="B11" s="110" t="s">
        <v>21</v>
      </c>
      <c r="C11" s="111" t="s">
        <v>132</v>
      </c>
      <c r="D11" s="115"/>
      <c r="E11" s="115"/>
      <c r="F11" s="116"/>
      <c r="G11" s="116"/>
      <c r="H11" s="116"/>
      <c r="I11" s="116">
        <v>47155.928400000004</v>
      </c>
      <c r="J11" s="116">
        <v>47155.928399999997</v>
      </c>
      <c r="K11" s="116">
        <v>47155.928400000004</v>
      </c>
      <c r="L11" s="116">
        <v>47155.928400000004</v>
      </c>
      <c r="M11" s="116"/>
      <c r="N11" s="116"/>
      <c r="O11" s="116"/>
      <c r="DT11" s="13" t="s">
        <v>281</v>
      </c>
      <c r="EB11" s="13" t="s">
        <v>300</v>
      </c>
      <c r="ED11" s="13" t="s">
        <v>301</v>
      </c>
    </row>
    <row r="12" spans="1:134" s="13" customFormat="1" ht="15" customHeight="1" x14ac:dyDescent="0.2">
      <c r="A12" s="173"/>
      <c r="B12" s="110" t="s">
        <v>22</v>
      </c>
      <c r="C12" s="111" t="s">
        <v>132</v>
      </c>
      <c r="D12" s="115"/>
      <c r="E12" s="115"/>
      <c r="F12" s="115"/>
      <c r="G12" s="115"/>
      <c r="H12" s="115"/>
      <c r="I12" s="115">
        <v>44195.860800000002</v>
      </c>
      <c r="J12" s="115">
        <v>44195.860800000009</v>
      </c>
      <c r="K12" s="115">
        <v>44195.860800000002</v>
      </c>
      <c r="L12" s="115">
        <v>44195.860800000002</v>
      </c>
      <c r="M12" s="115"/>
      <c r="N12" s="115"/>
      <c r="O12" s="115"/>
      <c r="DT12" s="13" t="s">
        <v>282</v>
      </c>
      <c r="EB12" s="13" t="s">
        <v>300</v>
      </c>
      <c r="ED12" s="13" t="s">
        <v>301</v>
      </c>
    </row>
    <row r="13" spans="1:134" s="13" customFormat="1" ht="15" customHeight="1" x14ac:dyDescent="0.2">
      <c r="A13" s="173"/>
      <c r="B13" s="110" t="s">
        <v>23</v>
      </c>
      <c r="C13" s="111" t="s">
        <v>132</v>
      </c>
      <c r="D13" s="115"/>
      <c r="E13" s="115"/>
      <c r="F13" s="115"/>
      <c r="G13" s="115"/>
      <c r="H13" s="115"/>
      <c r="I13" s="115">
        <v>43308.2592</v>
      </c>
      <c r="J13" s="115">
        <v>43308.2592</v>
      </c>
      <c r="K13" s="115">
        <v>43308.2592</v>
      </c>
      <c r="L13" s="115">
        <v>43308.2592</v>
      </c>
      <c r="M13" s="115"/>
      <c r="N13" s="115"/>
      <c r="O13" s="115"/>
      <c r="DT13" s="13" t="s">
        <v>283</v>
      </c>
      <c r="EB13" s="13" t="s">
        <v>300</v>
      </c>
      <c r="ED13" s="13" t="s">
        <v>301</v>
      </c>
    </row>
    <row r="14" spans="1:134" ht="24" customHeight="1" x14ac:dyDescent="0.2">
      <c r="A14" s="174" t="s">
        <v>24</v>
      </c>
      <c r="B14" s="175"/>
      <c r="C14" s="45"/>
      <c r="D14" s="15"/>
      <c r="E14" s="46"/>
      <c r="F14" s="46"/>
      <c r="G14" s="46"/>
      <c r="H14" s="46"/>
      <c r="I14" s="46"/>
      <c r="J14" s="46"/>
      <c r="K14" s="46"/>
      <c r="L14" s="46"/>
      <c r="M14" s="46"/>
      <c r="N14" s="46"/>
      <c r="O14" s="46"/>
    </row>
    <row r="15" spans="1:134" s="13" customFormat="1" ht="15" customHeight="1" x14ac:dyDescent="0.2">
      <c r="A15" s="173" t="s">
        <v>18</v>
      </c>
      <c r="B15" s="110" t="s">
        <v>26</v>
      </c>
      <c r="C15" s="14"/>
      <c r="D15" s="15"/>
      <c r="E15" s="12"/>
      <c r="F15" s="12"/>
      <c r="G15" s="12"/>
      <c r="H15" s="12"/>
      <c r="I15" s="12"/>
      <c r="J15" s="12"/>
      <c r="K15" s="12"/>
      <c r="L15" s="12"/>
      <c r="M15" s="12"/>
      <c r="N15" s="12"/>
      <c r="O15" s="12"/>
    </row>
    <row r="16" spans="1:134" s="13" customFormat="1" ht="15" customHeight="1" x14ac:dyDescent="0.2">
      <c r="A16" s="173"/>
      <c r="B16" s="110" t="s">
        <v>27</v>
      </c>
      <c r="C16" s="14"/>
      <c r="D16" s="15"/>
      <c r="E16" s="12"/>
      <c r="F16" s="12"/>
      <c r="G16" s="12"/>
      <c r="H16" s="12"/>
      <c r="I16" s="12"/>
      <c r="J16" s="12"/>
      <c r="K16" s="12"/>
      <c r="L16" s="12"/>
      <c r="M16" s="12"/>
      <c r="N16" s="12"/>
      <c r="O16" s="12"/>
    </row>
    <row r="17" spans="1:15" s="13" customFormat="1" ht="15" customHeight="1" x14ac:dyDescent="0.2">
      <c r="A17" s="173"/>
      <c r="B17" s="110" t="s">
        <v>28</v>
      </c>
      <c r="C17" s="14"/>
      <c r="D17" s="15"/>
      <c r="E17" s="12"/>
      <c r="F17" s="12"/>
      <c r="G17" s="12"/>
      <c r="H17" s="12"/>
      <c r="I17" s="12"/>
      <c r="J17" s="12"/>
      <c r="K17" s="12"/>
      <c r="L17" s="12"/>
      <c r="M17" s="12"/>
      <c r="N17" s="12"/>
      <c r="O17" s="12"/>
    </row>
    <row r="18" spans="1:15" s="13" customFormat="1" ht="15" customHeight="1" x14ac:dyDescent="0.2">
      <c r="A18" s="173"/>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6" sqref="D16"/>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Ireland</v>
      </c>
      <c r="D2" s="1"/>
      <c r="E2" s="5"/>
      <c r="F2" s="3"/>
      <c r="G2" s="3"/>
      <c r="H2" s="3"/>
      <c r="I2" s="3"/>
      <c r="J2" s="3"/>
      <c r="K2" s="3"/>
    </row>
    <row r="3" spans="1:11" ht="18" customHeight="1" x14ac:dyDescent="0.25">
      <c r="A3" s="188" t="s">
        <v>2</v>
      </c>
      <c r="B3" s="190"/>
      <c r="C3" s="114">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14</v>
      </c>
      <c r="D6" s="120">
        <f ca="1">SUM(E6:J6)</f>
        <v>8173.7759999999998</v>
      </c>
      <c r="E6" s="121">
        <f ca="1">INDIRECT(ADDRESS(ROW(K6),$C$3 -2010 + 4,,,"1a_SpaceHeating"))</f>
        <v>791.37206148434154</v>
      </c>
      <c r="F6" s="121">
        <f ca="1">INDIRECT(ADDRESS(ROW(K6),$C$3-2010+4,,,"1b_SpaceCooling"))</f>
        <v>0</v>
      </c>
      <c r="G6" s="121">
        <f ca="1">INDIRECT(ADDRESS(ROW(K6),$C$3-2010+4,,,"1c_WaterHeating"))</f>
        <v>958.67284311166247</v>
      </c>
      <c r="H6" s="121">
        <f ca="1">INDIRECT(ADDRESS(ROW(K6),$C$3-2010+4,,,"1d_Cooking"))</f>
        <v>569.92614175830033</v>
      </c>
      <c r="I6" s="121">
        <f ca="1">INDIRECT(ADDRESS(ROW(K6),$C$3-2010+4,,,"1e_LightingAndAppliances"))</f>
        <v>5551.9269752534583</v>
      </c>
      <c r="J6" s="121">
        <f ca="1">INDIRECT(ADDRESS(ROW(K6),$C$3-2010+4,,,"1f_OtherEndUses"))</f>
        <v>301.87797839223737</v>
      </c>
      <c r="K6" s="122"/>
    </row>
    <row r="7" spans="1:11" ht="24" customHeight="1" x14ac:dyDescent="0.25">
      <c r="A7" s="195" t="s">
        <v>15</v>
      </c>
      <c r="B7" s="196"/>
      <c r="C7" s="109" t="s">
        <v>16</v>
      </c>
      <c r="D7" s="123">
        <f t="shared" ref="D7:D16" ca="1" si="0">SUM(E7:J7)</f>
        <v>0</v>
      </c>
      <c r="E7" s="124" t="str">
        <f t="shared" ref="E7:E16" ca="1" si="1">INDIRECT(ADDRESS(ROW(K7),$C$3 -2010 + 4,,,"1a_SpaceHeating"))</f>
        <v/>
      </c>
      <c r="F7" s="125"/>
      <c r="G7" s="124" t="str">
        <f t="shared" ref="G7:G16" ca="1" si="2">INDIRECT(ADDRESS(ROW(K7),$C$3-2010+4,,,"1c_WaterHeating"))</f>
        <v/>
      </c>
      <c r="H7" s="124" t="str">
        <f t="shared" ref="H7:H16" ca="1" si="3">INDIRECT(ADDRESS(ROW(K7),$C$3-2010+4,,,"1d_Cooking"))</f>
        <v/>
      </c>
      <c r="I7" s="125"/>
      <c r="J7" s="124">
        <f t="shared" ref="J7:J17" ca="1" si="4">INDIRECT(ADDRESS(ROW(K7),$C$3-2010+4,,,"1f_OtherEndUses"))</f>
        <v>0</v>
      </c>
      <c r="K7" s="125"/>
    </row>
    <row r="8" spans="1:11" ht="24" customHeight="1" x14ac:dyDescent="0.25">
      <c r="A8" s="195" t="s">
        <v>29</v>
      </c>
      <c r="B8" s="196"/>
      <c r="C8" s="109" t="s">
        <v>17</v>
      </c>
      <c r="D8" s="123">
        <f t="shared" ca="1" si="0"/>
        <v>28045.519469999996</v>
      </c>
      <c r="E8" s="124">
        <f t="shared" ca="1" si="1"/>
        <v>20047.497601525087</v>
      </c>
      <c r="F8" s="125"/>
      <c r="G8" s="124">
        <f t="shared" ca="1" si="2"/>
        <v>7328.0929337825619</v>
      </c>
      <c r="H8" s="124">
        <f t="shared" ca="1" si="3"/>
        <v>669.92893469234775</v>
      </c>
      <c r="I8" s="125"/>
      <c r="J8" s="124">
        <f t="shared" ca="1" si="4"/>
        <v>0</v>
      </c>
      <c r="K8" s="125"/>
    </row>
    <row r="9" spans="1:11" ht="24" customHeight="1" x14ac:dyDescent="0.25">
      <c r="A9" s="195" t="s">
        <v>156</v>
      </c>
      <c r="B9" s="196"/>
      <c r="C9" s="109" t="s">
        <v>19</v>
      </c>
      <c r="D9" s="123">
        <f t="shared" ca="1" si="0"/>
        <v>764.10900000000004</v>
      </c>
      <c r="E9" s="124">
        <f t="shared" ca="1" si="1"/>
        <v>695.28862123178817</v>
      </c>
      <c r="F9" s="125"/>
      <c r="G9" s="124">
        <f t="shared" ca="1" si="2"/>
        <v>68.820378768211896</v>
      </c>
      <c r="H9" s="124">
        <f t="shared" ca="1" si="3"/>
        <v>0</v>
      </c>
      <c r="I9" s="125"/>
      <c r="J9" s="124">
        <f t="shared" ca="1" si="4"/>
        <v>0</v>
      </c>
      <c r="K9" s="126">
        <f ca="1">INDIRECT(ADDRESS(ROW(K9),$C$3-2010+4,,,"Calorific_Values"))</f>
        <v>17872.902279122482</v>
      </c>
    </row>
    <row r="10" spans="1:11" ht="24" customHeight="1" x14ac:dyDescent="0.25">
      <c r="A10" s="195" t="s">
        <v>42</v>
      </c>
      <c r="B10" s="196"/>
      <c r="C10" s="109" t="s">
        <v>19</v>
      </c>
      <c r="D10" s="123">
        <f t="shared" ca="1" si="0"/>
        <v>1034.2431239617692</v>
      </c>
      <c r="E10" s="124">
        <f t="shared" ca="1" si="1"/>
        <v>807.64270346478895</v>
      </c>
      <c r="F10" s="125"/>
      <c r="G10" s="124">
        <f t="shared" ca="1" si="2"/>
        <v>225.65716057661788</v>
      </c>
      <c r="H10" s="124">
        <f t="shared" ca="1" si="3"/>
        <v>0.94325992036246153</v>
      </c>
      <c r="I10" s="125"/>
      <c r="J10" s="124">
        <f t="shared" ca="1" si="4"/>
        <v>0</v>
      </c>
      <c r="K10" s="126">
        <f ca="1">INDIRECT(ADDRESS(ROW(K10),$C$3-2010+4,,,"Calorific_Values"))</f>
        <v>43750.141074467043</v>
      </c>
    </row>
    <row r="11" spans="1:11" s="34" customFormat="1" ht="15" customHeight="1" x14ac:dyDescent="0.25">
      <c r="A11" s="194" t="s">
        <v>18</v>
      </c>
      <c r="B11" s="10" t="s">
        <v>21</v>
      </c>
      <c r="C11" s="11" t="s">
        <v>19</v>
      </c>
      <c r="D11" s="127">
        <f t="shared" ca="1" si="0"/>
        <v>38.729466737848867</v>
      </c>
      <c r="E11" s="128">
        <f t="shared" ca="1" si="1"/>
        <v>30.108295622132392</v>
      </c>
      <c r="F11" s="129"/>
      <c r="G11" s="128">
        <f t="shared" ca="1" si="2"/>
        <v>7.677911195354012</v>
      </c>
      <c r="H11" s="128">
        <f t="shared" ca="1" si="3"/>
        <v>0.94325992036246153</v>
      </c>
      <c r="I11" s="129"/>
      <c r="J11" s="128">
        <f t="shared" ca="1" si="4"/>
        <v>0</v>
      </c>
      <c r="K11" s="130">
        <f t="shared" ref="K11:K13" ca="1" si="5">INDIRECT(ADDRESS(ROW(K11),$C$3-2010+4,,,"Calorific_Values"))</f>
        <v>47155.928400000004</v>
      </c>
    </row>
    <row r="12" spans="1:11" s="34" customFormat="1" ht="15" customHeight="1" x14ac:dyDescent="0.25">
      <c r="A12" s="194"/>
      <c r="B12" s="10" t="s">
        <v>22</v>
      </c>
      <c r="C12" s="11" t="s">
        <v>19</v>
      </c>
      <c r="D12" s="127">
        <f t="shared" ca="1" si="0"/>
        <v>807.09602183999982</v>
      </c>
      <c r="E12" s="128">
        <f t="shared" ca="1" si="1"/>
        <v>626.71922967093201</v>
      </c>
      <c r="F12" s="129"/>
      <c r="G12" s="128">
        <f t="shared" ca="1" si="2"/>
        <v>180.37679216906776</v>
      </c>
      <c r="H12" s="128">
        <f t="shared" ca="1" si="3"/>
        <v>0</v>
      </c>
      <c r="I12" s="129"/>
      <c r="J12" s="128">
        <f t="shared" ca="1" si="4"/>
        <v>0</v>
      </c>
      <c r="K12" s="130">
        <f t="shared" ca="1" si="5"/>
        <v>44195.860800000002</v>
      </c>
    </row>
    <row r="13" spans="1:11" s="34" customFormat="1" ht="15" customHeight="1" x14ac:dyDescent="0.25">
      <c r="A13" s="194"/>
      <c r="B13" s="10" t="s">
        <v>23</v>
      </c>
      <c r="C13" s="11" t="s">
        <v>19</v>
      </c>
      <c r="D13" s="127">
        <f t="shared" ca="1" si="0"/>
        <v>154.63963538392068</v>
      </c>
      <c r="E13" s="128">
        <f t="shared" ca="1" si="1"/>
        <v>120.07943360129373</v>
      </c>
      <c r="F13" s="129"/>
      <c r="G13" s="128">
        <f t="shared" ca="1" si="2"/>
        <v>34.560201782626947</v>
      </c>
      <c r="H13" s="128">
        <f t="shared" ca="1" si="3"/>
        <v>0</v>
      </c>
      <c r="I13" s="129"/>
      <c r="J13" s="128">
        <f t="shared" ca="1" si="4"/>
        <v>0</v>
      </c>
      <c r="K13" s="130">
        <f t="shared" ca="1" si="5"/>
        <v>43308.2592</v>
      </c>
    </row>
    <row r="14" spans="1:11" ht="24" customHeight="1" x14ac:dyDescent="0.25">
      <c r="A14" s="195" t="s">
        <v>43</v>
      </c>
      <c r="B14" s="196"/>
      <c r="C14" s="109" t="s">
        <v>16</v>
      </c>
      <c r="D14" s="123">
        <f t="shared" ca="1" si="0"/>
        <v>2863.7815215140008</v>
      </c>
      <c r="E14" s="124">
        <f t="shared" ca="1" si="1"/>
        <v>1810.8170062315814</v>
      </c>
      <c r="F14" s="125"/>
      <c r="G14" s="124">
        <f t="shared" ca="1" si="2"/>
        <v>1052.9645152824194</v>
      </c>
      <c r="H14" s="124">
        <f t="shared" ca="1" si="3"/>
        <v>0</v>
      </c>
      <c r="I14" s="125"/>
      <c r="J14" s="124">
        <f t="shared" ca="1" si="4"/>
        <v>0</v>
      </c>
      <c r="K14" s="125"/>
    </row>
    <row r="15" spans="1:11" s="34" customFormat="1" ht="15" customHeight="1" x14ac:dyDescent="0.25">
      <c r="A15" s="194" t="s">
        <v>18</v>
      </c>
      <c r="B15" s="10" t="s">
        <v>26</v>
      </c>
      <c r="C15" s="11" t="s">
        <v>16</v>
      </c>
      <c r="D15" s="127">
        <f t="shared" ca="1" si="0"/>
        <v>560.28437780604736</v>
      </c>
      <c r="E15" s="128">
        <f t="shared" ca="1" si="1"/>
        <v>16.901236488853705</v>
      </c>
      <c r="F15" s="129"/>
      <c r="G15" s="128">
        <f t="shared" ca="1" si="2"/>
        <v>543.38314131719369</v>
      </c>
      <c r="H15" s="128">
        <f t="shared" ca="1" si="3"/>
        <v>0</v>
      </c>
      <c r="I15" s="129"/>
      <c r="J15" s="128">
        <f t="shared" ca="1" si="4"/>
        <v>0</v>
      </c>
      <c r="K15" s="129"/>
    </row>
    <row r="16" spans="1:11" s="34" customFormat="1" ht="15" customHeight="1" x14ac:dyDescent="0.25">
      <c r="A16" s="194"/>
      <c r="B16" s="10" t="s">
        <v>27</v>
      </c>
      <c r="C16" s="11" t="s">
        <v>16</v>
      </c>
      <c r="D16" s="127">
        <f t="shared" ca="1" si="0"/>
        <v>1166.568700255739</v>
      </c>
      <c r="E16" s="128">
        <f t="shared" ca="1" si="1"/>
        <v>997.73743167517705</v>
      </c>
      <c r="F16" s="129"/>
      <c r="G16" s="128">
        <f t="shared" ca="1" si="2"/>
        <v>168.83126858056193</v>
      </c>
      <c r="H16" s="128">
        <f t="shared" ca="1" si="3"/>
        <v>0</v>
      </c>
      <c r="I16" s="129"/>
      <c r="J16" s="128">
        <f t="shared" ca="1" si="4"/>
        <v>0</v>
      </c>
      <c r="K16" s="129"/>
    </row>
    <row r="17" spans="1:11" s="34" customFormat="1" ht="15" customHeight="1" x14ac:dyDescent="0.25">
      <c r="A17" s="194"/>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94"/>
      <c r="B18" s="34" t="s">
        <v>184</v>
      </c>
      <c r="C18" s="11" t="s">
        <v>16</v>
      </c>
      <c r="D18" s="127">
        <f ca="1">SUM(E18:J18)</f>
        <v>0</v>
      </c>
      <c r="E18" s="128">
        <f ca="1">INDIRECT(ADDRESS(ROW(K18),$C$3 -2010 + 4,,,"1a_SpaceHeating"))</f>
        <v>0</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9" sqref="D19"/>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Ireland</v>
      </c>
      <c r="D2" s="1"/>
      <c r="E2" s="5"/>
      <c r="F2" s="3"/>
      <c r="G2" s="3"/>
      <c r="H2" s="3"/>
      <c r="I2" s="3"/>
      <c r="J2" s="3"/>
      <c r="K2" s="3"/>
    </row>
    <row r="3" spans="1:11" ht="18" customHeight="1" x14ac:dyDescent="0.25">
      <c r="A3" s="188" t="s">
        <v>2</v>
      </c>
      <c r="B3" s="189"/>
      <c r="C3" s="1">
        <f>Table1_Totals!C3</f>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16</v>
      </c>
      <c r="D6" s="120">
        <f ca="1">SUM(E6:J6)</f>
        <v>29425.5936</v>
      </c>
      <c r="E6" s="121">
        <f ca="1">Table1_Totals!E6*3.6</f>
        <v>2848.9394213436294</v>
      </c>
      <c r="F6" s="121">
        <f ca="1">Table1_Totals!F6*3.6</f>
        <v>0</v>
      </c>
      <c r="G6" s="121">
        <f ca="1">Table1_Totals!G6*3.6</f>
        <v>3451.2222352019849</v>
      </c>
      <c r="H6" s="121">
        <f ca="1">Table1_Totals!H6*3.6</f>
        <v>2051.7341103298813</v>
      </c>
      <c r="I6" s="121">
        <f ca="1">Table1_Totals!I6*3.6</f>
        <v>19986.937110912451</v>
      </c>
      <c r="J6" s="121">
        <f ca="1">Table1_Totals!J6*3.6</f>
        <v>1086.7607222120546</v>
      </c>
      <c r="K6" s="122"/>
    </row>
    <row r="7" spans="1:11" ht="24" customHeight="1" x14ac:dyDescent="0.25">
      <c r="A7" s="195" t="s">
        <v>15</v>
      </c>
      <c r="B7" s="196"/>
      <c r="C7" s="109" t="s">
        <v>16</v>
      </c>
      <c r="D7" s="123">
        <f t="shared" ref="D7:D18" ca="1" si="0">SUM(E7:J7)</f>
        <v>0</v>
      </c>
      <c r="E7" s="124" t="str">
        <f ca="1">Table1_Totals!E7</f>
        <v/>
      </c>
      <c r="F7" s="125"/>
      <c r="G7" s="124" t="str">
        <f ca="1">Table1_Totals!G7</f>
        <v/>
      </c>
      <c r="H7" s="124" t="str">
        <f ca="1">Table1_Totals!H7</f>
        <v/>
      </c>
      <c r="I7" s="125"/>
      <c r="J7" s="124">
        <f ca="1">Table1_Totals!J7</f>
        <v>0</v>
      </c>
      <c r="K7" s="125"/>
    </row>
    <row r="8" spans="1:11" ht="24" customHeight="1" x14ac:dyDescent="0.25">
      <c r="A8" s="195" t="s">
        <v>29</v>
      </c>
      <c r="B8" s="196"/>
      <c r="C8" s="109" t="s">
        <v>16</v>
      </c>
      <c r="D8" s="123">
        <f t="shared" ca="1" si="0"/>
        <v>25240.967522999999</v>
      </c>
      <c r="E8" s="124">
        <f ca="1">Table1_Totals!E8*0.9</f>
        <v>18042.74784137258</v>
      </c>
      <c r="F8" s="125"/>
      <c r="G8" s="124">
        <f ca="1">Table1_Totals!G8*0.9</f>
        <v>6595.2836404043055</v>
      </c>
      <c r="H8" s="124">
        <f ca="1">Table1_Totals!H8*0.9</f>
        <v>602.93604122311297</v>
      </c>
      <c r="I8" s="125"/>
      <c r="J8" s="124">
        <f ca="1">Table1_Totals!J8*0.9</f>
        <v>0</v>
      </c>
      <c r="K8" s="125"/>
    </row>
    <row r="9" spans="1:11" ht="24" customHeight="1" x14ac:dyDescent="0.25">
      <c r="A9" s="195" t="s">
        <v>156</v>
      </c>
      <c r="B9" s="196"/>
      <c r="C9" s="109" t="s">
        <v>16</v>
      </c>
      <c r="D9" s="123">
        <f t="shared" ca="1" si="0"/>
        <v>13656.845487598002</v>
      </c>
      <c r="E9" s="124">
        <f ca="1">IF(Table1_Totals!E9&lt;&gt;0,IF(Table1_Totals!$K9&lt;&gt;0,Table1_Totals!E9*Table1_Totals!$K9/1000,"Please check CV"),"0,000")</f>
        <v>12426.825583061556</v>
      </c>
      <c r="F9" s="125"/>
      <c r="G9" s="124">
        <f ca="1">IF(Table1_Totals!G9&lt;&gt;0,IF(Table1_Totals!$K9&lt;&gt;0,Table1_Totals!G9*Table1_Totals!$K$9/1000,"Please check CV"),"0,000")</f>
        <v>1230.0199045364468</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17872.902279122482</v>
      </c>
    </row>
    <row r="10" spans="1:11" ht="24" customHeight="1" x14ac:dyDescent="0.25">
      <c r="A10" s="195" t="s">
        <v>42</v>
      </c>
      <c r="B10" s="196"/>
      <c r="C10" s="109" t="s">
        <v>16</v>
      </c>
      <c r="D10" s="123">
        <f t="shared" ca="1" si="0"/>
        <v>45248.282578624916</v>
      </c>
      <c r="E10" s="124">
        <f ca="1">IF(Table1_Totals!E10&lt;&gt;0,IF(Table1_Totals!$K10&lt;&gt;0,Table1_Totals!E10*Table1_Totals!$K10/1000,"Please check CV"),"0,000")</f>
        <v>35334.482214348471</v>
      </c>
      <c r="F10" s="125"/>
      <c r="G10" s="124">
        <f ca="1">IF(Table1_Totals!G10&lt;&gt;0,IF(Table1_Totals!$K10&lt;&gt;0,Table1_Totals!G10*Table1_Totals!$K10/1000,"Please check CV"),"0,000")</f>
        <v>9872.5326096906956</v>
      </c>
      <c r="H10" s="124">
        <f ca="1">IF(Table1_Totals!H10&lt;&gt;0,IF(Table1_Totals!$K10&lt;&gt;0,Table1_Totals!H10*Table1_Totals!$K10/1000,"Please check CV"),"0,000")</f>
        <v>41.267754585748243</v>
      </c>
      <c r="I10" s="125"/>
      <c r="J10" s="124" t="str">
        <f ca="1">IF(Table1_Totals!J10&lt;&gt;0,IF(Table1_Totals!$K10&lt;&gt;0,Table1_Totals!J10*Table1_Totals!$K10/1000,"Please check CV"),"0,000")</f>
        <v>0,000</v>
      </c>
      <c r="K10" s="126">
        <f ca="1">Table1_Totals!K10</f>
        <v>43750.141074467043</v>
      </c>
    </row>
    <row r="11" spans="1:11" s="34" customFormat="1" ht="15" customHeight="1" x14ac:dyDescent="0.25">
      <c r="A11" s="194" t="s">
        <v>18</v>
      </c>
      <c r="B11" s="10" t="s">
        <v>21</v>
      </c>
      <c r="C11" s="11" t="s">
        <v>16</v>
      </c>
      <c r="D11" s="127">
        <f t="shared" ca="1" si="0"/>
        <v>1826.3239604601827</v>
      </c>
      <c r="E11" s="128">
        <f ca="1">IF(Table1_Totals!E11&lt;&gt;0,IF(Table1_Totals!$K11&lt;&gt;0,Table1_Totals!E11*Table1_Totals!$K11/1000,"Please check CV"),"0,000")</f>
        <v>1419.7846326033086</v>
      </c>
      <c r="F11" s="129"/>
      <c r="G11" s="128">
        <f ca="1">IF(Table1_Totals!G11&lt;&gt;0,IF(Table1_Totals!$K11&lt;&gt;0,Table1_Totals!G11*Table1_Totals!$K11/1000,"Please check CV"),"0,000")</f>
        <v>362.0590305896722</v>
      </c>
      <c r="H11" s="128">
        <f ca="1">IF(Table1_Totals!H11&lt;&gt;0,IF(Table1_Totals!$K11&lt;&gt;0,Table1_Totals!H11*Table1_Totals!$K11/1000,"Please check CV"),"0,000")</f>
        <v>44.480297267201941</v>
      </c>
      <c r="I11" s="129"/>
      <c r="J11" s="128" t="str">
        <f ca="1">IF(Table1_Totals!J11&lt;&gt;0,IF(Table1_Totals!$K11&lt;&gt;0,Table1_Totals!J11*Table1_Totals!$K11/1000,"Please check CV"),"0,000")</f>
        <v>0,000</v>
      </c>
      <c r="K11" s="130">
        <f ca="1">Table1_Totals!K11</f>
        <v>47155.928400000004</v>
      </c>
    </row>
    <row r="12" spans="1:11" s="34" customFormat="1" ht="15" customHeight="1" x14ac:dyDescent="0.25">
      <c r="A12" s="194"/>
      <c r="B12" s="10" t="s">
        <v>22</v>
      </c>
      <c r="C12" s="11" t="s">
        <v>16</v>
      </c>
      <c r="D12" s="127">
        <f t="shared" ca="1" si="0"/>
        <v>35670.303433474386</v>
      </c>
      <c r="E12" s="128">
        <f ca="1">IF(Table1_Totals!E12&lt;&gt;0,IF(Table1_Totals!$K12&lt;&gt;0,Table1_Totals!E12*Table1_Totals!$K12/1000,"Please check CV"),"0,000")</f>
        <v>27698.395835219741</v>
      </c>
      <c r="F12" s="129"/>
      <c r="G12" s="128">
        <f ca="1">IF(Table1_Totals!G12&lt;&gt;0,IF(Table1_Totals!$K12&lt;&gt;0,Table1_Totals!G12*Table1_Totals!$K12/1000,"Please check CV"),"0,000")</f>
        <v>7971.9075982546492</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44195.860800000002</v>
      </c>
    </row>
    <row r="13" spans="1:11" s="34" customFormat="1" ht="15" customHeight="1" x14ac:dyDescent="0.25">
      <c r="A13" s="194"/>
      <c r="B13" s="10" t="s">
        <v>23</v>
      </c>
      <c r="C13" s="11" t="s">
        <v>16</v>
      </c>
      <c r="D13" s="127">
        <f t="shared" ca="1" si="0"/>
        <v>6697.1734118003278</v>
      </c>
      <c r="E13" s="128">
        <f ca="1">IF(Table1_Totals!E13&lt;&gt;0,IF(Table1_Totals!$K13&lt;&gt;0,Table1_Totals!E13*Table1_Totals!$K13/1000,"Please check CV"),"0,000")</f>
        <v>5200.4312349940183</v>
      </c>
      <c r="F13" s="129"/>
      <c r="G13" s="128">
        <f ca="1">IF(Table1_Totals!G13&lt;&gt;0,IF(Table1_Totals!$K13&lt;&gt;0,Table1_Totals!G13*Table1_Totals!$K13/1000,"Please check CV"),"0,000")</f>
        <v>1496.74217680631</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43308.2592</v>
      </c>
    </row>
    <row r="14" spans="1:11" ht="24" customHeight="1" x14ac:dyDescent="0.25">
      <c r="A14" s="195" t="s">
        <v>43</v>
      </c>
      <c r="B14" s="196"/>
      <c r="C14" s="109" t="s">
        <v>16</v>
      </c>
      <c r="D14" s="123">
        <f t="shared" ca="1" si="0"/>
        <v>2863.7815215140008</v>
      </c>
      <c r="E14" s="124">
        <f ca="1">Table1_Totals!E14</f>
        <v>1810.8170062315814</v>
      </c>
      <c r="F14" s="125"/>
      <c r="G14" s="124">
        <f ca="1">Table1_Totals!G14</f>
        <v>1052.9645152824194</v>
      </c>
      <c r="H14" s="124">
        <f ca="1">Table1_Totals!H14</f>
        <v>0</v>
      </c>
      <c r="I14" s="125"/>
      <c r="J14" s="124">
        <f ca="1">Table1_Totals!J14</f>
        <v>0</v>
      </c>
      <c r="K14" s="125"/>
    </row>
    <row r="15" spans="1:11" s="34" customFormat="1" ht="15" customHeight="1" x14ac:dyDescent="0.25">
      <c r="A15" s="194" t="s">
        <v>18</v>
      </c>
      <c r="B15" s="10" t="s">
        <v>26</v>
      </c>
      <c r="C15" s="11" t="s">
        <v>16</v>
      </c>
      <c r="D15" s="127">
        <f t="shared" ca="1" si="0"/>
        <v>560.28437780604736</v>
      </c>
      <c r="E15" s="128">
        <f ca="1">Table1_Totals!E15</f>
        <v>16.901236488853705</v>
      </c>
      <c r="F15" s="129"/>
      <c r="G15" s="128">
        <f ca="1">Table1_Totals!G15</f>
        <v>543.38314131719369</v>
      </c>
      <c r="H15" s="128">
        <f ca="1">Table1_Totals!H15</f>
        <v>0</v>
      </c>
      <c r="I15" s="129"/>
      <c r="J15" s="128">
        <f ca="1">Table1_Totals!J15</f>
        <v>0</v>
      </c>
      <c r="K15" s="129"/>
    </row>
    <row r="16" spans="1:11" s="34" customFormat="1" ht="15" customHeight="1" x14ac:dyDescent="0.25">
      <c r="A16" s="194"/>
      <c r="B16" s="10" t="s">
        <v>27</v>
      </c>
      <c r="C16" s="11" t="s">
        <v>16</v>
      </c>
      <c r="D16" s="127">
        <f t="shared" ca="1" si="0"/>
        <v>1166.568700255739</v>
      </c>
      <c r="E16" s="128">
        <f ca="1">Table1_Totals!E16</f>
        <v>997.73743167517705</v>
      </c>
      <c r="F16" s="129"/>
      <c r="G16" s="128">
        <f ca="1">Table1_Totals!G16</f>
        <v>168.83126858056193</v>
      </c>
      <c r="H16" s="128">
        <f ca="1">Table1_Totals!H16</f>
        <v>0</v>
      </c>
      <c r="I16" s="129"/>
      <c r="J16" s="128">
        <f ca="1">Table1_Totals!J16</f>
        <v>0</v>
      </c>
      <c r="K16" s="129"/>
    </row>
    <row r="17" spans="1:11" s="34" customFormat="1" ht="15" customHeight="1" x14ac:dyDescent="0.25">
      <c r="A17" s="194"/>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94"/>
      <c r="B18" s="34" t="s">
        <v>184</v>
      </c>
      <c r="C18" s="11" t="s">
        <v>16</v>
      </c>
      <c r="D18" s="127">
        <f t="shared" ca="1" si="0"/>
        <v>0</v>
      </c>
      <c r="E18" s="128">
        <f ca="1">Table1_Totals!E18</f>
        <v>0</v>
      </c>
      <c r="F18" s="129"/>
      <c r="G18" s="128">
        <f ca="1">Table1_Totals!G18</f>
        <v>0</v>
      </c>
      <c r="H18" s="128">
        <f ca="1">Table1_Totals!H18</f>
        <v>0</v>
      </c>
      <c r="I18" s="129"/>
      <c r="J18" s="128">
        <f ca="1">Table1_Totals!J18</f>
        <v>0</v>
      </c>
      <c r="K18" s="129"/>
    </row>
    <row r="19" spans="1:11" ht="24" customHeight="1" x14ac:dyDescent="0.25">
      <c r="A19" s="195" t="s">
        <v>171</v>
      </c>
      <c r="B19" s="196"/>
      <c r="C19" s="109" t="s">
        <v>16</v>
      </c>
      <c r="D19" s="123">
        <f t="shared" ref="D19" ca="1" si="2">SUM(E19:J19)</f>
        <v>116435.47071073692</v>
      </c>
      <c r="E19" s="124">
        <f ca="1">SUM(E6:E10,E14)</f>
        <v>70463.812066357816</v>
      </c>
      <c r="F19" s="124">
        <f t="shared" ref="F19:J19" ca="1" si="3">SUM(F6:F10,F14)</f>
        <v>0</v>
      </c>
      <c r="G19" s="124">
        <f t="shared" ca="1" si="3"/>
        <v>22202.022905115849</v>
      </c>
      <c r="H19" s="124">
        <f t="shared" ca="1" si="3"/>
        <v>2695.9379061387426</v>
      </c>
      <c r="I19" s="124">
        <f t="shared" ca="1" si="3"/>
        <v>19986.937110912451</v>
      </c>
      <c r="J19" s="124">
        <f t="shared" ca="1" si="3"/>
        <v>1086.7607222120546</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J30" sqref="J30"/>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c r="E6" s="60"/>
      <c r="F6" s="60"/>
      <c r="G6" s="60"/>
      <c r="H6" s="60"/>
      <c r="I6" s="60">
        <v>773.1875804321877</v>
      </c>
      <c r="J6" s="60">
        <v>776.66499073902116</v>
      </c>
      <c r="K6" s="60">
        <v>723.39288377267633</v>
      </c>
      <c r="L6" s="60">
        <v>791.37206148434154</v>
      </c>
      <c r="M6" s="60"/>
      <c r="N6" s="60"/>
      <c r="O6" s="60"/>
      <c r="DS6" s="4" t="str">
        <f>VLOOKUP(Cover!$D$15, Country_list!$B$3:$C$44, 2, 0)</f>
        <v>IE</v>
      </c>
      <c r="DT6" s="33" t="s">
        <v>289</v>
      </c>
      <c r="DV6" s="33" t="s">
        <v>302</v>
      </c>
      <c r="EB6" s="33" t="s">
        <v>291</v>
      </c>
      <c r="ED6" s="33" t="s">
        <v>294</v>
      </c>
    </row>
    <row r="7" spans="1:134" ht="24" customHeight="1" x14ac:dyDescent="0.25">
      <c r="A7" s="174" t="s">
        <v>15</v>
      </c>
      <c r="B7" s="198"/>
      <c r="C7" s="9" t="s">
        <v>25</v>
      </c>
      <c r="D7" s="61"/>
      <c r="E7" s="58"/>
      <c r="F7" s="58"/>
      <c r="G7" s="58"/>
      <c r="H7" s="58"/>
      <c r="I7" s="58" t="s">
        <v>315</v>
      </c>
      <c r="J7" s="58" t="s">
        <v>315</v>
      </c>
      <c r="K7" s="58" t="s">
        <v>315</v>
      </c>
      <c r="L7" s="58" t="s">
        <v>315</v>
      </c>
      <c r="M7" s="58"/>
      <c r="N7" s="58"/>
      <c r="O7" s="58"/>
      <c r="DT7" s="33" t="s">
        <v>290</v>
      </c>
      <c r="EB7" s="33" t="s">
        <v>291</v>
      </c>
      <c r="ED7" s="33" t="s">
        <v>295</v>
      </c>
    </row>
    <row r="8" spans="1:134" ht="24" customHeight="1" x14ac:dyDescent="0.25">
      <c r="A8" s="174" t="s">
        <v>29</v>
      </c>
      <c r="B8" s="198"/>
      <c r="C8" s="9" t="s">
        <v>17</v>
      </c>
      <c r="D8" s="61"/>
      <c r="E8" s="58"/>
      <c r="F8" s="58"/>
      <c r="G8" s="58"/>
      <c r="H8" s="58"/>
      <c r="I8" s="58">
        <v>18470.115329525073</v>
      </c>
      <c r="J8" s="58">
        <v>18803.204488261887</v>
      </c>
      <c r="K8" s="58">
        <v>18057.652833303539</v>
      </c>
      <c r="L8" s="58">
        <v>20047.497601525087</v>
      </c>
      <c r="M8" s="58"/>
      <c r="N8" s="58"/>
      <c r="O8" s="58"/>
      <c r="DT8" s="33" t="s">
        <v>231</v>
      </c>
      <c r="EB8" s="33" t="s">
        <v>291</v>
      </c>
      <c r="ED8" s="33" t="s">
        <v>296</v>
      </c>
    </row>
    <row r="9" spans="1:134" ht="24" customHeight="1" x14ac:dyDescent="0.25">
      <c r="A9" s="174" t="s">
        <v>156</v>
      </c>
      <c r="B9" s="198"/>
      <c r="C9" s="9" t="s">
        <v>19</v>
      </c>
      <c r="D9" s="61"/>
      <c r="E9" s="58"/>
      <c r="F9" s="58"/>
      <c r="G9" s="58"/>
      <c r="H9" s="58"/>
      <c r="I9" s="58">
        <v>806.71967858527773</v>
      </c>
      <c r="J9" s="58">
        <v>761.19378159658299</v>
      </c>
      <c r="K9" s="58">
        <v>694.3754859437438</v>
      </c>
      <c r="L9" s="58">
        <v>695.28862123178817</v>
      </c>
      <c r="M9" s="58"/>
      <c r="N9" s="58"/>
      <c r="O9" s="58"/>
      <c r="DT9" s="33" t="s">
        <v>279</v>
      </c>
      <c r="EB9" s="33" t="s">
        <v>292</v>
      </c>
      <c r="ED9" s="33" t="s">
        <v>293</v>
      </c>
    </row>
    <row r="10" spans="1:134" ht="24" customHeight="1" x14ac:dyDescent="0.25">
      <c r="A10" s="174" t="s">
        <v>20</v>
      </c>
      <c r="B10" s="198"/>
      <c r="C10" s="9" t="s">
        <v>19</v>
      </c>
      <c r="D10" s="61"/>
      <c r="E10" s="58"/>
      <c r="F10" s="58"/>
      <c r="G10" s="58"/>
      <c r="H10" s="58"/>
      <c r="I10" s="58">
        <v>702.12492343358554</v>
      </c>
      <c r="J10" s="58">
        <v>739.03999126631538</v>
      </c>
      <c r="K10" s="58">
        <v>698.38175851022993</v>
      </c>
      <c r="L10" s="58">
        <v>807.64270346478895</v>
      </c>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v>25.235743490817701</v>
      </c>
      <c r="J11" s="113">
        <v>27.12792456541483</v>
      </c>
      <c r="K11" s="113">
        <v>27.34350324187966</v>
      </c>
      <c r="L11" s="113">
        <v>30.108295622132392</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v>572.59667387285458</v>
      </c>
      <c r="J12" s="113">
        <v>602.44734896637976</v>
      </c>
      <c r="K12" s="113">
        <v>559.83241327986048</v>
      </c>
      <c r="L12" s="113">
        <v>626.71922967093201</v>
      </c>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v>104.292506069913</v>
      </c>
      <c r="J13" s="113">
        <v>109.46471773452089</v>
      </c>
      <c r="K13" s="113">
        <v>111.20584198848979</v>
      </c>
      <c r="L13" s="113">
        <v>120.07943360129373</v>
      </c>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v>2082.530256029816</v>
      </c>
      <c r="J14" s="58">
        <v>2208.5195672162022</v>
      </c>
      <c r="K14" s="58">
        <v>1643.3105433392279</v>
      </c>
      <c r="L14" s="58">
        <v>1810.8170062315814</v>
      </c>
      <c r="M14" s="58"/>
      <c r="N14" s="58"/>
      <c r="O14" s="58"/>
      <c r="DT14" s="139" t="s">
        <v>284</v>
      </c>
      <c r="EB14" s="33" t="s">
        <v>291</v>
      </c>
      <c r="ED14" s="33" t="s">
        <v>295</v>
      </c>
    </row>
    <row r="15" spans="1:134" s="34" customFormat="1" ht="15" customHeight="1" x14ac:dyDescent="0.25">
      <c r="A15" s="173" t="s">
        <v>18</v>
      </c>
      <c r="B15" s="110" t="s">
        <v>26</v>
      </c>
      <c r="C15" s="111" t="s">
        <v>25</v>
      </c>
      <c r="D15" s="112"/>
      <c r="E15" s="113"/>
      <c r="F15" s="113"/>
      <c r="G15" s="113"/>
      <c r="H15" s="113"/>
      <c r="I15" s="113">
        <v>14.318990825911605</v>
      </c>
      <c r="J15" s="113">
        <v>17.749788894797021</v>
      </c>
      <c r="K15" s="113">
        <v>16.073589317415845</v>
      </c>
      <c r="L15" s="113">
        <v>16.901236488853705</v>
      </c>
      <c r="M15" s="113"/>
      <c r="N15" s="113"/>
      <c r="O15" s="113"/>
      <c r="DT15" s="34" t="s">
        <v>285</v>
      </c>
      <c r="EB15" s="34" t="s">
        <v>291</v>
      </c>
      <c r="ED15" s="34" t="s">
        <v>295</v>
      </c>
    </row>
    <row r="16" spans="1:134" s="34" customFormat="1" ht="15" customHeight="1" x14ac:dyDescent="0.25">
      <c r="A16" s="173"/>
      <c r="B16" s="110" t="s">
        <v>27</v>
      </c>
      <c r="C16" s="111" t="s">
        <v>25</v>
      </c>
      <c r="D16" s="112"/>
      <c r="E16" s="113"/>
      <c r="F16" s="113"/>
      <c r="G16" s="113"/>
      <c r="H16" s="113"/>
      <c r="I16" s="113">
        <v>1165.3657018841295</v>
      </c>
      <c r="J16" s="113">
        <v>1145.0988888002266</v>
      </c>
      <c r="K16" s="113">
        <v>951.842971045019</v>
      </c>
      <c r="L16" s="113">
        <v>997.73743167517705</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v>0</v>
      </c>
      <c r="J17" s="112">
        <v>0</v>
      </c>
      <c r="K17" s="112">
        <v>0</v>
      </c>
      <c r="L17" s="112"/>
      <c r="M17" s="112"/>
      <c r="N17" s="112"/>
      <c r="O17" s="112"/>
      <c r="DT17" s="34" t="s">
        <v>287</v>
      </c>
      <c r="EB17" s="34" t="s">
        <v>291</v>
      </c>
      <c r="ED17" s="34" t="s">
        <v>295</v>
      </c>
    </row>
    <row r="18" spans="1:134" s="34" customFormat="1" ht="15" customHeight="1" x14ac:dyDescent="0.25">
      <c r="A18" s="173"/>
      <c r="B18" s="110" t="s">
        <v>184</v>
      </c>
      <c r="C18" s="111" t="s">
        <v>25</v>
      </c>
      <c r="D18" s="112"/>
      <c r="E18" s="112"/>
      <c r="F18" s="112"/>
      <c r="G18" s="112"/>
      <c r="H18" s="112"/>
      <c r="I18" s="112"/>
      <c r="J18" s="112"/>
      <c r="K18" s="112"/>
      <c r="L18" s="112"/>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1"/>
      <c r="C6" s="8" t="s">
        <v>14</v>
      </c>
      <c r="D6" s="59"/>
      <c r="E6" s="60"/>
      <c r="F6" s="60"/>
      <c r="G6" s="60"/>
      <c r="H6" s="60"/>
      <c r="I6" s="60"/>
      <c r="J6" s="60"/>
      <c r="K6" s="60"/>
      <c r="L6" s="60"/>
      <c r="M6" s="60"/>
      <c r="N6" s="60"/>
      <c r="O6" s="60"/>
      <c r="DS6" s="4" t="str">
        <f>VLOOKUP(Cover!$D$15, Country_list!$B$3:$C$44, 2, 0)</f>
        <v>IE</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L9" sqref="L9"/>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8</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c r="E6" s="60"/>
      <c r="F6" s="60"/>
      <c r="G6" s="60"/>
      <c r="H6" s="60"/>
      <c r="I6" s="60">
        <v>857.77414663404375</v>
      </c>
      <c r="J6" s="60">
        <v>921.66446693348121</v>
      </c>
      <c r="K6" s="60">
        <v>939.7894490601351</v>
      </c>
      <c r="L6" s="60">
        <v>958.67284311166247</v>
      </c>
      <c r="M6" s="60"/>
      <c r="N6" s="60"/>
      <c r="O6" s="60"/>
      <c r="DS6" s="4" t="str">
        <f>VLOOKUP(Cover!$D$15, Country_list!$B$3:$C$44, 2, 0)</f>
        <v>IE</v>
      </c>
      <c r="DT6" s="33" t="s">
        <v>289</v>
      </c>
      <c r="DV6" s="33" t="s">
        <v>304</v>
      </c>
      <c r="EB6" s="33" t="s">
        <v>291</v>
      </c>
      <c r="ED6" s="33" t="s">
        <v>294</v>
      </c>
    </row>
    <row r="7" spans="1:134" ht="24" customHeight="1" x14ac:dyDescent="0.25">
      <c r="A7" s="174" t="s">
        <v>15</v>
      </c>
      <c r="B7" s="198"/>
      <c r="C7" s="9" t="s">
        <v>25</v>
      </c>
      <c r="D7" s="61"/>
      <c r="E7" s="58"/>
      <c r="F7" s="58"/>
      <c r="G7" s="58"/>
      <c r="H7" s="58"/>
      <c r="I7" s="58" t="s">
        <v>315</v>
      </c>
      <c r="J7" s="58" t="s">
        <v>315</v>
      </c>
      <c r="K7" s="58" t="s">
        <v>315</v>
      </c>
      <c r="L7" s="58" t="s">
        <v>315</v>
      </c>
      <c r="M7" s="58"/>
      <c r="N7" s="58"/>
      <c r="O7" s="58"/>
      <c r="DT7" s="33" t="s">
        <v>290</v>
      </c>
      <c r="EB7" s="33" t="s">
        <v>291</v>
      </c>
      <c r="ED7" s="33" t="s">
        <v>295</v>
      </c>
    </row>
    <row r="8" spans="1:134" ht="24" customHeight="1" x14ac:dyDescent="0.25">
      <c r="A8" s="174" t="s">
        <v>29</v>
      </c>
      <c r="B8" s="198"/>
      <c r="C8" s="9" t="s">
        <v>17</v>
      </c>
      <c r="D8" s="61"/>
      <c r="E8" s="58"/>
      <c r="F8" s="58"/>
      <c r="G8" s="58"/>
      <c r="H8" s="58"/>
      <c r="I8" s="58">
        <v>6691.4841165838197</v>
      </c>
      <c r="J8" s="58">
        <v>6719.9085798392762</v>
      </c>
      <c r="K8" s="58">
        <v>7084.3296433513933</v>
      </c>
      <c r="L8" s="58">
        <v>7328.0929337825619</v>
      </c>
      <c r="M8" s="58"/>
      <c r="N8" s="58"/>
      <c r="O8" s="58"/>
      <c r="DT8" s="33" t="s">
        <v>231</v>
      </c>
      <c r="EB8" s="33" t="s">
        <v>291</v>
      </c>
      <c r="ED8" s="33" t="s">
        <v>296</v>
      </c>
    </row>
    <row r="9" spans="1:134" ht="24" customHeight="1" x14ac:dyDescent="0.25">
      <c r="A9" s="174" t="s">
        <v>156</v>
      </c>
      <c r="B9" s="198"/>
      <c r="C9" s="9" t="s">
        <v>19</v>
      </c>
      <c r="D9" s="61"/>
      <c r="E9" s="58"/>
      <c r="F9" s="58"/>
      <c r="G9" s="58"/>
      <c r="H9" s="58"/>
      <c r="I9" s="58">
        <v>81.105353059150048</v>
      </c>
      <c r="J9" s="58">
        <v>73.986292780507611</v>
      </c>
      <c r="K9" s="58">
        <v>73.287206193167464</v>
      </c>
      <c r="L9" s="58">
        <v>68.820378768211896</v>
      </c>
      <c r="M9" s="58"/>
      <c r="N9" s="58"/>
      <c r="O9" s="58"/>
      <c r="DT9" s="33" t="s">
        <v>279</v>
      </c>
      <c r="EB9" s="33" t="s">
        <v>292</v>
      </c>
      <c r="ED9" s="33" t="s">
        <v>293</v>
      </c>
    </row>
    <row r="10" spans="1:134" ht="24" customHeight="1" x14ac:dyDescent="0.25">
      <c r="A10" s="174" t="s">
        <v>20</v>
      </c>
      <c r="B10" s="198"/>
      <c r="C10" s="9" t="s">
        <v>19</v>
      </c>
      <c r="D10" s="61"/>
      <c r="E10" s="58"/>
      <c r="F10" s="58"/>
      <c r="G10" s="58"/>
      <c r="H10" s="58"/>
      <c r="I10" s="58">
        <v>196.9473645024612</v>
      </c>
      <c r="J10" s="58">
        <v>207.49813991071153</v>
      </c>
      <c r="K10" s="58">
        <v>214.00676433208764</v>
      </c>
      <c r="L10" s="58">
        <v>225.65716057661788</v>
      </c>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v>6.3914560506153739</v>
      </c>
      <c r="J11" s="113">
        <v>6.7667974464265601</v>
      </c>
      <c r="K11" s="113">
        <v>7.4743574509715929</v>
      </c>
      <c r="L11" s="113">
        <v>7.677911195354012</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v>161.19578004714549</v>
      </c>
      <c r="J12" s="113">
        <v>169.86657591362047</v>
      </c>
      <c r="K12" s="113">
        <v>172.3054309601396</v>
      </c>
      <c r="L12" s="113">
        <v>180.37679216906776</v>
      </c>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v>29.36012840470033</v>
      </c>
      <c r="J13" s="113">
        <v>30.864766550664513</v>
      </c>
      <c r="K13" s="113">
        <v>34.226975920976457</v>
      </c>
      <c r="L13" s="113">
        <v>34.560201782626947</v>
      </c>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v>1120.1238465603919</v>
      </c>
      <c r="J14" s="58">
        <v>1239.4664024322146</v>
      </c>
      <c r="K14" s="58">
        <v>1007.2259771591262</v>
      </c>
      <c r="L14" s="58">
        <v>1052.9645152824194</v>
      </c>
      <c r="M14" s="58"/>
      <c r="N14" s="58"/>
      <c r="O14" s="58"/>
      <c r="DT14" s="139" t="s">
        <v>284</v>
      </c>
      <c r="EB14" s="33" t="s">
        <v>291</v>
      </c>
      <c r="ED14" s="33" t="s">
        <v>295</v>
      </c>
    </row>
    <row r="15" spans="1:134" s="34" customFormat="1" ht="15" customHeight="1" x14ac:dyDescent="0.25">
      <c r="A15" s="173" t="s">
        <v>18</v>
      </c>
      <c r="B15" s="110" t="s">
        <v>26</v>
      </c>
      <c r="C15" s="111" t="s">
        <v>25</v>
      </c>
      <c r="D15" s="112"/>
      <c r="E15" s="113"/>
      <c r="F15" s="113"/>
      <c r="G15" s="113"/>
      <c r="H15" s="113"/>
      <c r="I15" s="113">
        <v>523.02019896062188</v>
      </c>
      <c r="J15" s="113">
        <v>559.23618075361992</v>
      </c>
      <c r="K15" s="113">
        <v>506.41482841373369</v>
      </c>
      <c r="L15" s="113">
        <v>543.38314131719369</v>
      </c>
      <c r="M15" s="113"/>
      <c r="N15" s="113"/>
      <c r="O15" s="113"/>
      <c r="DT15" s="34" t="s">
        <v>285</v>
      </c>
      <c r="EB15" s="34" t="s">
        <v>291</v>
      </c>
      <c r="ED15" s="34" t="s">
        <v>295</v>
      </c>
    </row>
    <row r="16" spans="1:134" s="34" customFormat="1" ht="15" customHeight="1" x14ac:dyDescent="0.25">
      <c r="A16" s="173"/>
      <c r="B16" s="110" t="s">
        <v>27</v>
      </c>
      <c r="C16" s="111" t="s">
        <v>25</v>
      </c>
      <c r="D16" s="112"/>
      <c r="E16" s="113"/>
      <c r="F16" s="113"/>
      <c r="G16" s="113"/>
      <c r="H16" s="113"/>
      <c r="I16" s="113">
        <v>189.7721656758084</v>
      </c>
      <c r="J16" s="113">
        <v>189.90111119977334</v>
      </c>
      <c r="K16" s="113">
        <v>172.60037158908031</v>
      </c>
      <c r="L16" s="113">
        <v>168.83126858056193</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v>0</v>
      </c>
      <c r="L17" s="112"/>
      <c r="M17" s="112"/>
      <c r="N17" s="112"/>
      <c r="O17" s="112"/>
      <c r="DT17" s="34" t="s">
        <v>287</v>
      </c>
      <c r="EB17" s="34" t="s">
        <v>291</v>
      </c>
      <c r="ED17" s="34" t="s">
        <v>295</v>
      </c>
    </row>
    <row r="18" spans="1:134" s="34" customFormat="1" ht="15" customHeight="1" x14ac:dyDescent="0.25">
      <c r="A18" s="173"/>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L10" sqref="L10"/>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9</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c r="E6" s="60"/>
      <c r="F6" s="60"/>
      <c r="G6" s="60"/>
      <c r="H6" s="60"/>
      <c r="I6" s="60">
        <v>539.03989199654325</v>
      </c>
      <c r="J6" s="60">
        <v>547.80634180332925</v>
      </c>
      <c r="K6" s="60">
        <v>558.57910514618152</v>
      </c>
      <c r="L6" s="60">
        <v>569.92614175830033</v>
      </c>
      <c r="M6" s="60"/>
      <c r="N6" s="60"/>
      <c r="O6" s="60"/>
      <c r="DS6" s="4" t="str">
        <f>VLOOKUP(Cover!$D$15, Country_list!$B$3:$C$44, 2, 0)</f>
        <v>IE</v>
      </c>
      <c r="DT6" s="33" t="s">
        <v>289</v>
      </c>
      <c r="DV6" s="33" t="s">
        <v>305</v>
      </c>
      <c r="EB6" s="33" t="s">
        <v>291</v>
      </c>
      <c r="ED6" s="33" t="s">
        <v>294</v>
      </c>
    </row>
    <row r="7" spans="1:134" ht="24" customHeight="1" x14ac:dyDescent="0.25">
      <c r="A7" s="174" t="s">
        <v>15</v>
      </c>
      <c r="B7" s="198"/>
      <c r="C7" s="9" t="s">
        <v>25</v>
      </c>
      <c r="D7" s="61"/>
      <c r="E7" s="58"/>
      <c r="F7" s="58"/>
      <c r="G7" s="58"/>
      <c r="H7" s="58"/>
      <c r="I7" s="58" t="s">
        <v>315</v>
      </c>
      <c r="J7" s="58" t="s">
        <v>315</v>
      </c>
      <c r="K7" s="58" t="s">
        <v>315</v>
      </c>
      <c r="L7" s="58" t="s">
        <v>315</v>
      </c>
      <c r="M7" s="58"/>
      <c r="N7" s="58"/>
      <c r="O7" s="58"/>
      <c r="DT7" s="33" t="s">
        <v>290</v>
      </c>
      <c r="EB7" s="33" t="s">
        <v>291</v>
      </c>
      <c r="ED7" s="33" t="s">
        <v>295</v>
      </c>
    </row>
    <row r="8" spans="1:134" ht="24" customHeight="1" x14ac:dyDescent="0.25">
      <c r="A8" s="174" t="s">
        <v>29</v>
      </c>
      <c r="B8" s="198"/>
      <c r="C8" s="9" t="s">
        <v>17</v>
      </c>
      <c r="D8" s="61"/>
      <c r="E8" s="58"/>
      <c r="F8" s="58"/>
      <c r="G8" s="58"/>
      <c r="H8" s="58"/>
      <c r="I8" s="58">
        <v>609.95800989110296</v>
      </c>
      <c r="J8" s="58">
        <v>614.1223942988363</v>
      </c>
      <c r="K8" s="58">
        <v>647.42608076177373</v>
      </c>
      <c r="L8" s="58">
        <v>669.92893469234775</v>
      </c>
      <c r="M8" s="58"/>
      <c r="N8" s="58"/>
      <c r="O8" s="58"/>
      <c r="DT8" s="33" t="s">
        <v>231</v>
      </c>
      <c r="EB8" s="33" t="s">
        <v>291</v>
      </c>
      <c r="ED8" s="33" t="s">
        <v>296</v>
      </c>
    </row>
    <row r="9" spans="1:134" ht="24" customHeight="1" x14ac:dyDescent="0.25">
      <c r="A9" s="174" t="s">
        <v>156</v>
      </c>
      <c r="B9" s="198"/>
      <c r="C9" s="9" t="s">
        <v>19</v>
      </c>
      <c r="D9" s="61"/>
      <c r="E9" s="58"/>
      <c r="F9" s="58"/>
      <c r="G9" s="58"/>
      <c r="H9" s="58"/>
      <c r="I9" s="58">
        <v>0</v>
      </c>
      <c r="J9" s="58">
        <v>0</v>
      </c>
      <c r="K9" s="58">
        <v>0</v>
      </c>
      <c r="L9" s="58">
        <v>0</v>
      </c>
      <c r="M9" s="58"/>
      <c r="N9" s="58"/>
      <c r="O9" s="58"/>
      <c r="DT9" s="33" t="s">
        <v>279</v>
      </c>
      <c r="EB9" s="33" t="s">
        <v>292</v>
      </c>
      <c r="ED9" s="33" t="s">
        <v>293</v>
      </c>
    </row>
    <row r="10" spans="1:134" ht="24" customHeight="1" x14ac:dyDescent="0.25">
      <c r="A10" s="174" t="s">
        <v>20</v>
      </c>
      <c r="B10" s="198"/>
      <c r="C10" s="9" t="s">
        <v>19</v>
      </c>
      <c r="D10" s="61"/>
      <c r="E10" s="58"/>
      <c r="F10" s="58"/>
      <c r="G10" s="58"/>
      <c r="H10" s="58"/>
      <c r="I10" s="58">
        <v>0.79002237223965333</v>
      </c>
      <c r="J10" s="58">
        <v>0.83089743348942602</v>
      </c>
      <c r="K10" s="58">
        <v>0.91777852112718994</v>
      </c>
      <c r="L10" s="58">
        <v>0.94325992036246153</v>
      </c>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v>0.79002237223965333</v>
      </c>
      <c r="J11" s="113">
        <v>0.83089743348942602</v>
      </c>
      <c r="K11" s="113">
        <v>0.91777852112718994</v>
      </c>
      <c r="L11" s="113">
        <v>0.94325992036246153</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v>0</v>
      </c>
      <c r="J12" s="113">
        <v>0</v>
      </c>
      <c r="K12" s="113">
        <v>0</v>
      </c>
      <c r="L12" s="113">
        <v>0</v>
      </c>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v>0</v>
      </c>
      <c r="J13" s="113">
        <v>0</v>
      </c>
      <c r="K13" s="113">
        <v>0</v>
      </c>
      <c r="L13" s="113">
        <v>0</v>
      </c>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v>0</v>
      </c>
      <c r="J14" s="58">
        <v>0</v>
      </c>
      <c r="K14" s="58">
        <v>0</v>
      </c>
      <c r="L14" s="58">
        <v>0</v>
      </c>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v>0</v>
      </c>
      <c r="J15" s="113">
        <v>0</v>
      </c>
      <c r="K15" s="113">
        <v>0</v>
      </c>
      <c r="L15" s="113">
        <v>0</v>
      </c>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v>0</v>
      </c>
      <c r="J16" s="113">
        <v>0</v>
      </c>
      <c r="K16" s="113">
        <v>0</v>
      </c>
      <c r="L16" s="113">
        <v>0</v>
      </c>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v>0</v>
      </c>
      <c r="J17" s="113">
        <v>0</v>
      </c>
      <c r="K17" s="113">
        <v>0</v>
      </c>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sqref="A1:L6"/>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c r="E6" s="63"/>
      <c r="F6" s="63"/>
      <c r="G6" s="63"/>
      <c r="H6" s="63"/>
      <c r="I6" s="63">
        <v>5416.3758198752294</v>
      </c>
      <c r="J6" s="63">
        <v>5336.447275237706</v>
      </c>
      <c r="K6" s="63">
        <v>5441.3899880191939</v>
      </c>
      <c r="L6" s="63">
        <v>5551.9269752534583</v>
      </c>
      <c r="M6" s="63"/>
      <c r="N6" s="63"/>
      <c r="O6" s="63"/>
      <c r="DS6" s="4" t="str">
        <f>VLOOKUP(Cover!$D$15, Country_list!$B$3:$C$44, 2, 0)</f>
        <v>IE</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sqref="A1:L18"/>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209"/>
      <c r="C6" s="8" t="s">
        <v>14</v>
      </c>
      <c r="D6" s="59"/>
      <c r="E6" s="60"/>
      <c r="F6" s="60"/>
      <c r="G6" s="60"/>
      <c r="H6" s="60"/>
      <c r="I6" s="60">
        <v>294.38332606199623</v>
      </c>
      <c r="J6" s="60">
        <v>290.16158217246328</v>
      </c>
      <c r="K6" s="60">
        <v>295.86769000181317</v>
      </c>
      <c r="L6" s="60">
        <v>301.87797839223737</v>
      </c>
      <c r="M6" s="60"/>
      <c r="N6" s="60"/>
      <c r="O6" s="60"/>
      <c r="DS6" s="4" t="str">
        <f>VLOOKUP(Cover!$D$15, Country_list!$B$3:$C$44, 2, 0)</f>
        <v>IE</v>
      </c>
      <c r="DT6" s="33" t="s">
        <v>289</v>
      </c>
      <c r="DV6" s="33" t="s">
        <v>307</v>
      </c>
      <c r="EB6" s="33" t="s">
        <v>291</v>
      </c>
      <c r="ED6" s="33" t="s">
        <v>294</v>
      </c>
    </row>
    <row r="7" spans="1:134" ht="24" customHeight="1" x14ac:dyDescent="0.25">
      <c r="A7" s="174" t="s">
        <v>15</v>
      </c>
      <c r="B7" s="210"/>
      <c r="C7" s="9" t="s">
        <v>25</v>
      </c>
      <c r="D7" s="61"/>
      <c r="E7" s="58"/>
      <c r="F7" s="58"/>
      <c r="G7" s="58"/>
      <c r="H7" s="58"/>
      <c r="I7" s="58" t="s">
        <v>315</v>
      </c>
      <c r="J7" s="58" t="s">
        <v>315</v>
      </c>
      <c r="K7" s="58"/>
      <c r="L7" s="58"/>
      <c r="M7" s="58"/>
      <c r="N7" s="58"/>
      <c r="O7" s="58"/>
      <c r="DT7" s="33" t="s">
        <v>290</v>
      </c>
      <c r="EB7" s="33" t="s">
        <v>291</v>
      </c>
      <c r="ED7" s="33" t="s">
        <v>295</v>
      </c>
    </row>
    <row r="8" spans="1:134" ht="24" customHeight="1" x14ac:dyDescent="0.25">
      <c r="A8" s="174" t="s">
        <v>29</v>
      </c>
      <c r="B8" s="210"/>
      <c r="C8" s="9" t="s">
        <v>17</v>
      </c>
      <c r="D8" s="61"/>
      <c r="E8" s="58"/>
      <c r="F8" s="58"/>
      <c r="G8" s="58"/>
      <c r="H8" s="58"/>
      <c r="I8" s="58">
        <v>0</v>
      </c>
      <c r="J8" s="58">
        <v>0</v>
      </c>
      <c r="K8" s="58">
        <v>0</v>
      </c>
      <c r="L8" s="58"/>
      <c r="M8" s="58"/>
      <c r="N8" s="58"/>
      <c r="O8" s="58"/>
      <c r="DT8" s="33" t="s">
        <v>231</v>
      </c>
      <c r="EB8" s="33" t="s">
        <v>291</v>
      </c>
      <c r="ED8" s="33" t="s">
        <v>296</v>
      </c>
    </row>
    <row r="9" spans="1:134" ht="24" customHeight="1" x14ac:dyDescent="0.25">
      <c r="A9" s="174" t="s">
        <v>156</v>
      </c>
      <c r="B9" s="198"/>
      <c r="C9" s="9" t="s">
        <v>19</v>
      </c>
      <c r="D9" s="61"/>
      <c r="E9" s="58"/>
      <c r="F9" s="58"/>
      <c r="G9" s="58"/>
      <c r="H9" s="58"/>
      <c r="I9" s="58">
        <v>0</v>
      </c>
      <c r="J9" s="58">
        <v>0</v>
      </c>
      <c r="K9" s="58">
        <v>0</v>
      </c>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v>0</v>
      </c>
      <c r="J10" s="58">
        <v>0</v>
      </c>
      <c r="K10" s="58">
        <v>0</v>
      </c>
      <c r="L10" s="58"/>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v>0</v>
      </c>
      <c r="J11" s="113">
        <v>0</v>
      </c>
      <c r="K11" s="113">
        <v>0</v>
      </c>
      <c r="L11" s="113"/>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v>0</v>
      </c>
      <c r="J12" s="113">
        <v>0</v>
      </c>
      <c r="K12" s="113">
        <v>0</v>
      </c>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v>0</v>
      </c>
      <c r="J13" s="113">
        <v>0</v>
      </c>
      <c r="K13" s="113">
        <v>0</v>
      </c>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v>0</v>
      </c>
      <c r="J14" s="58">
        <v>0</v>
      </c>
      <c r="K14" s="58">
        <v>0</v>
      </c>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v>0</v>
      </c>
      <c r="J15" s="113">
        <v>0</v>
      </c>
      <c r="K15" s="113">
        <v>0</v>
      </c>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v>0</v>
      </c>
      <c r="J16" s="113">
        <v>0</v>
      </c>
      <c r="K16" s="113">
        <v>0</v>
      </c>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topLeftCell="A4" zoomScale="90" zoomScaleNormal="90" workbookViewId="0">
      <selection activeCell="C5" sqref="C5:C43"/>
    </sheetView>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
      </c>
      <c r="G43" s="99" t="str">
        <f>IF(Calorific_Values!H10&lt;&gt;0,IF(AND(40000&lt;=Calorific_Values!H10,Calorific_Values!H10&lt;=50000),"TRUE","FALSE"),"")</f>
        <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
      </c>
      <c r="G44" s="99" t="str">
        <f>IF(Calorific_Values!H11&lt;&gt;0,IF(AND(40000&lt;=Calorific_Values!H11,Calorific_Values!H11&lt;=50000),"TRUE","FALSE"),"")</f>
        <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TRUE</v>
      </c>
      <c r="I45" s="99" t="str">
        <f>IF(Calorific_Values!J12&lt;&gt;0,IF(AND(40000&lt;=Calorific_Values!J12,Calorific_Values!J12&lt;=45000),"TRUE","FALSE"),"")</f>
        <v>TRUE</v>
      </c>
      <c r="J45" s="99" t="str">
        <f>IF(Calorific_Values!K12&lt;&gt;0,IF(AND(40000&lt;=Calorific_Values!K12,Calorific_Values!K12&lt;=45000),"TRUE","FALSE"),"")</f>
        <v>TRUE</v>
      </c>
      <c r="K45" s="99" t="str">
        <f>IF(Calorific_Values!L12&lt;&gt;0,IF(AND(40000&lt;=Calorific_Values!L12,Calorific_Values!L12&lt;=45000),"TRUE","FALSE"),"")</f>
        <v>TRUE</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2019-11-22T09:44:24Z</cp:lastPrinted>
  <dcterms:created xsi:type="dcterms:W3CDTF">2014-09-17T09:30:01Z</dcterms:created>
  <dcterms:modified xsi:type="dcterms:W3CDTF">2020-01-30T14:09:04Z</dcterms:modified>
  <cp:category>Annual questionnaires</cp:category>
</cp:coreProperties>
</file>