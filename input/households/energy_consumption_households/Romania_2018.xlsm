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1600" windowHeight="930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G17" i="5"/>
  <c r="H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3"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J6" i="5"/>
  <c r="G13" i="5"/>
  <c r="H15" i="5"/>
  <c r="G8" i="5"/>
  <c r="J16" i="5"/>
  <c r="E13" i="5"/>
  <c r="G6" i="5"/>
  <c r="G10" i="5"/>
  <c r="G18" i="5"/>
  <c r="K9" i="5"/>
  <c r="G15" i="5"/>
  <c r="E14" i="5"/>
  <c r="H9" i="5"/>
  <c r="G9" i="5"/>
  <c r="H18" i="5"/>
  <c r="J13" i="5"/>
  <c r="J14" i="5"/>
  <c r="E6" i="5"/>
  <c r="H6" i="5"/>
  <c r="H7" i="5"/>
  <c r="J12" i="5"/>
  <c r="H13" i="5"/>
  <c r="J9" i="5"/>
  <c r="J8" i="5"/>
  <c r="H8" i="5"/>
  <c r="E11" i="5"/>
  <c r="J18" i="5"/>
  <c r="E15" i="5"/>
  <c r="J15" i="5"/>
  <c r="F6" i="5"/>
  <c r="G7" i="5"/>
  <c r="I6" i="5"/>
  <c r="E18" i="5"/>
  <c r="J11" i="5"/>
  <c r="J7" i="5"/>
  <c r="E12" i="5"/>
  <c r="E9" i="5"/>
  <c r="G11" i="5"/>
  <c r="H16" i="5"/>
  <c r="H14" i="5"/>
  <c r="G12" i="5"/>
  <c r="E16" i="5"/>
  <c r="H10" i="5"/>
  <c r="G14" i="5"/>
  <c r="E8" i="5"/>
  <c r="H11" i="5"/>
  <c r="G16" i="5"/>
  <c r="J10" i="5"/>
  <c r="H12" i="5"/>
  <c r="E7"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<sst xmlns="http://schemas.openxmlformats.org/spreadsheetml/2006/main" count="952" uniqueCount="315">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</sst>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67</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G1" activePane="topRight" state="frozen"/>
      <selection activeCell="DS1" sqref="DS1:ED1048576"/>
      <selection pane="topRight" activeCell="L26" sqref="L26"/>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RO</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v>7017</v>
      </c>
      <c r="J9" s="94">
        <v>7017</v>
      </c>
      <c r="K9" s="94">
        <v>7017</v>
      </c>
      <c r="L9" s="94">
        <v>6925.6469916915494</v>
      </c>
      <c r="M9" s="94"/>
      <c r="N9" s="94"/>
      <c r="O9" s="94"/>
      <c r="DT9" s="4" t="s">
        <v>279</v>
      </c>
      <c r="EB9" s="4" t="s">
        <v>300</v>
      </c>
      <c r="ED9" s="4" t="s">
        <v>301</v>
      </c>
    </row>
    <row r="10" spans="1:134" ht="24" customHeight="1" x14ac:dyDescent="0.2">
      <c r="A10" s="183" t="s">
        <v>20</v>
      </c>
      <c r="B10" s="184"/>
      <c r="C10" s="9" t="s">
        <v>132</v>
      </c>
      <c r="D10" s="93"/>
      <c r="E10" s="94"/>
      <c r="F10" s="94"/>
      <c r="G10" s="94"/>
      <c r="H10" s="94"/>
      <c r="I10" s="94">
        <v>48139</v>
      </c>
      <c r="J10" s="94">
        <v>48139</v>
      </c>
      <c r="K10" s="94">
        <v>48139</v>
      </c>
      <c r="L10" s="94">
        <v>48138.682922783446</v>
      </c>
      <c r="M10" s="94"/>
      <c r="N10" s="94"/>
      <c r="O10" s="94"/>
      <c r="DT10" s="4" t="s">
        <v>280</v>
      </c>
      <c r="EB10" s="4" t="s">
        <v>300</v>
      </c>
      <c r="ED10" s="4" t="s">
        <v>301</v>
      </c>
    </row>
    <row r="11" spans="1:134" s="13" customFormat="1" ht="15" customHeight="1" x14ac:dyDescent="0.2">
      <c r="A11" s="182" t="s">
        <v>18</v>
      </c>
      <c r="B11" s="110" t="s">
        <v>21</v>
      </c>
      <c r="C11" s="111" t="s">
        <v>132</v>
      </c>
      <c r="D11" s="115"/>
      <c r="E11" s="115"/>
      <c r="F11" s="116"/>
      <c r="G11" s="116"/>
      <c r="H11" s="116"/>
      <c r="I11" s="116">
        <v>48139</v>
      </c>
      <c r="J11" s="116">
        <v>48139</v>
      </c>
      <c r="K11" s="116">
        <v>48139</v>
      </c>
      <c r="L11" s="116">
        <v>48138.682922783446</v>
      </c>
      <c r="M11" s="116"/>
      <c r="N11" s="116"/>
      <c r="O11" s="116"/>
      <c r="DT11" s="13" t="s">
        <v>281</v>
      </c>
      <c r="EB11" s="13" t="s">
        <v>300</v>
      </c>
      <c r="ED11" s="13" t="s">
        <v>301</v>
      </c>
    </row>
    <row r="12" spans="1:134" s="13" customFormat="1" ht="15" customHeight="1" x14ac:dyDescent="0.2">
      <c r="A12" s="182"/>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82"/>
      <c r="B13" s="110" t="s">
        <v>23</v>
      </c>
      <c r="C13" s="111" t="s">
        <v>132</v>
      </c>
      <c r="D13" s="115"/>
      <c r="E13" s="115"/>
      <c r="F13" s="115"/>
      <c r="G13" s="115"/>
      <c r="H13" s="115"/>
      <c r="I13" s="115"/>
      <c r="J13" s="115"/>
      <c r="K13" s="115"/>
      <c r="L13" s="115"/>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 sqref="D1"/>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Romania</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12779.883999999998</v>
      </c>
      <c r="E6" s="121">
        <f ca="1">INDIRECT(ADDRESS(ROW(K6),$C$3 -2010 + 4,,,"1a_SpaceHeating"))</f>
        <v>109.97526624849156</v>
      </c>
      <c r="F6" s="121">
        <f ca="1">INDIRECT(ADDRESS(ROW(K6),$C$3-2010+4,,,"1b_SpaceCooling"))</f>
        <v>290.29016251302494</v>
      </c>
      <c r="G6" s="121">
        <f ca="1">INDIRECT(ADDRESS(ROW(K6),$C$3-2010+4,,,"1c_WaterHeating"))</f>
        <v>245.74940427299276</v>
      </c>
      <c r="H6" s="121">
        <f ca="1">INDIRECT(ADDRESS(ROW(K6),$C$3-2010+4,,,"1d_Cooking"))</f>
        <v>6.1912664213378426</v>
      </c>
      <c r="I6" s="121">
        <f ca="1">INDIRECT(ADDRESS(ROW(K6),$C$3-2010+4,,,"1e_LightingAndAppliances"))</f>
        <v>12127.677900544151</v>
      </c>
      <c r="J6" s="121">
        <f ca="1">INDIRECT(ADDRESS(ROW(K6),$C$3-2010+4,,,"1f_OtherEndUses"))</f>
        <v>0</v>
      </c>
      <c r="K6" s="122"/>
    </row>
    <row r="7" spans="1:11" ht="24" customHeight="1" x14ac:dyDescent="0.25">
      <c r="A7" s="186" t="s">
        <v>15</v>
      </c>
      <c r="B7" s="187"/>
      <c r="C7" s="109" t="s">
        <v>16</v>
      </c>
      <c r="D7" s="123">
        <f t="shared" ref="D7:D16" ca="1" si="0">SUM(E7:J7)</f>
        <v>32731.351999999999</v>
      </c>
      <c r="E7" s="124">
        <f t="shared" ref="E7:E16" ca="1" si="1">INDIRECT(ADDRESS(ROW(K7),$C$3 -2010 + 4,,,"1a_SpaceHeating"))</f>
        <v>32731.351999999999</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116942.62250000001</v>
      </c>
      <c r="E8" s="124">
        <f t="shared" ca="1" si="1"/>
        <v>68456.98444569917</v>
      </c>
      <c r="F8" s="125"/>
      <c r="G8" s="124">
        <f t="shared" ca="1" si="2"/>
        <v>26596.253053908047</v>
      </c>
      <c r="H8" s="124">
        <f t="shared" ca="1" si="3"/>
        <v>21889.385000392795</v>
      </c>
      <c r="I8" s="125"/>
      <c r="J8" s="124">
        <f t="shared" ca="1" si="4"/>
        <v>0</v>
      </c>
      <c r="K8" s="125"/>
    </row>
    <row r="9" spans="1:11" ht="24" customHeight="1" x14ac:dyDescent="0.25">
      <c r="A9" s="186" t="s">
        <v>156</v>
      </c>
      <c r="B9" s="187"/>
      <c r="C9" s="109" t="s">
        <v>19</v>
      </c>
      <c r="D9" s="123">
        <f t="shared" ca="1" si="0"/>
        <v>203.28700000000003</v>
      </c>
      <c r="E9" s="124">
        <f t="shared" ca="1" si="1"/>
        <v>140.09701806672356</v>
      </c>
      <c r="F9" s="125"/>
      <c r="G9" s="124">
        <f t="shared" ca="1" si="2"/>
        <v>46.435534168519609</v>
      </c>
      <c r="H9" s="124">
        <f t="shared" ca="1" si="3"/>
        <v>16.754447764756847</v>
      </c>
      <c r="I9" s="125"/>
      <c r="J9" s="124">
        <f t="shared" ca="1" si="4"/>
        <v>0</v>
      </c>
      <c r="K9" s="126">
        <f ca="1">INDIRECT(ADDRESS(ROW(K9),$C$3-2010+4,,,"Calorific_Values"))</f>
        <v>6925.6469916915494</v>
      </c>
    </row>
    <row r="10" spans="1:11" ht="24" customHeight="1" x14ac:dyDescent="0.25">
      <c r="A10" s="186" t="s">
        <v>42</v>
      </c>
      <c r="B10" s="187"/>
      <c r="C10" s="109" t="s">
        <v>19</v>
      </c>
      <c r="D10" s="123">
        <f t="shared" ca="1" si="0"/>
        <v>260.96999999999997</v>
      </c>
      <c r="E10" s="124">
        <f t="shared" ca="1" si="1"/>
        <v>0.35660074232066807</v>
      </c>
      <c r="F10" s="125"/>
      <c r="G10" s="124">
        <f t="shared" ca="1" si="2"/>
        <v>54.307236735618126</v>
      </c>
      <c r="H10" s="124">
        <f t="shared" ca="1" si="3"/>
        <v>206.30616252206116</v>
      </c>
      <c r="I10" s="125"/>
      <c r="J10" s="124">
        <f t="shared" ca="1" si="4"/>
        <v>0</v>
      </c>
      <c r="K10" s="126">
        <f ca="1">INDIRECT(ADDRESS(ROW(K10),$C$3-2010+4,,,"Calorific_Values"))</f>
        <v>48138.682922783446</v>
      </c>
    </row>
    <row r="11" spans="1:11" s="34" customFormat="1" ht="15" customHeight="1" x14ac:dyDescent="0.25">
      <c r="A11" s="185" t="s">
        <v>18</v>
      </c>
      <c r="B11" s="10" t="s">
        <v>21</v>
      </c>
      <c r="C11" s="11" t="s">
        <v>19</v>
      </c>
      <c r="D11" s="127">
        <f t="shared" ca="1" si="0"/>
        <v>241.14</v>
      </c>
      <c r="E11" s="128">
        <f t="shared" ca="1" si="1"/>
        <v>0.32950416907386249</v>
      </c>
      <c r="F11" s="129"/>
      <c r="G11" s="128">
        <f t="shared" ca="1" si="2"/>
        <v>50.180660866869587</v>
      </c>
      <c r="H11" s="128">
        <f t="shared" ca="1" si="3"/>
        <v>190.62983496405653</v>
      </c>
      <c r="I11" s="129"/>
      <c r="J11" s="128">
        <f t="shared" ca="1" si="4"/>
        <v>0</v>
      </c>
      <c r="K11" s="130">
        <f t="shared" ref="K11:K13" ca="1" si="5">INDIRECT(ADDRESS(ROW(K11),$C$3-2010+4,,,"Calorific_Values"))</f>
        <v>48138.682922783446</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5"/>
      <c r="B13" s="10" t="s">
        <v>23</v>
      </c>
      <c r="C13" s="11" t="s">
        <v>19</v>
      </c>
      <c r="D13" s="127">
        <f t="shared" ca="1" si="0"/>
        <v>0</v>
      </c>
      <c r="E13" s="128">
        <f t="shared" ca="1" si="1"/>
        <v>0</v>
      </c>
      <c r="F13" s="129"/>
      <c r="G13" s="128">
        <f t="shared" ca="1" si="2"/>
        <v>0</v>
      </c>
      <c r="H13" s="128">
        <f t="shared" ca="1" si="3"/>
        <v>0</v>
      </c>
      <c r="I13" s="129"/>
      <c r="J13" s="128">
        <f t="shared" ca="1" si="4"/>
        <v>0</v>
      </c>
      <c r="K13" s="130">
        <f t="shared" ca="1" si="5"/>
        <v>0</v>
      </c>
    </row>
    <row r="14" spans="1:11" ht="24" customHeight="1" x14ac:dyDescent="0.25">
      <c r="A14" s="186" t="s">
        <v>43</v>
      </c>
      <c r="B14" s="187"/>
      <c r="C14" s="109" t="s">
        <v>16</v>
      </c>
      <c r="D14" s="123">
        <f t="shared" ca="1" si="0"/>
        <v>126780.09904039999</v>
      </c>
      <c r="E14" s="124">
        <f t="shared" ca="1" si="1"/>
        <v>108595.96799999999</v>
      </c>
      <c r="F14" s="125"/>
      <c r="G14" s="124">
        <f t="shared" ca="1" si="2"/>
        <v>16196.033148099999</v>
      </c>
      <c r="H14" s="124">
        <f t="shared" ca="1" si="3"/>
        <v>1988.0978923</v>
      </c>
      <c r="I14" s="125"/>
      <c r="J14" s="124">
        <f t="shared" ca="1" si="4"/>
        <v>0</v>
      </c>
      <c r="K14" s="125"/>
    </row>
    <row r="15" spans="1:11" s="34" customFormat="1" ht="15" customHeight="1" x14ac:dyDescent="0.25">
      <c r="A15" s="185" t="s">
        <v>18</v>
      </c>
      <c r="B15" s="10" t="s">
        <v>26</v>
      </c>
      <c r="C15" s="11" t="s">
        <v>16</v>
      </c>
      <c r="D15" s="127">
        <f t="shared" ca="1" si="0"/>
        <v>0</v>
      </c>
      <c r="E15" s="128">
        <f t="shared" ca="1" si="1"/>
        <v>0</v>
      </c>
      <c r="F15" s="129"/>
      <c r="G15" s="128">
        <f t="shared" ca="1" si="2"/>
        <v>0</v>
      </c>
      <c r="H15" s="128">
        <f t="shared" ca="1" si="3"/>
        <v>0</v>
      </c>
      <c r="I15" s="129"/>
      <c r="J15" s="128">
        <f t="shared" ca="1" si="4"/>
        <v>0</v>
      </c>
      <c r="K15" s="129"/>
    </row>
    <row r="16" spans="1:11" s="34" customFormat="1" ht="15" customHeight="1" x14ac:dyDescent="0.25">
      <c r="A16" s="185"/>
      <c r="B16" s="10" t="s">
        <v>27</v>
      </c>
      <c r="C16" s="11" t="s">
        <v>16</v>
      </c>
      <c r="D16" s="127">
        <f t="shared" ca="1" si="0"/>
        <v>126630.439</v>
      </c>
      <c r="E16" s="128">
        <f t="shared" ca="1" si="1"/>
        <v>108446.3079596</v>
      </c>
      <c r="F16" s="129"/>
      <c r="G16" s="128">
        <f t="shared" ca="1" si="2"/>
        <v>16196.033148099999</v>
      </c>
      <c r="H16" s="128">
        <f t="shared" ca="1" si="3"/>
        <v>1988.0978923</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Romania</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46007.582399999992</v>
      </c>
      <c r="E6" s="121">
        <f ca="1">Table1_Totals!E6*3.6</f>
        <v>395.91095849456963</v>
      </c>
      <c r="F6" s="121">
        <f ca="1">Table1_Totals!F6*3.6</f>
        <v>1045.0445850468898</v>
      </c>
      <c r="G6" s="121">
        <f ca="1">Table1_Totals!G6*3.6</f>
        <v>884.69785538277392</v>
      </c>
      <c r="H6" s="121">
        <f ca="1">Table1_Totals!H6*3.6</f>
        <v>22.288559116816234</v>
      </c>
      <c r="I6" s="121">
        <f ca="1">Table1_Totals!I6*3.6</f>
        <v>43659.640441958945</v>
      </c>
      <c r="J6" s="121">
        <f ca="1">Table1_Totals!J6*3.6</f>
        <v>0</v>
      </c>
      <c r="K6" s="122"/>
    </row>
    <row r="7" spans="1:11" ht="24" customHeight="1" x14ac:dyDescent="0.25">
      <c r="A7" s="186" t="s">
        <v>15</v>
      </c>
      <c r="B7" s="187"/>
      <c r="C7" s="109" t="s">
        <v>16</v>
      </c>
      <c r="D7" s="123">
        <f t="shared" ref="D7:D18" ca="1" si="0">SUM(E7:J7)</f>
        <v>32731.351999999999</v>
      </c>
      <c r="E7" s="124">
        <f ca="1">Table1_Totals!E7</f>
        <v>32731.351999999999</v>
      </c>
      <c r="F7" s="125"/>
      <c r="G7" s="124">
        <f ca="1">Table1_Totals!G7</f>
        <v>0</v>
      </c>
      <c r="H7" s="124">
        <f ca="1">Table1_Totals!H7</f>
        <v>0</v>
      </c>
      <c r="I7" s="125"/>
      <c r="J7" s="124">
        <f ca="1">Table1_Totals!J7</f>
        <v>0</v>
      </c>
      <c r="K7" s="125"/>
    </row>
    <row r="8" spans="1:11" ht="24" customHeight="1" x14ac:dyDescent="0.25">
      <c r="A8" s="186" t="s">
        <v>29</v>
      </c>
      <c r="B8" s="187"/>
      <c r="C8" s="109" t="s">
        <v>16</v>
      </c>
      <c r="D8" s="123">
        <f t="shared" ca="1" si="0"/>
        <v>105248.36025000001</v>
      </c>
      <c r="E8" s="124">
        <f ca="1">Table1_Totals!E8*0.9</f>
        <v>61611.286001129258</v>
      </c>
      <c r="F8" s="125"/>
      <c r="G8" s="124">
        <f ca="1">Table1_Totals!G8*0.9</f>
        <v>23936.627748517243</v>
      </c>
      <c r="H8" s="124">
        <f ca="1">Table1_Totals!H8*0.9</f>
        <v>19700.446500353515</v>
      </c>
      <c r="I8" s="125"/>
      <c r="J8" s="124">
        <f ca="1">Table1_Totals!J8*0.9</f>
        <v>0</v>
      </c>
      <c r="K8" s="125"/>
    </row>
    <row r="9" spans="1:11" ht="24" customHeight="1" x14ac:dyDescent="0.25">
      <c r="A9" s="186" t="s">
        <v>156</v>
      </c>
      <c r="B9" s="187"/>
      <c r="C9" s="109" t="s">
        <v>16</v>
      </c>
      <c r="D9" s="123">
        <f t="shared" ca="1" si="0"/>
        <v>1407.8940000000002</v>
      </c>
      <c r="E9" s="124">
        <f ca="1">IF(Table1_Totals!E9&lt;&gt;0,IF(Table1_Totals!$K9&lt;&gt;0,Table1_Totals!E9*Table1_Totals!$K9/1000,"Please check CV"),"0,000")</f>
        <v>970.26249171876066</v>
      </c>
      <c r="F9" s="125"/>
      <c r="G9" s="124">
        <f ca="1">IF(Table1_Totals!G9&lt;&gt;0,IF(Table1_Totals!$K9&lt;&gt;0,Table1_Totals!G9*Table1_Totals!$K$9/1000,"Please check CV"),"0,000")</f>
        <v>321.59611752179802</v>
      </c>
      <c r="H9" s="124">
        <f ca="1">IF(Table1_Totals!H9&lt;&gt;0,IF(Table1_Totals!$K9&lt;&gt;0,Table1_Totals!H9*Table1_Totals!$K$9/1000,"Please check CV"),"0,000")</f>
        <v>116.03539075944147</v>
      </c>
      <c r="I9" s="125"/>
      <c r="J9" s="124" t="str">
        <f ca="1">IF(Table1_Totals!J9&lt;&gt;0,IF(Table1_Totals!$K9&lt;&gt;0,Table1_Totals!J9*Table1_Totals!$K$9/1000,"Please check CV"),"0,000")</f>
        <v>0,000</v>
      </c>
      <c r="K9" s="126">
        <f ca="1">Table1_Totals!K9</f>
        <v>6925.6469916915494</v>
      </c>
    </row>
    <row r="10" spans="1:11" ht="24" customHeight="1" x14ac:dyDescent="0.25">
      <c r="A10" s="186" t="s">
        <v>42</v>
      </c>
      <c r="B10" s="187"/>
      <c r="C10" s="109" t="s">
        <v>16</v>
      </c>
      <c r="D10" s="123">
        <f t="shared" ca="1" si="0"/>
        <v>12562.752082358793</v>
      </c>
      <c r="E10" s="124">
        <f ca="1">IF(Table1_Totals!E10&lt;&gt;0,IF(Table1_Totals!$K10&lt;&gt;0,Table1_Totals!E10*Table1_Totals!$K10/1000,"Please check CV"),"0,000")</f>
        <v>17.166290064603842</v>
      </c>
      <c r="F10" s="125"/>
      <c r="G10" s="124">
        <f ca="1">IF(Table1_Totals!G10&lt;&gt;0,IF(Table1_Totals!$K10&lt;&gt;0,Table1_Totals!G10*Table1_Totals!$K10/1000,"Please check CV"),"0,000")</f>
        <v>2614.2788496284584</v>
      </c>
      <c r="H10" s="124">
        <f ca="1">IF(Table1_Totals!H10&lt;&gt;0,IF(Table1_Totals!$K10&lt;&gt;0,Table1_Totals!H10*Table1_Totals!$K10/1000,"Please check CV"),"0,000")</f>
        <v>9931.3069426657312</v>
      </c>
      <c r="I10" s="125"/>
      <c r="J10" s="124" t="str">
        <f ca="1">IF(Table1_Totals!J10&lt;&gt;0,IF(Table1_Totals!$K10&lt;&gt;0,Table1_Totals!J10*Table1_Totals!$K10/1000,"Please check CV"),"0,000")</f>
        <v>0,000</v>
      </c>
      <c r="K10" s="126">
        <f ca="1">Table1_Totals!K10</f>
        <v>48138.682922783446</v>
      </c>
    </row>
    <row r="11" spans="1:11" s="34" customFormat="1" ht="15" customHeight="1" x14ac:dyDescent="0.25">
      <c r="A11" s="185" t="s">
        <v>18</v>
      </c>
      <c r="B11" s="10" t="s">
        <v>21</v>
      </c>
      <c r="C11" s="11" t="s">
        <v>16</v>
      </c>
      <c r="D11" s="127">
        <f t="shared" ca="1" si="0"/>
        <v>11608.162</v>
      </c>
      <c r="E11" s="128">
        <f ca="1">IF(Table1_Totals!E11&lt;&gt;0,IF(Table1_Totals!$K11&lt;&gt;0,Table1_Totals!E11*Table1_Totals!$K11/1000,"Please check CV"),"0,000")</f>
        <v>15.861896716781894</v>
      </c>
      <c r="F11" s="129"/>
      <c r="G11" s="128">
        <f ca="1">IF(Table1_Totals!G11&lt;&gt;0,IF(Table1_Totals!$K11&lt;&gt;0,Table1_Totals!G11*Table1_Totals!$K11/1000,"Please check CV"),"0,000")</f>
        <v>2415.6309223259627</v>
      </c>
      <c r="H11" s="128">
        <f ca="1">IF(Table1_Totals!H11&lt;&gt;0,IF(Table1_Totals!$K11&lt;&gt;0,Table1_Totals!H11*Table1_Totals!$K11/1000,"Please check CV"),"0,000")</f>
        <v>9176.6691809572549</v>
      </c>
      <c r="I11" s="129"/>
      <c r="J11" s="128" t="str">
        <f ca="1">IF(Table1_Totals!J11&lt;&gt;0,IF(Table1_Totals!$K11&lt;&gt;0,Table1_Totals!J11*Table1_Totals!$K11/1000,"Please check CV"),"0,000")</f>
        <v>0,000</v>
      </c>
      <c r="K11" s="130">
        <f ca="1">Table1_Totals!K11</f>
        <v>48138.682922783446</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5"/>
      <c r="B13" s="10" t="s">
        <v>23</v>
      </c>
      <c r="C13" s="11" t="s">
        <v>16</v>
      </c>
      <c r="D13" s="127">
        <f t="shared" ca="1" si="0"/>
        <v>0</v>
      </c>
      <c r="E13" s="128" t="str">
        <f ca="1">IF(Table1_Totals!E13&lt;&gt;0,IF(Table1_Totals!$K13&lt;&gt;0,Table1_Totals!E13*Table1_Totals!$K13/1000,"Please check CV"),"0,000")</f>
        <v>0,000</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0</v>
      </c>
    </row>
    <row r="14" spans="1:11" ht="24" customHeight="1" x14ac:dyDescent="0.25">
      <c r="A14" s="186" t="s">
        <v>43</v>
      </c>
      <c r="B14" s="187"/>
      <c r="C14" s="109" t="s">
        <v>16</v>
      </c>
      <c r="D14" s="123">
        <f t="shared" ca="1" si="0"/>
        <v>126780.09904039999</v>
      </c>
      <c r="E14" s="124">
        <f ca="1">Table1_Totals!E14</f>
        <v>108595.96799999999</v>
      </c>
      <c r="F14" s="125"/>
      <c r="G14" s="124">
        <f ca="1">Table1_Totals!G14</f>
        <v>16196.033148099999</v>
      </c>
      <c r="H14" s="124">
        <f ca="1">Table1_Totals!H14</f>
        <v>1988.0978923</v>
      </c>
      <c r="I14" s="125"/>
      <c r="J14" s="124">
        <f ca="1">Table1_Totals!J14</f>
        <v>0</v>
      </c>
      <c r="K14" s="125"/>
    </row>
    <row r="15" spans="1:11" s="34" customFormat="1" ht="15" customHeight="1" x14ac:dyDescent="0.25">
      <c r="A15" s="185" t="s">
        <v>18</v>
      </c>
      <c r="B15" s="10" t="s">
        <v>26</v>
      </c>
      <c r="C15" s="11" t="s">
        <v>16</v>
      </c>
      <c r="D15" s="127">
        <f t="shared" ca="1" si="0"/>
        <v>0</v>
      </c>
      <c r="E15" s="128">
        <f ca="1">Table1_Totals!E15</f>
        <v>0</v>
      </c>
      <c r="F15" s="129"/>
      <c r="G15" s="128">
        <f ca="1">Table1_Totals!G15</f>
        <v>0</v>
      </c>
      <c r="H15" s="128">
        <f ca="1">Table1_Totals!H15</f>
        <v>0</v>
      </c>
      <c r="I15" s="129"/>
      <c r="J15" s="128">
        <f ca="1">Table1_Totals!J15</f>
        <v>0</v>
      </c>
      <c r="K15" s="129"/>
    </row>
    <row r="16" spans="1:11" s="34" customFormat="1" ht="15" customHeight="1" x14ac:dyDescent="0.25">
      <c r="A16" s="185"/>
      <c r="B16" s="10" t="s">
        <v>27</v>
      </c>
      <c r="C16" s="11" t="s">
        <v>16</v>
      </c>
      <c r="D16" s="127">
        <f t="shared" ca="1" si="0"/>
        <v>126630.439</v>
      </c>
      <c r="E16" s="128">
        <f ca="1">Table1_Totals!E16</f>
        <v>108446.3079596</v>
      </c>
      <c r="F16" s="129"/>
      <c r="G16" s="128">
        <f ca="1">Table1_Totals!G16</f>
        <v>16196.033148099999</v>
      </c>
      <c r="H16" s="128">
        <f ca="1">Table1_Totals!H16</f>
        <v>1988.0978923</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86" t="s">
        <v>171</v>
      </c>
      <c r="B19" s="187"/>
      <c r="C19" s="109" t="s">
        <v>16</v>
      </c>
      <c r="D19" s="123">
        <f t="shared" ref="D19" ca="1" si="2">SUM(E19:J19)</f>
        <v>324738.03977275878</v>
      </c>
      <c r="E19" s="124">
        <f ca="1">SUM(E6:E10,E14)</f>
        <v>204321.94574140717</v>
      </c>
      <c r="F19" s="124">
        <f t="shared" ref="F19:J19" ca="1" si="3">SUM(F6:F10,F14)</f>
        <v>1045.0445850468898</v>
      </c>
      <c r="G19" s="124">
        <f t="shared" ca="1" si="3"/>
        <v>43953.233719150274</v>
      </c>
      <c r="H19" s="124">
        <f t="shared" ca="1" si="3"/>
        <v>31758.175285195503</v>
      </c>
      <c r="I19" s="124">
        <f t="shared" ca="1" si="3"/>
        <v>43659.640441958945</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L1" activePane="topRight" state="frozen"/>
      <selection activeCell="DS1" sqref="DS1:ED1048576"/>
      <selection pane="topRight" activeCell="L15" sqref="L15"/>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104.077</v>
      </c>
      <c r="J6" s="60">
        <v>103.8380141332902</v>
      </c>
      <c r="K6" s="60">
        <v>108.39863860416261</v>
      </c>
      <c r="L6" s="60">
        <v>109.97526624849156</v>
      </c>
      <c r="M6" s="60"/>
      <c r="N6" s="60"/>
      <c r="O6" s="60"/>
      <c r="DS6" s="4" t="str">
        <f>VLOOKUP(Cover!$D$15, Country_list!$B$3:$C$44, 2, 0)</f>
        <v>RO</v>
      </c>
      <c r="DT6" s="33" t="s">
        <v>289</v>
      </c>
      <c r="DV6" s="33" t="s">
        <v>302</v>
      </c>
      <c r="EB6" s="33" t="s">
        <v>291</v>
      </c>
      <c r="ED6" s="33" t="s">
        <v>294</v>
      </c>
    </row>
    <row r="7" spans="1:134" ht="24" customHeight="1" x14ac:dyDescent="0.25">
      <c r="A7" s="183" t="s">
        <v>15</v>
      </c>
      <c r="B7" s="200"/>
      <c r="C7" s="9" t="s">
        <v>25</v>
      </c>
      <c r="D7" s="61"/>
      <c r="E7" s="58"/>
      <c r="F7" s="58"/>
      <c r="G7" s="58"/>
      <c r="H7" s="58"/>
      <c r="I7" s="58">
        <v>33728</v>
      </c>
      <c r="J7" s="58">
        <v>33810.216999999997</v>
      </c>
      <c r="K7" s="58">
        <v>33847.593999999997</v>
      </c>
      <c r="L7" s="58">
        <v>32731.351999999999</v>
      </c>
      <c r="M7" s="58"/>
      <c r="N7" s="58"/>
      <c r="O7" s="58"/>
      <c r="DT7" s="33" t="s">
        <v>290</v>
      </c>
      <c r="EB7" s="33" t="s">
        <v>291</v>
      </c>
      <c r="ED7" s="33" t="s">
        <v>295</v>
      </c>
    </row>
    <row r="8" spans="1:134" ht="24" customHeight="1" x14ac:dyDescent="0.25">
      <c r="A8" s="183" t="s">
        <v>29</v>
      </c>
      <c r="B8" s="200"/>
      <c r="C8" s="9" t="s">
        <v>17</v>
      </c>
      <c r="D8" s="61"/>
      <c r="E8" s="58"/>
      <c r="F8" s="58"/>
      <c r="G8" s="58"/>
      <c r="H8" s="58"/>
      <c r="I8" s="58">
        <v>61077.258000000002</v>
      </c>
      <c r="J8" s="58">
        <v>62298.460375227442</v>
      </c>
      <c r="K8" s="58">
        <v>65935.679338399539</v>
      </c>
      <c r="L8" s="58">
        <v>68456.98444569917</v>
      </c>
      <c r="M8" s="58"/>
      <c r="N8" s="58"/>
      <c r="O8" s="58"/>
      <c r="DT8" s="33" t="s">
        <v>231</v>
      </c>
      <c r="EB8" s="33" t="s">
        <v>291</v>
      </c>
      <c r="ED8" s="33" t="s">
        <v>296</v>
      </c>
    </row>
    <row r="9" spans="1:134" ht="24" customHeight="1" x14ac:dyDescent="0.25">
      <c r="A9" s="183" t="s">
        <v>156</v>
      </c>
      <c r="B9" s="200"/>
      <c r="C9" s="9" t="s">
        <v>19</v>
      </c>
      <c r="D9" s="61"/>
      <c r="E9" s="58"/>
      <c r="F9" s="58"/>
      <c r="G9" s="58"/>
      <c r="H9" s="58"/>
      <c r="I9" s="58">
        <v>195.721</v>
      </c>
      <c r="J9" s="58">
        <v>158.96894171525571</v>
      </c>
      <c r="K9" s="58">
        <v>140.85302523304111</v>
      </c>
      <c r="L9" s="58">
        <v>140.09701806672356</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0.312</v>
      </c>
      <c r="J10" s="58">
        <v>0.30040165686960307</v>
      </c>
      <c r="K10" s="58">
        <v>0.33940815106543321</v>
      </c>
      <c r="L10" s="58">
        <v>0.35660074232066807</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0.28499999999999998</v>
      </c>
      <c r="J11" s="113">
        <v>0.28810366598603021</v>
      </c>
      <c r="K11" s="113">
        <v>0.32336200584923364</v>
      </c>
      <c r="L11" s="113">
        <v>0.32950416907386249</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105808.22</v>
      </c>
      <c r="J14" s="58">
        <v>106662.0799176</v>
      </c>
      <c r="K14" s="58">
        <v>109378.67063959999</v>
      </c>
      <c r="L14" s="58">
        <v>108595.96799999999</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v>105808.22</v>
      </c>
      <c r="J16" s="113">
        <v>106662.0799176</v>
      </c>
      <c r="K16" s="113">
        <v>109378.67063959999</v>
      </c>
      <c r="L16" s="113">
        <v>108446.3079596</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v>0</v>
      </c>
      <c r="L17" s="112"/>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I1" activePane="topRight" state="frozen"/>
      <selection activeCell="DS1" sqref="DS1:ED1048576"/>
      <selection pane="topRight" activeCell="L21" sqref="L2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v>274.72199999999998</v>
      </c>
      <c r="J6" s="60">
        <v>274.0903025383314</v>
      </c>
      <c r="K6" s="60">
        <v>286.12850407192923</v>
      </c>
      <c r="L6" s="60">
        <v>290.29016251302494</v>
      </c>
      <c r="M6" s="60"/>
      <c r="N6" s="60"/>
      <c r="O6" s="60"/>
      <c r="DS6" s="4" t="str">
        <f>VLOOKUP(Cover!$D$15, Country_list!$B$3:$C$44, 2, 0)</f>
        <v>RO</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I1" activePane="topRight" state="frozen"/>
      <selection activeCell="DS1" sqref="DS1:ED1048576"/>
      <selection pane="topRight" activeCell="M15" sqref="M15"/>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232.57</v>
      </c>
      <c r="J6" s="60">
        <v>232.03517467725777</v>
      </c>
      <c r="K6" s="60">
        <v>242.22629114427608</v>
      </c>
      <c r="L6" s="60">
        <v>245.74940427299276</v>
      </c>
      <c r="M6" s="60"/>
      <c r="N6" s="60"/>
      <c r="O6" s="60"/>
      <c r="DS6" s="4" t="str">
        <f>VLOOKUP(Cover!$D$15, Country_list!$B$3:$C$44, 2, 0)</f>
        <v>RO</v>
      </c>
      <c r="DT6" s="33" t="s">
        <v>289</v>
      </c>
      <c r="DV6" s="33" t="s">
        <v>304</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v>23729.151999999998</v>
      </c>
      <c r="J8" s="58">
        <v>24203.60216600963</v>
      </c>
      <c r="K8" s="58">
        <v>25616.699700764912</v>
      </c>
      <c r="L8" s="58">
        <v>26596.253053908047</v>
      </c>
      <c r="M8" s="58"/>
      <c r="N8" s="58"/>
      <c r="O8" s="58"/>
      <c r="DT8" s="33" t="s">
        <v>231</v>
      </c>
      <c r="EB8" s="33" t="s">
        <v>291</v>
      </c>
      <c r="ED8" s="33" t="s">
        <v>296</v>
      </c>
    </row>
    <row r="9" spans="1:134" ht="24" customHeight="1" x14ac:dyDescent="0.25">
      <c r="A9" s="183" t="s">
        <v>156</v>
      </c>
      <c r="B9" s="200"/>
      <c r="C9" s="9" t="s">
        <v>19</v>
      </c>
      <c r="D9" s="61"/>
      <c r="E9" s="58"/>
      <c r="F9" s="58"/>
      <c r="G9" s="58"/>
      <c r="H9" s="58"/>
      <c r="I9" s="58">
        <v>64.872</v>
      </c>
      <c r="J9" s="58">
        <v>52.690684117462432</v>
      </c>
      <c r="K9" s="58">
        <v>46.686114781066728</v>
      </c>
      <c r="L9" s="58">
        <v>46.435534168519609</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47.475000000000001</v>
      </c>
      <c r="J10" s="58">
        <v>45.748597687212175</v>
      </c>
      <c r="K10" s="58">
        <v>51.688952440076321</v>
      </c>
      <c r="L10" s="58">
        <v>54.307236735618126</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43.344999999999999</v>
      </c>
      <c r="J11" s="113">
        <v>43.875719078097866</v>
      </c>
      <c r="K11" s="113">
        <v>49.245262050428607</v>
      </c>
      <c r="L11" s="113">
        <v>50.180660866869587</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15802.045</v>
      </c>
      <c r="J14" s="58">
        <v>15929.565648599999</v>
      </c>
      <c r="K14" s="58">
        <v>16335.2778781</v>
      </c>
      <c r="L14" s="58">
        <v>16196.033148099999</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v>15802.045</v>
      </c>
      <c r="J16" s="113">
        <v>15929.565648599999</v>
      </c>
      <c r="K16" s="113">
        <v>16335.2778781</v>
      </c>
      <c r="L16" s="113">
        <v>16196.033148099999</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v>0</v>
      </c>
      <c r="L17" s="112"/>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I1" activePane="topRight" state="frozen"/>
      <selection activeCell="DS1" sqref="DS1:ED1048576"/>
      <selection pane="topRight" activeCell="K17" sqref="K17"/>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5.859</v>
      </c>
      <c r="J6" s="60">
        <v>5.8457581608324771</v>
      </c>
      <c r="K6" s="60">
        <v>6.1025071745883874</v>
      </c>
      <c r="L6" s="60">
        <v>6.1912664213378426</v>
      </c>
      <c r="M6" s="60"/>
      <c r="N6" s="60"/>
      <c r="O6" s="60"/>
      <c r="DS6" s="4" t="str">
        <f>VLOOKUP(Cover!$D$15, Country_list!$B$3:$C$44, 2, 0)</f>
        <v>RO</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v>19529.688999999998</v>
      </c>
      <c r="J8" s="58">
        <v>19920.173158762933</v>
      </c>
      <c r="K8" s="58">
        <v>21083.187960835559</v>
      </c>
      <c r="L8" s="58">
        <v>21889.385000392795</v>
      </c>
      <c r="M8" s="58"/>
      <c r="N8" s="58"/>
      <c r="O8" s="58"/>
      <c r="DT8" s="33" t="s">
        <v>231</v>
      </c>
      <c r="EB8" s="33" t="s">
        <v>291</v>
      </c>
      <c r="ED8" s="33" t="s">
        <v>296</v>
      </c>
    </row>
    <row r="9" spans="1:134" ht="24" customHeight="1" x14ac:dyDescent="0.25">
      <c r="A9" s="183" t="s">
        <v>156</v>
      </c>
      <c r="B9" s="200"/>
      <c r="C9" s="9" t="s">
        <v>19</v>
      </c>
      <c r="D9" s="61"/>
      <c r="E9" s="58"/>
      <c r="F9" s="58"/>
      <c r="G9" s="58"/>
      <c r="H9" s="58"/>
      <c r="I9" s="58">
        <v>23.407</v>
      </c>
      <c r="J9" s="58">
        <v>19.011374167281854</v>
      </c>
      <c r="K9" s="58">
        <v>16.844859985892175</v>
      </c>
      <c r="L9" s="58">
        <v>16.754447764756847</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180.352</v>
      </c>
      <c r="J10" s="58">
        <v>173.79300065591823</v>
      </c>
      <c r="K10" s="58">
        <v>196.35963940885827</v>
      </c>
      <c r="L10" s="58">
        <v>206.30616252206116</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164.66300000000001</v>
      </c>
      <c r="J11" s="113">
        <v>166.67817725591613</v>
      </c>
      <c r="K11" s="113">
        <v>187.07637594372216</v>
      </c>
      <c r="L11" s="113">
        <v>190.62983496405653</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1939.7349999999999</v>
      </c>
      <c r="J14" s="58">
        <v>1955.3884338</v>
      </c>
      <c r="K14" s="58">
        <v>2005.1904823000002</v>
      </c>
      <c r="L14" s="58">
        <v>1988.0978923</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1939.7349999999999</v>
      </c>
      <c r="J16" s="113">
        <v>1955.3884338</v>
      </c>
      <c r="K16" s="113">
        <v>2005.1904823000002</v>
      </c>
      <c r="L16" s="113">
        <v>1988.0978923</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v>0</v>
      </c>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H1" activePane="topRight" state="frozen"/>
      <selection activeCell="DS1" sqref="DS1:ED1048576"/>
      <selection pane="topRight" activeCell="L6" sqref="L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11477.273999999999</v>
      </c>
      <c r="J6" s="63">
        <v>11450.883750490288</v>
      </c>
      <c r="K6" s="63">
        <v>11953.813059005044</v>
      </c>
      <c r="L6" s="63">
        <v>12127.677900544151</v>
      </c>
      <c r="M6" s="63"/>
      <c r="N6" s="63"/>
      <c r="O6" s="63"/>
      <c r="DS6" s="4" t="str">
        <f>VLOOKUP(Cover!$D$15, Country_list!$B$3:$C$44, 2, 0)</f>
        <v>RO</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E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c r="L6" s="60"/>
      <c r="M6" s="60"/>
      <c r="N6" s="60"/>
      <c r="O6" s="60"/>
      <c r="DS6" s="4" t="str">
        <f>VLOOKUP(Cover!$D$15, Country_list!$B$3:$C$44, 2, 0)</f>
        <v>RO</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2020-01-30T14:21:09Z</dcterms:modified>
  <cp:category>Annual questionnaires</cp:category>
</cp:coreProperties>
</file>