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480" yWindow="435" windowWidth="20580" windowHeight="1164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J17" i="5"/>
  <c r="H17" i="5"/>
  <c r="G17" i="5"/>
  <c r="E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3" i="5"/>
  <c r="K12" i="5"/>
  <c r="K11"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11" i="5"/>
  <c r="E11" i="5"/>
  <c r="H9" i="5"/>
  <c r="E9" i="5"/>
  <c r="J8" i="5"/>
  <c r="F6" i="5"/>
  <c r="H15" i="5"/>
  <c r="E18" i="5"/>
  <c r="G15" i="5"/>
  <c r="H12" i="5"/>
  <c r="J18" i="5"/>
  <c r="H14" i="5"/>
  <c r="G10" i="5"/>
  <c r="G14" i="5"/>
  <c r="J13" i="5"/>
  <c r="H10" i="5"/>
  <c r="E16" i="5"/>
  <c r="G7" i="5"/>
  <c r="E7" i="5"/>
  <c r="E6" i="5"/>
  <c r="J12" i="5"/>
  <c r="H13" i="5"/>
  <c r="G12" i="5"/>
  <c r="G18" i="5"/>
  <c r="J16" i="5"/>
  <c r="E13" i="5"/>
  <c r="E14" i="5"/>
  <c r="G6" i="5"/>
  <c r="E12" i="5"/>
  <c r="G16" i="5"/>
  <c r="G9" i="5"/>
  <c r="H7" i="5"/>
  <c r="H16" i="5"/>
  <c r="H18" i="5"/>
  <c r="I6" i="5"/>
  <c r="H8" i="5"/>
  <c r="J9" i="5"/>
  <c r="G11" i="5"/>
  <c r="K9" i="5"/>
  <c r="J7" i="5"/>
  <c r="H6" i="5"/>
  <c r="J10" i="5"/>
  <c r="J14" i="5"/>
  <c r="J15" i="5"/>
  <c r="E8" i="5"/>
  <c r="G8" i="5"/>
  <c r="G13" i="5"/>
  <c r="J6" i="5"/>
  <c r="J11" i="5"/>
  <c r="E15"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<sst xmlns="http://schemas.openxmlformats.org/spreadsheetml/2006/main" count="952" uniqueCount="315">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</sst>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sz val="11"/>
      <color theme="1"/>
      <name val="Calibri"/>
      <family val="2"/>
      <scheme val="minor"/>
    </font>
    <font>
      <b/>
      <sz val="12"/>
      <color rgb="FF000000"/>
      <name val="Calibri"/>
      <family val="2"/>
    </font>
    <font>
      <b/>
      <i/>
      <sz val="11"/>
      <color rgb="FF000000"/>
      <name val="Calibri"/>
      <family val="2"/>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7" fillId="0" borderId="0"/>
  </cellStyleXfs>
  <cellXfs count="216">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1" fillId="0" borderId="4" xfId="0" applyFont="1" applyBorder="1" applyAlignment="1">
      <alignment vertical="center"/>
    </xf>
    <xf numFmtId="0" fontId="42" fillId="0" borderId="4" xfId="0" applyFont="1" applyBorder="1" applyAlignment="1">
      <alignment vertical="center"/>
    </xf>
    <xf numFmtId="165" fontId="21" fillId="0" borderId="0" xfId="0" applyNumberFormat="1" applyFont="1" applyBorder="1" applyAlignment="1">
      <alignment vertical="center"/>
    </xf>
    <xf numFmtId="0" fontId="44" fillId="0" borderId="0" xfId="0" applyFont="1"/>
    <xf numFmtId="0" fontId="45" fillId="0" borderId="0" xfId="0" applyFont="1" applyAlignment="1">
      <alignment horizontal="center"/>
    </xf>
    <xf numFmtId="0" fontId="34" fillId="0" borderId="0" xfId="0" applyFont="1"/>
    <xf numFmtId="0" fontId="46"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3"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7" fillId="12" borderId="27" xfId="11" applyFill="1" applyBorder="1"/>
    <xf numFmtId="0" fontId="47" fillId="0" borderId="27" xfId="11" applyFill="1" applyBorder="1"/>
    <xf numFmtId="0" fontId="47" fillId="0" borderId="27" xfId="11" applyFont="1" applyFill="1" applyBorder="1"/>
    <xf numFmtId="0" fontId="47" fillId="12" borderId="27" xfId="11" applyFont="1" applyFill="1" applyBorder="1"/>
    <xf numFmtId="49" fontId="47" fillId="0" borderId="27" xfId="11" applyNumberFormat="1" applyFont="1" applyFill="1" applyBorder="1" applyAlignment="1">
      <alignment horizontal="center" vertical="center"/>
    </xf>
    <xf numFmtId="0" fontId="47"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D15" sqref="D15"/>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65</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59"/>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1" t="s">
        <v>145</v>
      </c>
      <c r="C2" s="162"/>
    </row>
    <row r="3" spans="2:3" ht="9.75" customHeight="1" x14ac:dyDescent="0.25">
      <c r="B3" s="64"/>
      <c r="C3" s="65"/>
    </row>
    <row r="4" spans="2:3" ht="36" customHeight="1" x14ac:dyDescent="0.25">
      <c r="B4" s="163" t="s">
        <v>82</v>
      </c>
      <c r="C4" s="66" t="s">
        <v>83</v>
      </c>
    </row>
    <row r="5" spans="2:3" ht="36" customHeight="1" x14ac:dyDescent="0.25">
      <c r="B5" s="164"/>
      <c r="C5" s="67" t="s">
        <v>134</v>
      </c>
    </row>
    <row r="6" spans="2:3" ht="36" customHeight="1" x14ac:dyDescent="0.25">
      <c r="B6" s="164"/>
      <c r="C6" s="67" t="s">
        <v>146</v>
      </c>
    </row>
    <row r="7" spans="2:3" ht="45" customHeight="1" x14ac:dyDescent="0.25">
      <c r="B7" s="165"/>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6" t="s">
        <v>29</v>
      </c>
      <c r="C15" s="67" t="s">
        <v>312</v>
      </c>
    </row>
    <row r="16" spans="2:3" ht="63" customHeight="1" x14ac:dyDescent="0.25">
      <c r="B16" s="167"/>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8" t="s">
        <v>115</v>
      </c>
      <c r="C31" s="67" t="s">
        <v>311</v>
      </c>
    </row>
    <row r="32" spans="2:3" ht="105" customHeight="1" x14ac:dyDescent="0.25">
      <c r="B32" s="169"/>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8" t="s">
        <v>117</v>
      </c>
      <c r="C41" s="67" t="s">
        <v>127</v>
      </c>
    </row>
    <row r="42" spans="1:3" ht="59.25" customHeight="1" x14ac:dyDescent="0.25">
      <c r="B42" s="169"/>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9" sqref="L9"/>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0" t="s">
        <v>0</v>
      </c>
      <c r="B1" s="171"/>
      <c r="C1" s="20"/>
      <c r="D1" s="1"/>
      <c r="E1" s="2"/>
      <c r="F1" s="2"/>
      <c r="G1" s="2"/>
      <c r="H1" s="2"/>
      <c r="I1" s="2"/>
      <c r="J1" s="2"/>
      <c r="K1" s="2"/>
      <c r="L1" s="2"/>
      <c r="M1" s="2"/>
      <c r="N1" s="2"/>
      <c r="O1" s="2"/>
    </row>
    <row r="2" spans="1:134" ht="18" customHeight="1" x14ac:dyDescent="0.25">
      <c r="A2" s="172"/>
      <c r="B2" s="173"/>
      <c r="C2" s="1"/>
      <c r="D2" s="1"/>
      <c r="E2" s="5"/>
      <c r="F2" s="3"/>
      <c r="G2" s="3"/>
      <c r="H2" s="3"/>
      <c r="I2" s="3"/>
      <c r="J2" s="3"/>
      <c r="K2" s="3"/>
      <c r="L2" s="3"/>
      <c r="M2" s="3"/>
      <c r="N2" s="3"/>
      <c r="O2" s="3"/>
    </row>
    <row r="3" spans="1:134" ht="18" customHeight="1" x14ac:dyDescent="0.3">
      <c r="A3" s="174" t="s">
        <v>12</v>
      </c>
      <c r="B3" s="175"/>
      <c r="C3" s="1"/>
      <c r="D3" s="1"/>
      <c r="E3" s="5"/>
      <c r="F3" s="3"/>
      <c r="G3" s="3"/>
      <c r="H3" s="3"/>
      <c r="I3" s="3"/>
      <c r="J3" s="3"/>
      <c r="K3" s="3"/>
      <c r="L3" s="3"/>
      <c r="M3" s="3"/>
      <c r="N3" s="3"/>
      <c r="O3" s="3"/>
      <c r="DS3" s="4" t="s">
        <v>229</v>
      </c>
    </row>
    <row r="4" spans="1:134" ht="18" customHeight="1" x14ac:dyDescent="0.25">
      <c r="A4" s="176"/>
      <c r="B4" s="173"/>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7" t="s">
        <v>3</v>
      </c>
      <c r="B5" s="178"/>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80"/>
      <c r="C6" s="47"/>
      <c r="D6" s="48"/>
      <c r="E6" s="49"/>
      <c r="F6" s="49"/>
      <c r="G6" s="49"/>
      <c r="H6" s="49"/>
      <c r="I6" s="49"/>
      <c r="J6" s="49"/>
      <c r="K6" s="49"/>
      <c r="L6" s="49"/>
      <c r="M6" s="49"/>
      <c r="N6" s="49"/>
      <c r="O6" s="49"/>
      <c r="DS6" s="4" t="str">
        <f>VLOOKUP(Cover!$D$15, Country_list!$B$3:$C$44, 2, 0)</f>
        <v>PL</v>
      </c>
      <c r="DV6" s="4" t="s">
        <v>298</v>
      </c>
    </row>
    <row r="7" spans="1:134" ht="24" customHeight="1" x14ac:dyDescent="0.2">
      <c r="A7" s="182" t="s">
        <v>15</v>
      </c>
      <c r="B7" s="183"/>
      <c r="C7" s="45"/>
      <c r="D7" s="15"/>
      <c r="E7" s="46"/>
      <c r="F7" s="46"/>
      <c r="G7" s="46"/>
      <c r="H7" s="46"/>
      <c r="I7" s="46"/>
      <c r="J7" s="46"/>
      <c r="K7" s="46"/>
      <c r="L7" s="46"/>
      <c r="M7" s="46"/>
      <c r="N7" s="46"/>
      <c r="O7" s="46"/>
    </row>
    <row r="8" spans="1:134" ht="24" customHeight="1" x14ac:dyDescent="0.2">
      <c r="A8" s="182" t="s">
        <v>29</v>
      </c>
      <c r="B8" s="183"/>
      <c r="C8" s="45"/>
      <c r="D8" s="15"/>
      <c r="E8" s="46"/>
      <c r="F8" s="46"/>
      <c r="G8" s="46"/>
      <c r="H8" s="46"/>
      <c r="I8" s="46"/>
      <c r="J8" s="46"/>
      <c r="K8" s="46"/>
      <c r="L8" s="46"/>
      <c r="M8" s="46"/>
      <c r="N8" s="46"/>
      <c r="O8" s="46"/>
    </row>
    <row r="9" spans="1:134" ht="24" customHeight="1" x14ac:dyDescent="0.2">
      <c r="A9" s="182" t="s">
        <v>156</v>
      </c>
      <c r="B9" s="183"/>
      <c r="C9" s="9" t="s">
        <v>132</v>
      </c>
      <c r="D9" s="93"/>
      <c r="E9" s="94"/>
      <c r="F9" s="94"/>
      <c r="G9" s="94"/>
      <c r="H9" s="94"/>
      <c r="I9" s="94">
        <v>25547</v>
      </c>
      <c r="J9" s="94">
        <v>25547</v>
      </c>
      <c r="K9" s="94">
        <v>25547</v>
      </c>
      <c r="L9" s="94">
        <v>25641.419000000002</v>
      </c>
      <c r="M9" s="94"/>
      <c r="N9" s="94"/>
      <c r="O9" s="94"/>
      <c r="DT9" s="4" t="s">
        <v>279</v>
      </c>
      <c r="EB9" s="4" t="s">
        <v>300</v>
      </c>
      <c r="ED9" s="4" t="s">
        <v>301</v>
      </c>
    </row>
    <row r="10" spans="1:134" ht="24" customHeight="1" x14ac:dyDescent="0.2">
      <c r="A10" s="182" t="s">
        <v>20</v>
      </c>
      <c r="B10" s="183"/>
      <c r="C10" s="9" t="s">
        <v>132</v>
      </c>
      <c r="D10" s="93"/>
      <c r="E10" s="94"/>
      <c r="F10" s="94"/>
      <c r="G10" s="94"/>
      <c r="H10" s="94"/>
      <c r="I10" s="94">
        <v>45583</v>
      </c>
      <c r="J10" s="94">
        <v>45583</v>
      </c>
      <c r="K10" s="94">
        <v>45583</v>
      </c>
      <c r="L10" s="94">
        <v>45586.207000000002</v>
      </c>
      <c r="M10" s="94"/>
      <c r="N10" s="94"/>
      <c r="O10" s="94"/>
      <c r="DT10" s="4" t="s">
        <v>280</v>
      </c>
      <c r="EB10" s="4" t="s">
        <v>300</v>
      </c>
      <c r="ED10" s="4" t="s">
        <v>301</v>
      </c>
    </row>
    <row r="11" spans="1:134" s="13" customFormat="1" ht="15" customHeight="1" x14ac:dyDescent="0.2">
      <c r="A11" s="181" t="s">
        <v>18</v>
      </c>
      <c r="B11" s="110" t="s">
        <v>21</v>
      </c>
      <c r="C11" s="111" t="s">
        <v>132</v>
      </c>
      <c r="D11" s="115"/>
      <c r="E11" s="115"/>
      <c r="F11" s="116"/>
      <c r="G11" s="116"/>
      <c r="H11" s="116"/>
      <c r="I11" s="116">
        <v>46000</v>
      </c>
      <c r="J11" s="116">
        <v>46000</v>
      </c>
      <c r="K11" s="116">
        <v>46000</v>
      </c>
      <c r="L11" s="116">
        <v>46000</v>
      </c>
      <c r="M11" s="116"/>
      <c r="N11" s="116"/>
      <c r="O11" s="116"/>
      <c r="DT11" s="13" t="s">
        <v>281</v>
      </c>
      <c r="EB11" s="13" t="s">
        <v>300</v>
      </c>
      <c r="ED11" s="13" t="s">
        <v>301</v>
      </c>
    </row>
    <row r="12" spans="1:134" s="13" customFormat="1" ht="15" customHeight="1" x14ac:dyDescent="0.2">
      <c r="A12" s="181"/>
      <c r="B12" s="110" t="s">
        <v>22</v>
      </c>
      <c r="C12" s="111" t="s">
        <v>132</v>
      </c>
      <c r="D12" s="115"/>
      <c r="E12" s="115"/>
      <c r="F12" s="115"/>
      <c r="G12" s="115"/>
      <c r="H12" s="115"/>
      <c r="I12" s="115"/>
      <c r="J12" s="115"/>
      <c r="K12" s="115"/>
      <c r="L12" s="115"/>
      <c r="M12" s="115"/>
      <c r="N12" s="115"/>
      <c r="O12" s="115"/>
      <c r="DT12" s="13" t="s">
        <v>282</v>
      </c>
      <c r="EB12" s="13" t="s">
        <v>300</v>
      </c>
      <c r="ED12" s="13" t="s">
        <v>301</v>
      </c>
    </row>
    <row r="13" spans="1:134" s="13" customFormat="1" ht="15" customHeight="1" x14ac:dyDescent="0.2">
      <c r="A13" s="181"/>
      <c r="B13" s="110" t="s">
        <v>23</v>
      </c>
      <c r="C13" s="111" t="s">
        <v>132</v>
      </c>
      <c r="D13" s="115"/>
      <c r="E13" s="115"/>
      <c r="F13" s="115"/>
      <c r="G13" s="115"/>
      <c r="H13" s="115"/>
      <c r="I13" s="115">
        <v>43000</v>
      </c>
      <c r="J13" s="115">
        <v>43000</v>
      </c>
      <c r="K13" s="115">
        <v>43000</v>
      </c>
      <c r="L13" s="115">
        <v>43000</v>
      </c>
      <c r="M13" s="115"/>
      <c r="N13" s="115"/>
      <c r="O13" s="115"/>
      <c r="DT13" s="13" t="s">
        <v>283</v>
      </c>
      <c r="EB13" s="13" t="s">
        <v>300</v>
      </c>
      <c r="ED13" s="13" t="s">
        <v>301</v>
      </c>
    </row>
    <row r="14" spans="1:134" ht="24" customHeight="1" x14ac:dyDescent="0.2">
      <c r="A14" s="182" t="s">
        <v>24</v>
      </c>
      <c r="B14" s="183"/>
      <c r="C14" s="45"/>
      <c r="D14" s="15"/>
      <c r="E14" s="46"/>
      <c r="F14" s="46"/>
      <c r="G14" s="46"/>
      <c r="H14" s="46"/>
      <c r="I14" s="46"/>
      <c r="J14" s="46"/>
      <c r="K14" s="46"/>
      <c r="L14" s="46"/>
      <c r="M14" s="46"/>
      <c r="N14" s="46"/>
      <c r="O14" s="46"/>
    </row>
    <row r="15" spans="1:134" s="13" customFormat="1" ht="15" customHeight="1" x14ac:dyDescent="0.2">
      <c r="A15" s="181" t="s">
        <v>18</v>
      </c>
      <c r="B15" s="110" t="s">
        <v>26</v>
      </c>
      <c r="C15" s="14"/>
      <c r="D15" s="15"/>
      <c r="E15" s="12"/>
      <c r="F15" s="12"/>
      <c r="G15" s="12"/>
      <c r="H15" s="12"/>
      <c r="I15" s="12"/>
      <c r="J15" s="12"/>
      <c r="K15" s="12"/>
      <c r="L15" s="12"/>
      <c r="M15" s="12"/>
      <c r="N15" s="12"/>
      <c r="O15" s="12"/>
    </row>
    <row r="16" spans="1:134" s="13" customFormat="1" ht="15" customHeight="1" x14ac:dyDescent="0.2">
      <c r="A16" s="181"/>
      <c r="B16" s="110" t="s">
        <v>27</v>
      </c>
      <c r="C16" s="14"/>
      <c r="D16" s="15"/>
      <c r="E16" s="12"/>
      <c r="F16" s="12"/>
      <c r="G16" s="12"/>
      <c r="H16" s="12"/>
      <c r="I16" s="12"/>
      <c r="J16" s="12"/>
      <c r="K16" s="12"/>
      <c r="L16" s="12"/>
      <c r="M16" s="12"/>
      <c r="N16" s="12"/>
      <c r="O16" s="12"/>
    </row>
    <row r="17" spans="1:15" s="13" customFormat="1" ht="15" customHeight="1" x14ac:dyDescent="0.2">
      <c r="A17" s="181"/>
      <c r="B17" s="110" t="s">
        <v>28</v>
      </c>
      <c r="C17" s="14"/>
      <c r="D17" s="15"/>
      <c r="E17" s="12"/>
      <c r="F17" s="12"/>
      <c r="G17" s="12"/>
      <c r="H17" s="12"/>
      <c r="I17" s="12"/>
      <c r="J17" s="12"/>
      <c r="K17" s="12"/>
      <c r="L17" s="12"/>
      <c r="M17" s="12"/>
      <c r="N17" s="12"/>
      <c r="O17" s="12"/>
    </row>
    <row r="18" spans="1:15" s="13" customFormat="1" ht="15" customHeight="1" x14ac:dyDescent="0.2">
      <c r="A18" s="181"/>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sqref="A1:B1"/>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0" t="s">
        <v>0</v>
      </c>
      <c r="B1" s="189"/>
      <c r="C1" s="31"/>
      <c r="D1" s="1"/>
      <c r="E1" s="2"/>
      <c r="F1" s="2"/>
      <c r="G1" s="2"/>
      <c r="H1" s="2"/>
      <c r="I1" s="2"/>
      <c r="J1" s="2"/>
      <c r="K1" s="3"/>
    </row>
    <row r="2" spans="1:11" ht="18" customHeight="1" x14ac:dyDescent="0.25">
      <c r="A2" s="190" t="s">
        <v>1</v>
      </c>
      <c r="B2" s="191"/>
      <c r="C2" s="1" t="str">
        <f>Cover!D15</f>
        <v>Poland</v>
      </c>
      <c r="D2" s="1"/>
      <c r="E2" s="5"/>
      <c r="F2" s="3"/>
      <c r="G2" s="3"/>
      <c r="H2" s="3"/>
      <c r="I2" s="3"/>
      <c r="J2" s="3"/>
      <c r="K2" s="3"/>
    </row>
    <row r="3" spans="1:11" ht="18" customHeight="1" x14ac:dyDescent="0.25">
      <c r="A3" s="190" t="s">
        <v>2</v>
      </c>
      <c r="B3" s="192"/>
      <c r="C3" s="114">
        <v>2018</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77"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8" t="s">
        <v>14</v>
      </c>
      <c r="D6" s="120">
        <f ca="1">SUM(E6:J6)</f>
        <v>29284</v>
      </c>
      <c r="E6" s="121">
        <f ca="1">INDIRECT(ADDRESS(ROW(K6),$C$3 -2010 + 4,,,"1a_SpaceHeating"))</f>
        <v>1305</v>
      </c>
      <c r="F6" s="121">
        <f ca="1">INDIRECT(ADDRESS(ROW(K6),$C$3-2010+4,,,"1b_SpaceCooling"))</f>
        <v>0</v>
      </c>
      <c r="G6" s="121">
        <f ca="1">INDIRECT(ADDRESS(ROW(K6),$C$3-2010+4,,,"1c_WaterHeating"))</f>
        <v>2118</v>
      </c>
      <c r="H6" s="121">
        <f ca="1">INDIRECT(ADDRESS(ROW(K6),$C$3-2010+4,,,"1d_Cooking"))</f>
        <v>3168</v>
      </c>
      <c r="I6" s="121">
        <f ca="1">INDIRECT(ADDRESS(ROW(K6),$C$3-2010+4,,,"1e_LightingAndAppliances"))</f>
        <v>22693</v>
      </c>
      <c r="J6" s="121">
        <f ca="1">INDIRECT(ADDRESS(ROW(K6),$C$3-2010+4,,,"1f_OtherEndUses"))</f>
        <v>0</v>
      </c>
      <c r="K6" s="122"/>
    </row>
    <row r="7" spans="1:11" ht="24" customHeight="1" x14ac:dyDescent="0.25">
      <c r="A7" s="185" t="s">
        <v>15</v>
      </c>
      <c r="B7" s="186"/>
      <c r="C7" s="109" t="s">
        <v>16</v>
      </c>
      <c r="D7" s="123">
        <f t="shared" ref="D7:D16" ca="1" si="0">SUM(E7:J7)</f>
        <v>157000</v>
      </c>
      <c r="E7" s="124">
        <f t="shared" ref="E7:E16" ca="1" si="1">INDIRECT(ADDRESS(ROW(K7),$C$3 -2010 + 4,,,"1a_SpaceHeating"))</f>
        <v>107250</v>
      </c>
      <c r="F7" s="125"/>
      <c r="G7" s="124">
        <f t="shared" ref="G7:G16" ca="1" si="2">INDIRECT(ADDRESS(ROW(K7),$C$3-2010+4,,,"1c_WaterHeating"))</f>
        <v>49750</v>
      </c>
      <c r="H7" s="124">
        <f t="shared" ref="H7:H16" ca="1" si="3">INDIRECT(ADDRESS(ROW(K7),$C$3-2010+4,,,"1d_Cooking"))</f>
        <v>0</v>
      </c>
      <c r="I7" s="125"/>
      <c r="J7" s="124">
        <f t="shared" ref="J7:J17" ca="1" si="4">INDIRECT(ADDRESS(ROW(K7),$C$3-2010+4,,,"1f_OtherEndUses"))</f>
        <v>0</v>
      </c>
      <c r="K7" s="125"/>
    </row>
    <row r="8" spans="1:11" ht="24" customHeight="1" x14ac:dyDescent="0.25">
      <c r="A8" s="185" t="s">
        <v>29</v>
      </c>
      <c r="B8" s="186"/>
      <c r="C8" s="109" t="s">
        <v>17</v>
      </c>
      <c r="D8" s="123">
        <f t="shared" ca="1" si="0"/>
        <v>165679</v>
      </c>
      <c r="E8" s="124">
        <f t="shared" ca="1" si="1"/>
        <v>88532</v>
      </c>
      <c r="F8" s="125"/>
      <c r="G8" s="124">
        <f t="shared" ca="1" si="2"/>
        <v>43892</v>
      </c>
      <c r="H8" s="124">
        <f t="shared" ca="1" si="3"/>
        <v>33255</v>
      </c>
      <c r="I8" s="125"/>
      <c r="J8" s="124">
        <f t="shared" ca="1" si="4"/>
        <v>0</v>
      </c>
      <c r="K8" s="125"/>
    </row>
    <row r="9" spans="1:11" ht="24" customHeight="1" x14ac:dyDescent="0.25">
      <c r="A9" s="185" t="s">
        <v>156</v>
      </c>
      <c r="B9" s="186"/>
      <c r="C9" s="109" t="s">
        <v>19</v>
      </c>
      <c r="D9" s="123">
        <f t="shared" ca="1" si="0"/>
        <v>10430</v>
      </c>
      <c r="E9" s="124">
        <f t="shared" ca="1" si="1"/>
        <v>9365</v>
      </c>
      <c r="F9" s="125"/>
      <c r="G9" s="124">
        <f t="shared" ca="1" si="2"/>
        <v>935</v>
      </c>
      <c r="H9" s="124">
        <f t="shared" ca="1" si="3"/>
        <v>130</v>
      </c>
      <c r="I9" s="125"/>
      <c r="J9" s="124">
        <f t="shared" ca="1" si="4"/>
        <v>0</v>
      </c>
      <c r="K9" s="126">
        <f ca="1">INDIRECT(ADDRESS(ROW(K9),$C$3-2010+4,,,"Calorific_Values"))</f>
        <v>25641.419000000002</v>
      </c>
    </row>
    <row r="10" spans="1:11" ht="24" customHeight="1" x14ac:dyDescent="0.25">
      <c r="A10" s="185" t="s">
        <v>42</v>
      </c>
      <c r="B10" s="186"/>
      <c r="C10" s="109" t="s">
        <v>19</v>
      </c>
      <c r="D10" s="123">
        <f t="shared" ca="1" si="0"/>
        <v>580</v>
      </c>
      <c r="E10" s="124">
        <f t="shared" ca="1" si="1"/>
        <v>90</v>
      </c>
      <c r="F10" s="125"/>
      <c r="G10" s="124">
        <f t="shared" ca="1" si="2"/>
        <v>34</v>
      </c>
      <c r="H10" s="124">
        <f t="shared" ca="1" si="3"/>
        <v>456</v>
      </c>
      <c r="I10" s="125"/>
      <c r="J10" s="124">
        <f t="shared" ca="1" si="4"/>
        <v>0</v>
      </c>
      <c r="K10" s="126">
        <f ca="1">INDIRECT(ADDRESS(ROW(K10),$C$3-2010+4,,,"Calorific_Values"))</f>
        <v>45586.207000000002</v>
      </c>
    </row>
    <row r="11" spans="1:11" s="34" customFormat="1" ht="15" customHeight="1" x14ac:dyDescent="0.25">
      <c r="A11" s="184" t="s">
        <v>18</v>
      </c>
      <c r="B11" s="10" t="s">
        <v>21</v>
      </c>
      <c r="C11" s="11" t="s">
        <v>19</v>
      </c>
      <c r="D11" s="127">
        <f t="shared" ca="1" si="0"/>
        <v>500</v>
      </c>
      <c r="E11" s="128">
        <f t="shared" ca="1" si="1"/>
        <v>20</v>
      </c>
      <c r="F11" s="129"/>
      <c r="G11" s="128">
        <f t="shared" ca="1" si="2"/>
        <v>24</v>
      </c>
      <c r="H11" s="128">
        <f t="shared" ca="1" si="3"/>
        <v>456</v>
      </c>
      <c r="I11" s="129"/>
      <c r="J11" s="128">
        <f t="shared" ca="1" si="4"/>
        <v>0</v>
      </c>
      <c r="K11" s="130">
        <f t="shared" ref="K11:K13" ca="1" si="5">INDIRECT(ADDRESS(ROW(K11),$C$3-2010+4,,,"Calorific_Values"))</f>
        <v>46000</v>
      </c>
    </row>
    <row r="12" spans="1:11" s="34" customFormat="1" ht="15" customHeight="1" x14ac:dyDescent="0.25">
      <c r="A12" s="184"/>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84"/>
      <c r="B13" s="10" t="s">
        <v>23</v>
      </c>
      <c r="C13" s="11" t="s">
        <v>19</v>
      </c>
      <c r="D13" s="127">
        <f t="shared" ca="1" si="0"/>
        <v>80</v>
      </c>
      <c r="E13" s="128">
        <f t="shared" ca="1" si="1"/>
        <v>70</v>
      </c>
      <c r="F13" s="129"/>
      <c r="G13" s="128">
        <f t="shared" ca="1" si="2"/>
        <v>10</v>
      </c>
      <c r="H13" s="128">
        <f t="shared" ca="1" si="3"/>
        <v>0</v>
      </c>
      <c r="I13" s="129"/>
      <c r="J13" s="128">
        <f t="shared" ca="1" si="4"/>
        <v>0</v>
      </c>
      <c r="K13" s="130">
        <f t="shared" ca="1" si="5"/>
        <v>43000</v>
      </c>
    </row>
    <row r="14" spans="1:11" ht="24" customHeight="1" x14ac:dyDescent="0.25">
      <c r="A14" s="185" t="s">
        <v>43</v>
      </c>
      <c r="B14" s="186"/>
      <c r="C14" s="109" t="s">
        <v>16</v>
      </c>
      <c r="D14" s="123">
        <f t="shared" ca="1" si="0"/>
        <v>112675</v>
      </c>
      <c r="E14" s="124">
        <f t="shared" ca="1" si="1"/>
        <v>98676</v>
      </c>
      <c r="F14" s="125"/>
      <c r="G14" s="124">
        <f t="shared" ca="1" si="2"/>
        <v>11784</v>
      </c>
      <c r="H14" s="124">
        <f t="shared" ca="1" si="3"/>
        <v>2215</v>
      </c>
      <c r="I14" s="125"/>
      <c r="J14" s="124">
        <f t="shared" ca="1" si="4"/>
        <v>0</v>
      </c>
      <c r="K14" s="125"/>
    </row>
    <row r="15" spans="1:11" s="34" customFormat="1" ht="15" customHeight="1" x14ac:dyDescent="0.25">
      <c r="A15" s="184" t="s">
        <v>18</v>
      </c>
      <c r="B15" s="10" t="s">
        <v>26</v>
      </c>
      <c r="C15" s="11" t="s">
        <v>16</v>
      </c>
      <c r="D15" s="127">
        <f t="shared" ca="1" si="0"/>
        <v>2129</v>
      </c>
      <c r="E15" s="128">
        <f t="shared" ca="1" si="1"/>
        <v>106</v>
      </c>
      <c r="F15" s="129"/>
      <c r="G15" s="128">
        <f t="shared" ca="1" si="2"/>
        <v>2023</v>
      </c>
      <c r="H15" s="128">
        <f t="shared" ca="1" si="3"/>
        <v>0</v>
      </c>
      <c r="I15" s="129"/>
      <c r="J15" s="128">
        <f t="shared" ca="1" si="4"/>
        <v>0</v>
      </c>
      <c r="K15" s="129"/>
    </row>
    <row r="16" spans="1:11" s="34" customFormat="1" ht="15" customHeight="1" x14ac:dyDescent="0.25">
      <c r="A16" s="184"/>
      <c r="B16" s="10" t="s">
        <v>27</v>
      </c>
      <c r="C16" s="11" t="s">
        <v>16</v>
      </c>
      <c r="D16" s="127">
        <f t="shared" ca="1" si="0"/>
        <v>108015</v>
      </c>
      <c r="E16" s="128">
        <f t="shared" ca="1" si="1"/>
        <v>96800</v>
      </c>
      <c r="F16" s="129"/>
      <c r="G16" s="128">
        <f t="shared" ca="1" si="2"/>
        <v>9000</v>
      </c>
      <c r="H16" s="128">
        <f t="shared" ca="1" si="3"/>
        <v>2215</v>
      </c>
      <c r="I16" s="129"/>
      <c r="J16" s="128">
        <f t="shared" ca="1" si="4"/>
        <v>0</v>
      </c>
      <c r="K16" s="129"/>
    </row>
    <row r="17" spans="1:11" s="34" customFormat="1" ht="15" customHeight="1" x14ac:dyDescent="0.25">
      <c r="A17" s="184"/>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84"/>
      <c r="B18" s="34" t="s">
        <v>184</v>
      </c>
      <c r="C18" s="11" t="s">
        <v>16</v>
      </c>
      <c r="D18" s="127">
        <f ca="1">SUM(E18:J18)</f>
        <v>1788</v>
      </c>
      <c r="E18" s="128">
        <f ca="1">INDIRECT(ADDRESS(ROW(K18),$C$3 -2010 + 4,,,"1a_SpaceHeating"))</f>
        <v>1250</v>
      </c>
      <c r="F18" s="129"/>
      <c r="G18" s="128">
        <f ca="1">INDIRECT(ADDRESS(ROW(K18),$C$3-2010+4,,,"1c_WaterHeating"))</f>
        <v>538</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 sqref="D1"/>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0" t="s">
        <v>0</v>
      </c>
      <c r="B1" s="189"/>
      <c r="C1" s="31"/>
      <c r="D1" s="1"/>
      <c r="E1" s="2"/>
      <c r="F1" s="2"/>
      <c r="G1" s="2"/>
      <c r="H1" s="2"/>
      <c r="I1" s="2"/>
      <c r="J1" s="2"/>
      <c r="K1" s="3"/>
    </row>
    <row r="2" spans="1:11" ht="18" customHeight="1" x14ac:dyDescent="0.25">
      <c r="A2" s="190" t="s">
        <v>1</v>
      </c>
      <c r="B2" s="191"/>
      <c r="C2" s="1" t="str">
        <f>Cover!D15</f>
        <v>Poland</v>
      </c>
      <c r="D2" s="1"/>
      <c r="E2" s="5"/>
      <c r="F2" s="3"/>
      <c r="G2" s="3"/>
      <c r="H2" s="3"/>
      <c r="I2" s="3"/>
      <c r="J2" s="3"/>
      <c r="K2" s="3"/>
    </row>
    <row r="3" spans="1:11" ht="18" customHeight="1" x14ac:dyDescent="0.25">
      <c r="A3" s="190" t="s">
        <v>2</v>
      </c>
      <c r="B3" s="191"/>
      <c r="C3" s="1">
        <f>Table1_Totals!C3</f>
        <v>2018</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77"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8" t="s">
        <v>16</v>
      </c>
      <c r="D6" s="120">
        <f ca="1">SUM(E6:J6)</f>
        <v>105422.39999999999</v>
      </c>
      <c r="E6" s="121">
        <f ca="1">Table1_Totals!E6*3.6</f>
        <v>4698</v>
      </c>
      <c r="F6" s="121">
        <f ca="1">Table1_Totals!F6*3.6</f>
        <v>0</v>
      </c>
      <c r="G6" s="121">
        <f ca="1">Table1_Totals!G6*3.6</f>
        <v>7624.8</v>
      </c>
      <c r="H6" s="121">
        <f ca="1">Table1_Totals!H6*3.6</f>
        <v>11404.800000000001</v>
      </c>
      <c r="I6" s="121">
        <f ca="1">Table1_Totals!I6*3.6</f>
        <v>81694.8</v>
      </c>
      <c r="J6" s="121">
        <f ca="1">Table1_Totals!J6*3.6</f>
        <v>0</v>
      </c>
      <c r="K6" s="122"/>
    </row>
    <row r="7" spans="1:11" ht="24" customHeight="1" x14ac:dyDescent="0.25">
      <c r="A7" s="185" t="s">
        <v>15</v>
      </c>
      <c r="B7" s="186"/>
      <c r="C7" s="109" t="s">
        <v>16</v>
      </c>
      <c r="D7" s="123">
        <f t="shared" ref="D7:D18" ca="1" si="0">SUM(E7:J7)</f>
        <v>157000</v>
      </c>
      <c r="E7" s="124">
        <f ca="1">Table1_Totals!E7</f>
        <v>107250</v>
      </c>
      <c r="F7" s="125"/>
      <c r="G7" s="124">
        <f ca="1">Table1_Totals!G7</f>
        <v>49750</v>
      </c>
      <c r="H7" s="124">
        <f ca="1">Table1_Totals!H7</f>
        <v>0</v>
      </c>
      <c r="I7" s="125"/>
      <c r="J7" s="124">
        <f ca="1">Table1_Totals!J7</f>
        <v>0</v>
      </c>
      <c r="K7" s="125"/>
    </row>
    <row r="8" spans="1:11" ht="24" customHeight="1" x14ac:dyDescent="0.25">
      <c r="A8" s="185" t="s">
        <v>29</v>
      </c>
      <c r="B8" s="186"/>
      <c r="C8" s="109" t="s">
        <v>16</v>
      </c>
      <c r="D8" s="123">
        <f t="shared" ca="1" si="0"/>
        <v>149111.1</v>
      </c>
      <c r="E8" s="124">
        <f ca="1">Table1_Totals!E8*0.9</f>
        <v>79678.8</v>
      </c>
      <c r="F8" s="125"/>
      <c r="G8" s="124">
        <f ca="1">Table1_Totals!G8*0.9</f>
        <v>39502.800000000003</v>
      </c>
      <c r="H8" s="124">
        <f ca="1">Table1_Totals!H8*0.9</f>
        <v>29929.5</v>
      </c>
      <c r="I8" s="125"/>
      <c r="J8" s="124">
        <f ca="1">Table1_Totals!J8*0.9</f>
        <v>0</v>
      </c>
      <c r="K8" s="125"/>
    </row>
    <row r="9" spans="1:11" ht="24" customHeight="1" x14ac:dyDescent="0.25">
      <c r="A9" s="185" t="s">
        <v>156</v>
      </c>
      <c r="B9" s="186"/>
      <c r="C9" s="109" t="s">
        <v>16</v>
      </c>
      <c r="D9" s="123">
        <f t="shared" ca="1" si="0"/>
        <v>267440.00016999996</v>
      </c>
      <c r="E9" s="124">
        <f ca="1">IF(Table1_Totals!E9&lt;&gt;0,IF(Table1_Totals!$K9&lt;&gt;0,Table1_Totals!E9*Table1_Totals!$K9/1000,"Please check CV"),"0,000")</f>
        <v>240131.888935</v>
      </c>
      <c r="F9" s="125"/>
      <c r="G9" s="124">
        <f ca="1">IF(Table1_Totals!G9&lt;&gt;0,IF(Table1_Totals!$K9&lt;&gt;0,Table1_Totals!G9*Table1_Totals!$K$9/1000,"Please check CV"),"0,000")</f>
        <v>23974.726764999999</v>
      </c>
      <c r="H9" s="124">
        <f ca="1">IF(Table1_Totals!H9&lt;&gt;0,IF(Table1_Totals!$K9&lt;&gt;0,Table1_Totals!H9*Table1_Totals!$K$9/1000,"Please check CV"),"0,000")</f>
        <v>3333.3844700000004</v>
      </c>
      <c r="I9" s="125"/>
      <c r="J9" s="124" t="str">
        <f ca="1">IF(Table1_Totals!J9&lt;&gt;0,IF(Table1_Totals!$K9&lt;&gt;0,Table1_Totals!J9*Table1_Totals!$K$9/1000,"Please check CV"),"0,000")</f>
        <v>0,000</v>
      </c>
      <c r="K9" s="126">
        <f ca="1">Table1_Totals!K9</f>
        <v>25641.419000000002</v>
      </c>
    </row>
    <row r="10" spans="1:11" ht="24" customHeight="1" x14ac:dyDescent="0.25">
      <c r="A10" s="185" t="s">
        <v>42</v>
      </c>
      <c r="B10" s="186"/>
      <c r="C10" s="109" t="s">
        <v>16</v>
      </c>
      <c r="D10" s="123">
        <f t="shared" ca="1" si="0"/>
        <v>26440.000059999998</v>
      </c>
      <c r="E10" s="124">
        <f ca="1">IF(Table1_Totals!E10&lt;&gt;0,IF(Table1_Totals!$K10&lt;&gt;0,Table1_Totals!E10*Table1_Totals!$K10/1000,"Please check CV"),"0,000")</f>
        <v>4102.7586300000003</v>
      </c>
      <c r="F10" s="125"/>
      <c r="G10" s="124">
        <f ca="1">IF(Table1_Totals!G10&lt;&gt;0,IF(Table1_Totals!$K10&lt;&gt;0,Table1_Totals!G10*Table1_Totals!$K10/1000,"Please check CV"),"0,000")</f>
        <v>1549.9310380000002</v>
      </c>
      <c r="H10" s="124">
        <f ca="1">IF(Table1_Totals!H10&lt;&gt;0,IF(Table1_Totals!$K10&lt;&gt;0,Table1_Totals!H10*Table1_Totals!$K10/1000,"Please check CV"),"0,000")</f>
        <v>20787.310391999999</v>
      </c>
      <c r="I10" s="125"/>
      <c r="J10" s="124" t="str">
        <f ca="1">IF(Table1_Totals!J10&lt;&gt;0,IF(Table1_Totals!$K10&lt;&gt;0,Table1_Totals!J10*Table1_Totals!$K10/1000,"Please check CV"),"0,000")</f>
        <v>0,000</v>
      </c>
      <c r="K10" s="126">
        <f ca="1">Table1_Totals!K10</f>
        <v>45586.207000000002</v>
      </c>
    </row>
    <row r="11" spans="1:11" s="34" customFormat="1" ht="15" customHeight="1" x14ac:dyDescent="0.25">
      <c r="A11" s="184" t="s">
        <v>18</v>
      </c>
      <c r="B11" s="10" t="s">
        <v>21</v>
      </c>
      <c r="C11" s="11" t="s">
        <v>16</v>
      </c>
      <c r="D11" s="127">
        <f t="shared" ca="1" si="0"/>
        <v>23000</v>
      </c>
      <c r="E11" s="128">
        <f ca="1">IF(Table1_Totals!E11&lt;&gt;0,IF(Table1_Totals!$K11&lt;&gt;0,Table1_Totals!E11*Table1_Totals!$K11/1000,"Please check CV"),"0,000")</f>
        <v>920</v>
      </c>
      <c r="F11" s="129"/>
      <c r="G11" s="128">
        <f ca="1">IF(Table1_Totals!G11&lt;&gt;0,IF(Table1_Totals!$K11&lt;&gt;0,Table1_Totals!G11*Table1_Totals!$K11/1000,"Please check CV"),"0,000")</f>
        <v>1104</v>
      </c>
      <c r="H11" s="128">
        <f ca="1">IF(Table1_Totals!H11&lt;&gt;0,IF(Table1_Totals!$K11&lt;&gt;0,Table1_Totals!H11*Table1_Totals!$K11/1000,"Please check CV"),"0,000")</f>
        <v>20976</v>
      </c>
      <c r="I11" s="129"/>
      <c r="J11" s="128" t="str">
        <f ca="1">IF(Table1_Totals!J11&lt;&gt;0,IF(Table1_Totals!$K11&lt;&gt;0,Table1_Totals!J11*Table1_Totals!$K11/1000,"Please check CV"),"0,000")</f>
        <v>0,000</v>
      </c>
      <c r="K11" s="130">
        <f ca="1">Table1_Totals!K11</f>
        <v>46000</v>
      </c>
    </row>
    <row r="12" spans="1:11" s="34" customFormat="1" ht="15" customHeight="1" x14ac:dyDescent="0.25">
      <c r="A12" s="184"/>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84"/>
      <c r="B13" s="10" t="s">
        <v>23</v>
      </c>
      <c r="C13" s="11" t="s">
        <v>16</v>
      </c>
      <c r="D13" s="127">
        <f t="shared" ca="1" si="0"/>
        <v>3440</v>
      </c>
      <c r="E13" s="128">
        <f ca="1">IF(Table1_Totals!E13&lt;&gt;0,IF(Table1_Totals!$K13&lt;&gt;0,Table1_Totals!E13*Table1_Totals!$K13/1000,"Please check CV"),"0,000")</f>
        <v>3010</v>
      </c>
      <c r="F13" s="129"/>
      <c r="G13" s="128">
        <f ca="1">IF(Table1_Totals!G13&lt;&gt;0,IF(Table1_Totals!$K13&lt;&gt;0,Table1_Totals!G13*Table1_Totals!$K13/1000,"Please check CV"),"0,000")</f>
        <v>430</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43000</v>
      </c>
    </row>
    <row r="14" spans="1:11" ht="24" customHeight="1" x14ac:dyDescent="0.25">
      <c r="A14" s="185" t="s">
        <v>43</v>
      </c>
      <c r="B14" s="186"/>
      <c r="C14" s="109" t="s">
        <v>16</v>
      </c>
      <c r="D14" s="123">
        <f t="shared" ca="1" si="0"/>
        <v>112675</v>
      </c>
      <c r="E14" s="124">
        <f ca="1">Table1_Totals!E14</f>
        <v>98676</v>
      </c>
      <c r="F14" s="125"/>
      <c r="G14" s="124">
        <f ca="1">Table1_Totals!G14</f>
        <v>11784</v>
      </c>
      <c r="H14" s="124">
        <f ca="1">Table1_Totals!H14</f>
        <v>2215</v>
      </c>
      <c r="I14" s="125"/>
      <c r="J14" s="124">
        <f ca="1">Table1_Totals!J14</f>
        <v>0</v>
      </c>
      <c r="K14" s="125"/>
    </row>
    <row r="15" spans="1:11" s="34" customFormat="1" ht="15" customHeight="1" x14ac:dyDescent="0.25">
      <c r="A15" s="184" t="s">
        <v>18</v>
      </c>
      <c r="B15" s="10" t="s">
        <v>26</v>
      </c>
      <c r="C15" s="11" t="s">
        <v>16</v>
      </c>
      <c r="D15" s="127">
        <f t="shared" ca="1" si="0"/>
        <v>2129</v>
      </c>
      <c r="E15" s="128">
        <f ca="1">Table1_Totals!E15</f>
        <v>106</v>
      </c>
      <c r="F15" s="129"/>
      <c r="G15" s="128">
        <f ca="1">Table1_Totals!G15</f>
        <v>2023</v>
      </c>
      <c r="H15" s="128">
        <f ca="1">Table1_Totals!H15</f>
        <v>0</v>
      </c>
      <c r="I15" s="129"/>
      <c r="J15" s="128">
        <f ca="1">Table1_Totals!J15</f>
        <v>0</v>
      </c>
      <c r="K15" s="129"/>
    </row>
    <row r="16" spans="1:11" s="34" customFormat="1" ht="15" customHeight="1" x14ac:dyDescent="0.25">
      <c r="A16" s="184"/>
      <c r="B16" s="10" t="s">
        <v>27</v>
      </c>
      <c r="C16" s="11" t="s">
        <v>16</v>
      </c>
      <c r="D16" s="127">
        <f t="shared" ca="1" si="0"/>
        <v>108015</v>
      </c>
      <c r="E16" s="128">
        <f ca="1">Table1_Totals!E16</f>
        <v>96800</v>
      </c>
      <c r="F16" s="129"/>
      <c r="G16" s="128">
        <f ca="1">Table1_Totals!G16</f>
        <v>9000</v>
      </c>
      <c r="H16" s="128">
        <f ca="1">Table1_Totals!H16</f>
        <v>2215</v>
      </c>
      <c r="I16" s="129"/>
      <c r="J16" s="128">
        <f ca="1">Table1_Totals!J16</f>
        <v>0</v>
      </c>
      <c r="K16" s="129"/>
    </row>
    <row r="17" spans="1:11" s="34" customFormat="1" ht="15" customHeight="1" x14ac:dyDescent="0.25">
      <c r="A17" s="184"/>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84"/>
      <c r="B18" s="34" t="s">
        <v>184</v>
      </c>
      <c r="C18" s="11" t="s">
        <v>16</v>
      </c>
      <c r="D18" s="127">
        <f t="shared" ca="1" si="0"/>
        <v>1788</v>
      </c>
      <c r="E18" s="128">
        <f ca="1">Table1_Totals!E18</f>
        <v>1250</v>
      </c>
      <c r="F18" s="129"/>
      <c r="G18" s="128">
        <f ca="1">Table1_Totals!G18</f>
        <v>538</v>
      </c>
      <c r="H18" s="128">
        <f ca="1">Table1_Totals!H18</f>
        <v>0</v>
      </c>
      <c r="I18" s="129"/>
      <c r="J18" s="128">
        <f ca="1">Table1_Totals!J18</f>
        <v>0</v>
      </c>
      <c r="K18" s="129"/>
    </row>
    <row r="19" spans="1:11" ht="24" customHeight="1" x14ac:dyDescent="0.25">
      <c r="A19" s="185" t="s">
        <v>171</v>
      </c>
      <c r="B19" s="186"/>
      <c r="C19" s="109" t="s">
        <v>16</v>
      </c>
      <c r="D19" s="123">
        <f t="shared" ref="D19" ca="1" si="2">SUM(E19:J19)</f>
        <v>818088.50023000012</v>
      </c>
      <c r="E19" s="124">
        <f ca="1">SUM(E6:E10,E14)</f>
        <v>534537.44756500004</v>
      </c>
      <c r="F19" s="124">
        <f t="shared" ref="F19:J19" ca="1" si="3">SUM(F6:F10,F14)</f>
        <v>0</v>
      </c>
      <c r="G19" s="124">
        <f t="shared" ca="1" si="3"/>
        <v>134186.25780299999</v>
      </c>
      <c r="H19" s="124">
        <f t="shared" ca="1" si="3"/>
        <v>67669.994861999992</v>
      </c>
      <c r="I19" s="124">
        <f t="shared" ca="1" si="3"/>
        <v>81694.8</v>
      </c>
      <c r="J19" s="124">
        <f t="shared" ca="1" si="3"/>
        <v>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30</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98"/>
      <c r="C6" s="8" t="s">
        <v>14</v>
      </c>
      <c r="D6" s="59"/>
      <c r="E6" s="60"/>
      <c r="F6" s="60"/>
      <c r="G6" s="60"/>
      <c r="H6" s="60"/>
      <c r="I6" s="60">
        <v>1299</v>
      </c>
      <c r="J6" s="60">
        <v>1305</v>
      </c>
      <c r="K6" s="60">
        <v>1305</v>
      </c>
      <c r="L6" s="60">
        <v>1305</v>
      </c>
      <c r="M6" s="60"/>
      <c r="N6" s="60"/>
      <c r="O6" s="60"/>
      <c r="DS6" s="4" t="str">
        <f>VLOOKUP(Cover!$D$15, Country_list!$B$3:$C$44, 2, 0)</f>
        <v>PL</v>
      </c>
      <c r="DT6" s="33" t="s">
        <v>289</v>
      </c>
      <c r="DV6" s="33" t="s">
        <v>302</v>
      </c>
      <c r="EB6" s="33" t="s">
        <v>291</v>
      </c>
      <c r="ED6" s="33" t="s">
        <v>294</v>
      </c>
    </row>
    <row r="7" spans="1:134" ht="24" customHeight="1" x14ac:dyDescent="0.25">
      <c r="A7" s="182" t="s">
        <v>15</v>
      </c>
      <c r="B7" s="199"/>
      <c r="C7" s="9" t="s">
        <v>25</v>
      </c>
      <c r="D7" s="61"/>
      <c r="E7" s="58"/>
      <c r="F7" s="58"/>
      <c r="G7" s="58"/>
      <c r="H7" s="58"/>
      <c r="I7" s="58">
        <v>113750</v>
      </c>
      <c r="J7" s="58">
        <v>114250</v>
      </c>
      <c r="K7" s="58">
        <v>114250</v>
      </c>
      <c r="L7" s="58">
        <v>107250</v>
      </c>
      <c r="M7" s="58"/>
      <c r="N7" s="58"/>
      <c r="O7" s="58"/>
      <c r="DT7" s="33" t="s">
        <v>290</v>
      </c>
      <c r="EB7" s="33" t="s">
        <v>291</v>
      </c>
      <c r="ED7" s="33" t="s">
        <v>295</v>
      </c>
    </row>
    <row r="8" spans="1:134" ht="24" customHeight="1" x14ac:dyDescent="0.25">
      <c r="A8" s="182" t="s">
        <v>29</v>
      </c>
      <c r="B8" s="199"/>
      <c r="C8" s="9" t="s">
        <v>17</v>
      </c>
      <c r="D8" s="61"/>
      <c r="E8" s="58"/>
      <c r="F8" s="58"/>
      <c r="G8" s="58"/>
      <c r="H8" s="58"/>
      <c r="I8" s="58">
        <v>77986</v>
      </c>
      <c r="J8" s="58">
        <v>87344</v>
      </c>
      <c r="K8" s="58">
        <v>91711</v>
      </c>
      <c r="L8" s="58">
        <v>88532</v>
      </c>
      <c r="M8" s="58"/>
      <c r="N8" s="58"/>
      <c r="O8" s="58"/>
      <c r="DT8" s="33" t="s">
        <v>231</v>
      </c>
      <c r="EB8" s="33" t="s">
        <v>291</v>
      </c>
      <c r="ED8" s="33" t="s">
        <v>296</v>
      </c>
    </row>
    <row r="9" spans="1:134" ht="24" customHeight="1" x14ac:dyDescent="0.25">
      <c r="A9" s="182" t="s">
        <v>156</v>
      </c>
      <c r="B9" s="199"/>
      <c r="C9" s="9" t="s">
        <v>19</v>
      </c>
      <c r="D9" s="61"/>
      <c r="E9" s="58"/>
      <c r="F9" s="58"/>
      <c r="G9" s="58"/>
      <c r="H9" s="58"/>
      <c r="I9" s="58">
        <v>9099</v>
      </c>
      <c r="J9" s="58">
        <v>9722</v>
      </c>
      <c r="K9" s="58">
        <v>9570</v>
      </c>
      <c r="L9" s="58">
        <v>9365</v>
      </c>
      <c r="M9" s="58"/>
      <c r="N9" s="58"/>
      <c r="O9" s="58"/>
      <c r="DT9" s="33" t="s">
        <v>279</v>
      </c>
      <c r="EB9" s="33" t="s">
        <v>292</v>
      </c>
      <c r="ED9" s="33" t="s">
        <v>293</v>
      </c>
    </row>
    <row r="10" spans="1:134" ht="24" customHeight="1" x14ac:dyDescent="0.25">
      <c r="A10" s="182" t="s">
        <v>20</v>
      </c>
      <c r="B10" s="199"/>
      <c r="C10" s="9" t="s">
        <v>19</v>
      </c>
      <c r="D10" s="61"/>
      <c r="E10" s="58"/>
      <c r="F10" s="58"/>
      <c r="G10" s="58"/>
      <c r="H10" s="58"/>
      <c r="I10" s="58">
        <v>80</v>
      </c>
      <c r="J10" s="58">
        <v>82</v>
      </c>
      <c r="K10" s="58">
        <v>81</v>
      </c>
      <c r="L10" s="58">
        <v>90</v>
      </c>
      <c r="M10" s="58"/>
      <c r="N10" s="58"/>
      <c r="O10" s="58"/>
      <c r="DT10" s="139" t="s">
        <v>280</v>
      </c>
      <c r="EB10" s="33" t="s">
        <v>292</v>
      </c>
      <c r="ED10" s="33" t="s">
        <v>293</v>
      </c>
    </row>
    <row r="11" spans="1:134" s="34" customFormat="1" ht="15" customHeight="1" x14ac:dyDescent="0.25">
      <c r="A11" s="181" t="s">
        <v>18</v>
      </c>
      <c r="B11" s="110" t="s">
        <v>21</v>
      </c>
      <c r="C11" s="111" t="s">
        <v>19</v>
      </c>
      <c r="D11" s="112"/>
      <c r="E11" s="113"/>
      <c r="F11" s="113"/>
      <c r="G11" s="113"/>
      <c r="H11" s="113"/>
      <c r="I11" s="113">
        <v>19</v>
      </c>
      <c r="J11" s="113">
        <v>21</v>
      </c>
      <c r="K11" s="113">
        <v>20</v>
      </c>
      <c r="L11" s="113">
        <v>20</v>
      </c>
      <c r="M11" s="113"/>
      <c r="N11" s="113"/>
      <c r="O11" s="113"/>
      <c r="DT11" s="34" t="s">
        <v>281</v>
      </c>
      <c r="EB11" s="34" t="s">
        <v>292</v>
      </c>
      <c r="ED11" s="34" t="s">
        <v>293</v>
      </c>
    </row>
    <row r="12" spans="1:134" s="34" customFormat="1" ht="15" customHeight="1" x14ac:dyDescent="0.25">
      <c r="A12" s="181"/>
      <c r="B12" s="110" t="s">
        <v>22</v>
      </c>
      <c r="C12" s="111" t="s">
        <v>19</v>
      </c>
      <c r="D12" s="112"/>
      <c r="E12" s="113"/>
      <c r="F12" s="113"/>
      <c r="G12" s="113"/>
      <c r="H12" s="113"/>
      <c r="I12" s="113">
        <v>0</v>
      </c>
      <c r="J12" s="113">
        <v>0</v>
      </c>
      <c r="K12" s="113">
        <v>0</v>
      </c>
      <c r="L12" s="113">
        <v>0</v>
      </c>
      <c r="M12" s="113"/>
      <c r="N12" s="113"/>
      <c r="O12" s="113"/>
      <c r="DT12" s="34" t="s">
        <v>282</v>
      </c>
      <c r="EB12" s="34" t="s">
        <v>292</v>
      </c>
      <c r="ED12" s="34" t="s">
        <v>293</v>
      </c>
    </row>
    <row r="13" spans="1:134" s="34" customFormat="1" ht="15" customHeight="1" x14ac:dyDescent="0.25">
      <c r="A13" s="181"/>
      <c r="B13" s="110" t="s">
        <v>23</v>
      </c>
      <c r="C13" s="111" t="s">
        <v>19</v>
      </c>
      <c r="D13" s="112"/>
      <c r="E13" s="113"/>
      <c r="F13" s="113"/>
      <c r="G13" s="113"/>
      <c r="H13" s="113"/>
      <c r="I13" s="113">
        <v>61</v>
      </c>
      <c r="J13" s="113">
        <v>61</v>
      </c>
      <c r="K13" s="113">
        <v>61</v>
      </c>
      <c r="L13" s="113">
        <v>70</v>
      </c>
      <c r="M13" s="113"/>
      <c r="N13" s="113"/>
      <c r="O13" s="113"/>
      <c r="DT13" s="34" t="s">
        <v>283</v>
      </c>
      <c r="EB13" s="34" t="s">
        <v>292</v>
      </c>
      <c r="ED13" s="34" t="s">
        <v>293</v>
      </c>
    </row>
    <row r="14" spans="1:134" ht="24" customHeight="1" x14ac:dyDescent="0.25">
      <c r="A14" s="182" t="s">
        <v>24</v>
      </c>
      <c r="B14" s="199"/>
      <c r="C14" s="9" t="s">
        <v>25</v>
      </c>
      <c r="D14" s="61"/>
      <c r="E14" s="58"/>
      <c r="F14" s="58"/>
      <c r="G14" s="58"/>
      <c r="H14" s="58"/>
      <c r="I14" s="58">
        <v>94180</v>
      </c>
      <c r="J14" s="58">
        <v>99968</v>
      </c>
      <c r="K14" s="58">
        <v>98441</v>
      </c>
      <c r="L14" s="58">
        <v>98676</v>
      </c>
      <c r="M14" s="58"/>
      <c r="N14" s="58"/>
      <c r="O14" s="58"/>
      <c r="DT14" s="139" t="s">
        <v>284</v>
      </c>
      <c r="EB14" s="33" t="s">
        <v>291</v>
      </c>
      <c r="ED14" s="33" t="s">
        <v>295</v>
      </c>
    </row>
    <row r="15" spans="1:134" s="34" customFormat="1" ht="15" customHeight="1" x14ac:dyDescent="0.25">
      <c r="A15" s="181" t="s">
        <v>18</v>
      </c>
      <c r="B15" s="110" t="s">
        <v>26</v>
      </c>
      <c r="C15" s="111" t="s">
        <v>25</v>
      </c>
      <c r="D15" s="112"/>
      <c r="E15" s="113"/>
      <c r="F15" s="113"/>
      <c r="G15" s="113"/>
      <c r="H15" s="113"/>
      <c r="I15" s="113">
        <v>83</v>
      </c>
      <c r="J15" s="113">
        <v>97</v>
      </c>
      <c r="K15" s="113">
        <v>101</v>
      </c>
      <c r="L15" s="113">
        <v>106</v>
      </c>
      <c r="M15" s="113"/>
      <c r="N15" s="113"/>
      <c r="O15" s="113"/>
      <c r="DT15" s="34" t="s">
        <v>285</v>
      </c>
      <c r="EB15" s="34" t="s">
        <v>291</v>
      </c>
      <c r="ED15" s="34" t="s">
        <v>295</v>
      </c>
    </row>
    <row r="16" spans="1:134" s="34" customFormat="1" ht="15" customHeight="1" x14ac:dyDescent="0.25">
      <c r="A16" s="181"/>
      <c r="B16" s="110" t="s">
        <v>27</v>
      </c>
      <c r="C16" s="111" t="s">
        <v>25</v>
      </c>
      <c r="D16" s="112"/>
      <c r="E16" s="113"/>
      <c r="F16" s="113"/>
      <c r="G16" s="113"/>
      <c r="H16" s="113"/>
      <c r="I16" s="113">
        <v>94097</v>
      </c>
      <c r="J16" s="113">
        <v>99871</v>
      </c>
      <c r="K16" s="113">
        <v>98340</v>
      </c>
      <c r="L16" s="113">
        <v>96800</v>
      </c>
      <c r="M16" s="113"/>
      <c r="N16" s="113"/>
      <c r="O16" s="113"/>
      <c r="DT16" s="34" t="s">
        <v>286</v>
      </c>
      <c r="EB16" s="34" t="s">
        <v>291</v>
      </c>
      <c r="ED16" s="34" t="s">
        <v>295</v>
      </c>
    </row>
    <row r="17" spans="1:134" s="34" customFormat="1" ht="15" customHeight="1" x14ac:dyDescent="0.25">
      <c r="A17" s="181"/>
      <c r="B17" s="110" t="s">
        <v>28</v>
      </c>
      <c r="C17" s="111" t="s">
        <v>25</v>
      </c>
      <c r="D17" s="112"/>
      <c r="E17" s="112"/>
      <c r="F17" s="112"/>
      <c r="G17" s="112"/>
      <c r="H17" s="112"/>
      <c r="I17" s="112">
        <v>0</v>
      </c>
      <c r="J17" s="112">
        <v>0</v>
      </c>
      <c r="K17" s="112">
        <v>0</v>
      </c>
      <c r="L17" s="112">
        <v>0</v>
      </c>
      <c r="M17" s="112"/>
      <c r="N17" s="112"/>
      <c r="O17" s="112"/>
      <c r="DT17" s="34" t="s">
        <v>287</v>
      </c>
      <c r="EB17" s="34" t="s">
        <v>291</v>
      </c>
      <c r="ED17" s="34" t="s">
        <v>295</v>
      </c>
    </row>
    <row r="18" spans="1:134" s="34" customFormat="1" ht="15" customHeight="1" x14ac:dyDescent="0.25">
      <c r="A18" s="181"/>
      <c r="B18" s="110" t="s">
        <v>184</v>
      </c>
      <c r="C18" s="111" t="s">
        <v>25</v>
      </c>
      <c r="D18" s="112"/>
      <c r="E18" s="112"/>
      <c r="F18" s="112"/>
      <c r="G18" s="112"/>
      <c r="H18" s="112"/>
      <c r="I18" s="112"/>
      <c r="J18" s="112"/>
      <c r="K18" s="112"/>
      <c r="L18" s="112">
        <v>1250</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31</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79"/>
      <c r="C6" s="8" t="s">
        <v>14</v>
      </c>
      <c r="D6" s="59"/>
      <c r="E6" s="60"/>
      <c r="F6" s="60"/>
      <c r="G6" s="60"/>
      <c r="H6" s="60"/>
      <c r="I6" s="60">
        <v>0</v>
      </c>
      <c r="J6" s="60">
        <v>0</v>
      </c>
      <c r="K6" s="60">
        <v>0</v>
      </c>
      <c r="L6" s="60">
        <v>0</v>
      </c>
      <c r="M6" s="60"/>
      <c r="N6" s="60"/>
      <c r="O6" s="60"/>
      <c r="DS6" s="4" t="str">
        <f>VLOOKUP(Cover!$D$15, Country_list!$B$3:$C$44, 2, 0)</f>
        <v>PL</v>
      </c>
      <c r="DT6" s="33" t="s">
        <v>289</v>
      </c>
      <c r="DV6" s="33" t="s">
        <v>303</v>
      </c>
      <c r="EB6" s="33" t="s">
        <v>291</v>
      </c>
      <c r="ED6" s="33" t="s">
        <v>294</v>
      </c>
    </row>
    <row r="7" spans="1:134" s="119" customFormat="1" ht="24" customHeight="1" x14ac:dyDescent="0.25">
      <c r="A7" s="200" t="s">
        <v>15</v>
      </c>
      <c r="B7" s="201"/>
      <c r="C7" s="132" t="s">
        <v>25</v>
      </c>
      <c r="D7" s="133"/>
      <c r="E7" s="134"/>
      <c r="F7" s="134"/>
      <c r="G7" s="134"/>
      <c r="H7" s="134"/>
      <c r="I7" s="134">
        <v>0</v>
      </c>
      <c r="J7" s="134">
        <v>0</v>
      </c>
      <c r="K7" s="134">
        <v>0</v>
      </c>
      <c r="L7" s="134"/>
      <c r="M7" s="134"/>
      <c r="N7" s="134"/>
      <c r="O7" s="134"/>
      <c r="DT7" s="119" t="s">
        <v>290</v>
      </c>
      <c r="EB7" s="119" t="s">
        <v>291</v>
      </c>
      <c r="ED7" s="119" t="s">
        <v>295</v>
      </c>
    </row>
    <row r="8" spans="1:134" s="119" customFormat="1" ht="24" customHeight="1" x14ac:dyDescent="0.25">
      <c r="A8" s="200" t="s">
        <v>29</v>
      </c>
      <c r="B8" s="201"/>
      <c r="C8" s="132" t="s">
        <v>17</v>
      </c>
      <c r="D8" s="133"/>
      <c r="E8" s="134"/>
      <c r="F8" s="134"/>
      <c r="G8" s="134"/>
      <c r="H8" s="134"/>
      <c r="I8" s="134">
        <v>0</v>
      </c>
      <c r="J8" s="134">
        <v>0</v>
      </c>
      <c r="K8" s="134">
        <v>0</v>
      </c>
      <c r="L8" s="134"/>
      <c r="M8" s="134"/>
      <c r="N8" s="134"/>
      <c r="O8" s="134"/>
      <c r="DT8" s="119" t="s">
        <v>231</v>
      </c>
      <c r="EB8" s="119" t="s">
        <v>291</v>
      </c>
      <c r="ED8" s="119" t="s">
        <v>296</v>
      </c>
    </row>
    <row r="9" spans="1:134" s="119" customFormat="1" ht="24" customHeight="1" x14ac:dyDescent="0.25">
      <c r="A9" s="200" t="s">
        <v>156</v>
      </c>
      <c r="B9" s="201"/>
      <c r="C9" s="132" t="s">
        <v>19</v>
      </c>
      <c r="D9" s="133"/>
      <c r="E9" s="134"/>
      <c r="F9" s="134"/>
      <c r="G9" s="134"/>
      <c r="H9" s="134"/>
      <c r="I9" s="134">
        <v>0</v>
      </c>
      <c r="J9" s="134">
        <v>0</v>
      </c>
      <c r="K9" s="134">
        <v>0</v>
      </c>
      <c r="L9" s="134"/>
      <c r="M9" s="134"/>
      <c r="N9" s="134"/>
      <c r="O9" s="134"/>
      <c r="DT9" s="119" t="s">
        <v>279</v>
      </c>
      <c r="EB9" s="119" t="s">
        <v>292</v>
      </c>
      <c r="ED9" s="119" t="s">
        <v>293</v>
      </c>
    </row>
    <row r="10" spans="1:134" s="119" customFormat="1" ht="24" customHeight="1" x14ac:dyDescent="0.25">
      <c r="A10" s="200" t="s">
        <v>20</v>
      </c>
      <c r="B10" s="201"/>
      <c r="C10" s="132" t="s">
        <v>19</v>
      </c>
      <c r="D10" s="133"/>
      <c r="E10" s="134"/>
      <c r="F10" s="134"/>
      <c r="G10" s="134"/>
      <c r="H10" s="134"/>
      <c r="I10" s="134">
        <v>0</v>
      </c>
      <c r="J10" s="134">
        <v>0</v>
      </c>
      <c r="K10" s="134">
        <v>0</v>
      </c>
      <c r="L10" s="134"/>
      <c r="M10" s="134"/>
      <c r="N10" s="134"/>
      <c r="O10" s="134"/>
      <c r="DT10" s="139" t="s">
        <v>280</v>
      </c>
      <c r="EB10" s="119" t="s">
        <v>292</v>
      </c>
      <c r="ED10" s="119" t="s">
        <v>293</v>
      </c>
    </row>
    <row r="11" spans="1:134" s="34" customFormat="1" ht="15" customHeight="1" x14ac:dyDescent="0.25">
      <c r="A11" s="202" t="s">
        <v>18</v>
      </c>
      <c r="B11" s="135" t="s">
        <v>21</v>
      </c>
      <c r="C11" s="136" t="s">
        <v>19</v>
      </c>
      <c r="D11" s="137"/>
      <c r="E11" s="138"/>
      <c r="F11" s="138"/>
      <c r="G11" s="138"/>
      <c r="H11" s="138"/>
      <c r="I11" s="138">
        <v>0</v>
      </c>
      <c r="J11" s="138">
        <v>0</v>
      </c>
      <c r="K11" s="138">
        <v>0</v>
      </c>
      <c r="L11" s="138"/>
      <c r="M11" s="138"/>
      <c r="N11" s="138"/>
      <c r="O11" s="138"/>
      <c r="DT11" s="34" t="s">
        <v>281</v>
      </c>
      <c r="EB11" s="34" t="s">
        <v>292</v>
      </c>
      <c r="ED11" s="34" t="s">
        <v>293</v>
      </c>
    </row>
    <row r="12" spans="1:134" s="34" customFormat="1" ht="15" customHeight="1" x14ac:dyDescent="0.25">
      <c r="A12" s="202"/>
      <c r="B12" s="135" t="s">
        <v>22</v>
      </c>
      <c r="C12" s="136" t="s">
        <v>19</v>
      </c>
      <c r="D12" s="137"/>
      <c r="E12" s="138"/>
      <c r="F12" s="138"/>
      <c r="G12" s="138"/>
      <c r="H12" s="138"/>
      <c r="I12" s="138">
        <v>0</v>
      </c>
      <c r="J12" s="138">
        <v>0</v>
      </c>
      <c r="K12" s="138">
        <v>0</v>
      </c>
      <c r="L12" s="138"/>
      <c r="M12" s="138"/>
      <c r="N12" s="138"/>
      <c r="O12" s="138"/>
      <c r="DT12" s="34" t="s">
        <v>282</v>
      </c>
      <c r="EB12" s="34" t="s">
        <v>292</v>
      </c>
      <c r="ED12" s="34" t="s">
        <v>293</v>
      </c>
    </row>
    <row r="13" spans="1:134" s="34" customFormat="1" ht="15" customHeight="1" x14ac:dyDescent="0.25">
      <c r="A13" s="202"/>
      <c r="B13" s="135" t="s">
        <v>23</v>
      </c>
      <c r="C13" s="136" t="s">
        <v>19</v>
      </c>
      <c r="D13" s="137"/>
      <c r="E13" s="138"/>
      <c r="F13" s="138"/>
      <c r="G13" s="138"/>
      <c r="H13" s="138"/>
      <c r="I13" s="138">
        <v>0</v>
      </c>
      <c r="J13" s="138">
        <v>0</v>
      </c>
      <c r="K13" s="138">
        <v>0</v>
      </c>
      <c r="L13" s="138"/>
      <c r="M13" s="138"/>
      <c r="N13" s="138"/>
      <c r="O13" s="138"/>
      <c r="DT13" s="34" t="s">
        <v>283</v>
      </c>
      <c r="EB13" s="34" t="s">
        <v>292</v>
      </c>
      <c r="ED13" s="34" t="s">
        <v>293</v>
      </c>
    </row>
    <row r="14" spans="1:134" s="119" customFormat="1" ht="24" customHeight="1" x14ac:dyDescent="0.25">
      <c r="A14" s="200" t="s">
        <v>24</v>
      </c>
      <c r="B14" s="201"/>
      <c r="C14" s="132" t="s">
        <v>25</v>
      </c>
      <c r="D14" s="133"/>
      <c r="E14" s="134"/>
      <c r="F14" s="134"/>
      <c r="G14" s="134"/>
      <c r="H14" s="134"/>
      <c r="I14" s="134">
        <v>0</v>
      </c>
      <c r="J14" s="134">
        <v>0</v>
      </c>
      <c r="K14" s="134">
        <v>0</v>
      </c>
      <c r="L14" s="134"/>
      <c r="M14" s="134"/>
      <c r="N14" s="134"/>
      <c r="O14" s="134"/>
      <c r="DT14" s="139" t="s">
        <v>284</v>
      </c>
      <c r="EB14" s="119" t="s">
        <v>291</v>
      </c>
      <c r="ED14" s="119" t="s">
        <v>295</v>
      </c>
    </row>
    <row r="15" spans="1:134" s="34" customFormat="1" ht="15" customHeight="1" x14ac:dyDescent="0.25">
      <c r="A15" s="202" t="s">
        <v>18</v>
      </c>
      <c r="B15" s="135" t="s">
        <v>26</v>
      </c>
      <c r="C15" s="136" t="s">
        <v>25</v>
      </c>
      <c r="D15" s="137"/>
      <c r="E15" s="138"/>
      <c r="F15" s="138"/>
      <c r="G15" s="138"/>
      <c r="H15" s="138"/>
      <c r="I15" s="138">
        <v>0</v>
      </c>
      <c r="J15" s="138">
        <v>0</v>
      </c>
      <c r="K15" s="138">
        <v>0</v>
      </c>
      <c r="L15" s="138"/>
      <c r="M15" s="138"/>
      <c r="N15" s="138"/>
      <c r="O15" s="138"/>
      <c r="DT15" s="34" t="s">
        <v>285</v>
      </c>
      <c r="EB15" s="34" t="s">
        <v>291</v>
      </c>
      <c r="ED15" s="34" t="s">
        <v>295</v>
      </c>
    </row>
    <row r="16" spans="1:134" s="34" customFormat="1" ht="15" customHeight="1" x14ac:dyDescent="0.25">
      <c r="A16" s="202"/>
      <c r="B16" s="135" t="s">
        <v>27</v>
      </c>
      <c r="C16" s="136" t="s">
        <v>25</v>
      </c>
      <c r="D16" s="137"/>
      <c r="E16" s="138"/>
      <c r="F16" s="138"/>
      <c r="G16" s="138"/>
      <c r="H16" s="138"/>
      <c r="I16" s="138">
        <v>0</v>
      </c>
      <c r="J16" s="138">
        <v>0</v>
      </c>
      <c r="K16" s="138">
        <v>0</v>
      </c>
      <c r="L16" s="138"/>
      <c r="M16" s="138"/>
      <c r="N16" s="138"/>
      <c r="O16" s="138"/>
      <c r="DT16" s="34" t="s">
        <v>286</v>
      </c>
      <c r="EB16" s="34" t="s">
        <v>291</v>
      </c>
      <c r="ED16" s="34" t="s">
        <v>295</v>
      </c>
    </row>
    <row r="17" spans="1:134" s="34" customFormat="1" ht="15" customHeight="1" x14ac:dyDescent="0.25">
      <c r="A17" s="202"/>
      <c r="B17" s="135" t="s">
        <v>28</v>
      </c>
      <c r="C17" s="136" t="s">
        <v>25</v>
      </c>
      <c r="D17" s="137"/>
      <c r="E17" s="137"/>
      <c r="F17" s="137"/>
      <c r="G17" s="137"/>
      <c r="H17" s="137"/>
      <c r="I17" s="137">
        <v>0</v>
      </c>
      <c r="J17" s="137">
        <v>0</v>
      </c>
      <c r="K17" s="137">
        <v>0</v>
      </c>
      <c r="L17" s="137"/>
      <c r="M17" s="137"/>
      <c r="N17" s="137"/>
      <c r="O17" s="137"/>
      <c r="DT17" s="34" t="s">
        <v>287</v>
      </c>
      <c r="EB17" s="34" t="s">
        <v>291</v>
      </c>
      <c r="ED17" s="34" t="s">
        <v>295</v>
      </c>
    </row>
    <row r="18" spans="1:134" s="34" customFormat="1" ht="15" customHeight="1" x14ac:dyDescent="0.25">
      <c r="A18" s="202"/>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8</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98"/>
      <c r="C6" s="8" t="s">
        <v>14</v>
      </c>
      <c r="D6" s="59"/>
      <c r="E6" s="60"/>
      <c r="F6" s="60"/>
      <c r="G6" s="60"/>
      <c r="H6" s="60"/>
      <c r="I6" s="60">
        <v>2089</v>
      </c>
      <c r="J6" s="60">
        <v>2089</v>
      </c>
      <c r="K6" s="60">
        <v>2110</v>
      </c>
      <c r="L6" s="60">
        <v>2118</v>
      </c>
      <c r="M6" s="60"/>
      <c r="N6" s="60"/>
      <c r="O6" s="60"/>
      <c r="DS6" s="4" t="str">
        <f>VLOOKUP(Cover!$D$15, Country_list!$B$3:$C$44, 2, 0)</f>
        <v>PL</v>
      </c>
      <c r="DT6" s="33" t="s">
        <v>289</v>
      </c>
      <c r="DV6" s="33" t="s">
        <v>304</v>
      </c>
      <c r="EB6" s="33" t="s">
        <v>291</v>
      </c>
      <c r="ED6" s="33" t="s">
        <v>294</v>
      </c>
    </row>
    <row r="7" spans="1:134" ht="24" customHeight="1" x14ac:dyDescent="0.25">
      <c r="A7" s="182" t="s">
        <v>15</v>
      </c>
      <c r="B7" s="199"/>
      <c r="C7" s="9" t="s">
        <v>25</v>
      </c>
      <c r="D7" s="61"/>
      <c r="E7" s="58"/>
      <c r="F7" s="58"/>
      <c r="G7" s="58"/>
      <c r="H7" s="58"/>
      <c r="I7" s="58">
        <v>48750</v>
      </c>
      <c r="J7" s="58">
        <v>48750</v>
      </c>
      <c r="K7" s="58">
        <v>49750</v>
      </c>
      <c r="L7" s="58">
        <v>49750</v>
      </c>
      <c r="M7" s="58"/>
      <c r="N7" s="58"/>
      <c r="O7" s="58"/>
      <c r="DT7" s="33" t="s">
        <v>290</v>
      </c>
      <c r="EB7" s="33" t="s">
        <v>291</v>
      </c>
      <c r="ED7" s="33" t="s">
        <v>295</v>
      </c>
    </row>
    <row r="8" spans="1:134" ht="24" customHeight="1" x14ac:dyDescent="0.25">
      <c r="A8" s="182" t="s">
        <v>29</v>
      </c>
      <c r="B8" s="199"/>
      <c r="C8" s="9" t="s">
        <v>17</v>
      </c>
      <c r="D8" s="61"/>
      <c r="E8" s="58"/>
      <c r="F8" s="58"/>
      <c r="G8" s="58"/>
      <c r="H8" s="58"/>
      <c r="I8" s="58">
        <v>36626</v>
      </c>
      <c r="J8" s="58">
        <v>41021</v>
      </c>
      <c r="K8" s="58">
        <v>43892</v>
      </c>
      <c r="L8" s="58">
        <v>43892</v>
      </c>
      <c r="M8" s="58"/>
      <c r="N8" s="58"/>
      <c r="O8" s="58"/>
      <c r="DT8" s="33" t="s">
        <v>231</v>
      </c>
      <c r="EB8" s="33" t="s">
        <v>291</v>
      </c>
      <c r="ED8" s="33" t="s">
        <v>296</v>
      </c>
    </row>
    <row r="9" spans="1:134" ht="24" customHeight="1" x14ac:dyDescent="0.25">
      <c r="A9" s="182" t="s">
        <v>156</v>
      </c>
      <c r="B9" s="199"/>
      <c r="C9" s="9" t="s">
        <v>19</v>
      </c>
      <c r="D9" s="61"/>
      <c r="E9" s="58"/>
      <c r="F9" s="58"/>
      <c r="G9" s="58"/>
      <c r="H9" s="58"/>
      <c r="I9" s="58">
        <v>970</v>
      </c>
      <c r="J9" s="58">
        <v>970</v>
      </c>
      <c r="K9" s="58">
        <v>955</v>
      </c>
      <c r="L9" s="58">
        <v>935</v>
      </c>
      <c r="M9" s="58"/>
      <c r="N9" s="58"/>
      <c r="O9" s="58"/>
      <c r="DT9" s="33" t="s">
        <v>279</v>
      </c>
      <c r="EB9" s="33" t="s">
        <v>292</v>
      </c>
      <c r="ED9" s="33" t="s">
        <v>293</v>
      </c>
    </row>
    <row r="10" spans="1:134" ht="24" customHeight="1" x14ac:dyDescent="0.25">
      <c r="A10" s="182" t="s">
        <v>20</v>
      </c>
      <c r="B10" s="199"/>
      <c r="C10" s="9" t="s">
        <v>19</v>
      </c>
      <c r="D10" s="61"/>
      <c r="E10" s="58"/>
      <c r="F10" s="58"/>
      <c r="G10" s="58"/>
      <c r="H10" s="58"/>
      <c r="I10" s="58">
        <v>30</v>
      </c>
      <c r="J10" s="58">
        <v>32</v>
      </c>
      <c r="K10" s="58">
        <v>32</v>
      </c>
      <c r="L10" s="58">
        <v>34</v>
      </c>
      <c r="M10" s="58"/>
      <c r="N10" s="58"/>
      <c r="O10" s="58"/>
      <c r="DT10" s="139" t="s">
        <v>280</v>
      </c>
      <c r="EB10" s="33" t="s">
        <v>292</v>
      </c>
      <c r="ED10" s="33" t="s">
        <v>293</v>
      </c>
    </row>
    <row r="11" spans="1:134" s="34" customFormat="1" ht="15" customHeight="1" x14ac:dyDescent="0.25">
      <c r="A11" s="181" t="s">
        <v>18</v>
      </c>
      <c r="B11" s="110" t="s">
        <v>21</v>
      </c>
      <c r="C11" s="111" t="s">
        <v>19</v>
      </c>
      <c r="D11" s="112"/>
      <c r="E11" s="113"/>
      <c r="F11" s="113"/>
      <c r="G11" s="113"/>
      <c r="H11" s="113"/>
      <c r="I11" s="113">
        <v>21</v>
      </c>
      <c r="J11" s="113">
        <v>23</v>
      </c>
      <c r="K11" s="113">
        <v>23</v>
      </c>
      <c r="L11" s="113">
        <v>24</v>
      </c>
      <c r="M11" s="113"/>
      <c r="N11" s="113"/>
      <c r="O11" s="113"/>
      <c r="DT11" s="34" t="s">
        <v>281</v>
      </c>
      <c r="EB11" s="34" t="s">
        <v>292</v>
      </c>
      <c r="ED11" s="34" t="s">
        <v>293</v>
      </c>
    </row>
    <row r="12" spans="1:134" s="34" customFormat="1" ht="15" customHeight="1" x14ac:dyDescent="0.25">
      <c r="A12" s="181"/>
      <c r="B12" s="110" t="s">
        <v>22</v>
      </c>
      <c r="C12" s="111" t="s">
        <v>19</v>
      </c>
      <c r="D12" s="112"/>
      <c r="E12" s="113"/>
      <c r="F12" s="113"/>
      <c r="G12" s="113"/>
      <c r="H12" s="113"/>
      <c r="I12" s="113">
        <v>0</v>
      </c>
      <c r="J12" s="113">
        <v>0</v>
      </c>
      <c r="K12" s="113">
        <v>0</v>
      </c>
      <c r="L12" s="113">
        <v>0</v>
      </c>
      <c r="M12" s="113"/>
      <c r="N12" s="113"/>
      <c r="O12" s="113"/>
      <c r="DT12" s="34" t="s">
        <v>282</v>
      </c>
      <c r="EB12" s="34" t="s">
        <v>292</v>
      </c>
      <c r="ED12" s="34" t="s">
        <v>293</v>
      </c>
    </row>
    <row r="13" spans="1:134" s="34" customFormat="1" ht="15" customHeight="1" x14ac:dyDescent="0.25">
      <c r="A13" s="181"/>
      <c r="B13" s="110" t="s">
        <v>23</v>
      </c>
      <c r="C13" s="111" t="s">
        <v>19</v>
      </c>
      <c r="D13" s="112"/>
      <c r="E13" s="113"/>
      <c r="F13" s="113"/>
      <c r="G13" s="113"/>
      <c r="H13" s="113"/>
      <c r="I13" s="113">
        <v>9</v>
      </c>
      <c r="J13" s="113">
        <v>9</v>
      </c>
      <c r="K13" s="113">
        <v>9</v>
      </c>
      <c r="L13" s="113">
        <v>10</v>
      </c>
      <c r="M13" s="113"/>
      <c r="N13" s="113"/>
      <c r="O13" s="113"/>
      <c r="DT13" s="34" t="s">
        <v>283</v>
      </c>
      <c r="EB13" s="34" t="s">
        <v>292</v>
      </c>
      <c r="ED13" s="34" t="s">
        <v>293</v>
      </c>
    </row>
    <row r="14" spans="1:134" ht="24" customHeight="1" x14ac:dyDescent="0.25">
      <c r="A14" s="182" t="s">
        <v>24</v>
      </c>
      <c r="B14" s="199"/>
      <c r="C14" s="9" t="s">
        <v>25</v>
      </c>
      <c r="D14" s="61"/>
      <c r="E14" s="58"/>
      <c r="F14" s="58"/>
      <c r="G14" s="58"/>
      <c r="H14" s="58"/>
      <c r="I14" s="58">
        <v>10861</v>
      </c>
      <c r="J14" s="58">
        <v>11135</v>
      </c>
      <c r="K14" s="58">
        <v>11077</v>
      </c>
      <c r="L14" s="58">
        <v>11784</v>
      </c>
      <c r="M14" s="58"/>
      <c r="N14" s="58"/>
      <c r="O14" s="58"/>
      <c r="DT14" s="139" t="s">
        <v>284</v>
      </c>
      <c r="EB14" s="33" t="s">
        <v>291</v>
      </c>
      <c r="ED14" s="33" t="s">
        <v>295</v>
      </c>
    </row>
    <row r="15" spans="1:134" s="34" customFormat="1" ht="15" customHeight="1" x14ac:dyDescent="0.25">
      <c r="A15" s="181" t="s">
        <v>18</v>
      </c>
      <c r="B15" s="110" t="s">
        <v>26</v>
      </c>
      <c r="C15" s="111" t="s">
        <v>25</v>
      </c>
      <c r="D15" s="112"/>
      <c r="E15" s="113"/>
      <c r="F15" s="113"/>
      <c r="G15" s="113"/>
      <c r="H15" s="113"/>
      <c r="I15" s="113">
        <v>1572</v>
      </c>
      <c r="J15" s="113">
        <v>1846</v>
      </c>
      <c r="K15" s="113">
        <v>1932</v>
      </c>
      <c r="L15" s="113">
        <v>2023</v>
      </c>
      <c r="M15" s="113"/>
      <c r="N15" s="113"/>
      <c r="O15" s="113"/>
      <c r="DT15" s="34" t="s">
        <v>285</v>
      </c>
      <c r="EB15" s="34" t="s">
        <v>291</v>
      </c>
      <c r="ED15" s="34" t="s">
        <v>295</v>
      </c>
    </row>
    <row r="16" spans="1:134" s="34" customFormat="1" ht="15" customHeight="1" x14ac:dyDescent="0.25">
      <c r="A16" s="181"/>
      <c r="B16" s="110" t="s">
        <v>27</v>
      </c>
      <c r="C16" s="111" t="s">
        <v>25</v>
      </c>
      <c r="D16" s="112"/>
      <c r="E16" s="113"/>
      <c r="F16" s="113"/>
      <c r="G16" s="113"/>
      <c r="H16" s="113"/>
      <c r="I16" s="113">
        <v>9289</v>
      </c>
      <c r="J16" s="113">
        <v>9289</v>
      </c>
      <c r="K16" s="113">
        <v>9145</v>
      </c>
      <c r="L16" s="113">
        <v>9000</v>
      </c>
      <c r="M16" s="113"/>
      <c r="N16" s="113"/>
      <c r="O16" s="113"/>
      <c r="DT16" s="34" t="s">
        <v>286</v>
      </c>
      <c r="EB16" s="34" t="s">
        <v>291</v>
      </c>
      <c r="ED16" s="34" t="s">
        <v>295</v>
      </c>
    </row>
    <row r="17" spans="1:134" s="34" customFormat="1" ht="15" customHeight="1" x14ac:dyDescent="0.25">
      <c r="A17" s="181"/>
      <c r="B17" s="110" t="s">
        <v>28</v>
      </c>
      <c r="C17" s="111" t="s">
        <v>25</v>
      </c>
      <c r="D17" s="112"/>
      <c r="E17" s="112"/>
      <c r="F17" s="112"/>
      <c r="G17" s="112"/>
      <c r="H17" s="112"/>
      <c r="I17" s="112">
        <v>0</v>
      </c>
      <c r="J17" s="112">
        <v>0</v>
      </c>
      <c r="K17" s="112">
        <v>0</v>
      </c>
      <c r="L17" s="112">
        <v>0</v>
      </c>
      <c r="M17" s="112"/>
      <c r="N17" s="112"/>
      <c r="O17" s="112"/>
      <c r="DT17" s="34" t="s">
        <v>287</v>
      </c>
      <c r="EB17" s="34" t="s">
        <v>291</v>
      </c>
      <c r="ED17" s="34" t="s">
        <v>295</v>
      </c>
    </row>
    <row r="18" spans="1:134" s="34" customFormat="1" ht="15" customHeight="1" x14ac:dyDescent="0.25">
      <c r="A18" s="181"/>
      <c r="B18" s="110" t="s">
        <v>185</v>
      </c>
      <c r="C18" s="111" t="s">
        <v>25</v>
      </c>
      <c r="D18" s="112"/>
      <c r="E18" s="113"/>
      <c r="F18" s="113"/>
      <c r="G18" s="113"/>
      <c r="H18" s="113"/>
      <c r="I18" s="113"/>
      <c r="J18" s="113"/>
      <c r="K18" s="113"/>
      <c r="L18" s="113">
        <v>538</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9</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98"/>
      <c r="C6" s="8" t="s">
        <v>14</v>
      </c>
      <c r="D6" s="59"/>
      <c r="E6" s="60"/>
      <c r="F6" s="60"/>
      <c r="G6" s="60"/>
      <c r="H6" s="60"/>
      <c r="I6" s="60">
        <v>3047</v>
      </c>
      <c r="J6" s="60">
        <v>3125</v>
      </c>
      <c r="K6" s="60">
        <v>3156</v>
      </c>
      <c r="L6" s="60">
        <v>3168</v>
      </c>
      <c r="M6" s="60"/>
      <c r="N6" s="60"/>
      <c r="O6" s="60"/>
      <c r="DS6" s="4" t="str">
        <f>VLOOKUP(Cover!$D$15, Country_list!$B$3:$C$44, 2, 0)</f>
        <v>PL</v>
      </c>
      <c r="DT6" s="33" t="s">
        <v>289</v>
      </c>
      <c r="DV6" s="33" t="s">
        <v>305</v>
      </c>
      <c r="EB6" s="33" t="s">
        <v>291</v>
      </c>
      <c r="ED6" s="33" t="s">
        <v>294</v>
      </c>
    </row>
    <row r="7" spans="1:134" ht="24" customHeight="1" x14ac:dyDescent="0.25">
      <c r="A7" s="182" t="s">
        <v>15</v>
      </c>
      <c r="B7" s="199"/>
      <c r="C7" s="9" t="s">
        <v>25</v>
      </c>
      <c r="D7" s="61"/>
      <c r="E7" s="58"/>
      <c r="F7" s="58"/>
      <c r="G7" s="58"/>
      <c r="H7" s="58"/>
      <c r="I7" s="58">
        <v>0</v>
      </c>
      <c r="J7" s="58">
        <v>0</v>
      </c>
      <c r="K7" s="58">
        <v>0</v>
      </c>
      <c r="L7" s="58">
        <v>0</v>
      </c>
      <c r="M7" s="58"/>
      <c r="N7" s="58"/>
      <c r="O7" s="58"/>
      <c r="DT7" s="33" t="s">
        <v>290</v>
      </c>
      <c r="EB7" s="33" t="s">
        <v>291</v>
      </c>
      <c r="ED7" s="33" t="s">
        <v>295</v>
      </c>
    </row>
    <row r="8" spans="1:134" ht="24" customHeight="1" x14ac:dyDescent="0.25">
      <c r="A8" s="182" t="s">
        <v>29</v>
      </c>
      <c r="B8" s="199"/>
      <c r="C8" s="9" t="s">
        <v>17</v>
      </c>
      <c r="D8" s="61"/>
      <c r="E8" s="58"/>
      <c r="F8" s="58"/>
      <c r="G8" s="58"/>
      <c r="H8" s="58"/>
      <c r="I8" s="58">
        <v>32252</v>
      </c>
      <c r="J8" s="58">
        <v>32911</v>
      </c>
      <c r="K8" s="58">
        <v>33255</v>
      </c>
      <c r="L8" s="58">
        <v>33255</v>
      </c>
      <c r="M8" s="58"/>
      <c r="N8" s="58"/>
      <c r="O8" s="58"/>
      <c r="DT8" s="33" t="s">
        <v>231</v>
      </c>
      <c r="EB8" s="33" t="s">
        <v>291</v>
      </c>
      <c r="ED8" s="33" t="s">
        <v>296</v>
      </c>
    </row>
    <row r="9" spans="1:134" ht="24" customHeight="1" x14ac:dyDescent="0.25">
      <c r="A9" s="182" t="s">
        <v>156</v>
      </c>
      <c r="B9" s="199"/>
      <c r="C9" s="9" t="s">
        <v>19</v>
      </c>
      <c r="D9" s="61"/>
      <c r="E9" s="58"/>
      <c r="F9" s="58"/>
      <c r="G9" s="58"/>
      <c r="H9" s="58"/>
      <c r="I9" s="58">
        <v>138</v>
      </c>
      <c r="J9" s="58">
        <v>138</v>
      </c>
      <c r="K9" s="58">
        <v>135</v>
      </c>
      <c r="L9" s="58">
        <v>130</v>
      </c>
      <c r="M9" s="58"/>
      <c r="N9" s="58"/>
      <c r="O9" s="58"/>
      <c r="DT9" s="33" t="s">
        <v>279</v>
      </c>
      <c r="EB9" s="33" t="s">
        <v>292</v>
      </c>
      <c r="ED9" s="33" t="s">
        <v>293</v>
      </c>
    </row>
    <row r="10" spans="1:134" ht="24" customHeight="1" x14ac:dyDescent="0.25">
      <c r="A10" s="182" t="s">
        <v>20</v>
      </c>
      <c r="B10" s="199"/>
      <c r="C10" s="9" t="s">
        <v>19</v>
      </c>
      <c r="D10" s="61"/>
      <c r="E10" s="58"/>
      <c r="F10" s="58"/>
      <c r="G10" s="58"/>
      <c r="H10" s="58"/>
      <c r="I10" s="58">
        <v>425</v>
      </c>
      <c r="J10" s="58">
        <v>446</v>
      </c>
      <c r="K10" s="58">
        <v>437</v>
      </c>
      <c r="L10" s="58">
        <v>456</v>
      </c>
      <c r="M10" s="58"/>
      <c r="N10" s="58"/>
      <c r="O10" s="58"/>
      <c r="DT10" s="139" t="s">
        <v>280</v>
      </c>
      <c r="EB10" s="33" t="s">
        <v>292</v>
      </c>
      <c r="ED10" s="33" t="s">
        <v>293</v>
      </c>
    </row>
    <row r="11" spans="1:134" s="34" customFormat="1" ht="15" customHeight="1" x14ac:dyDescent="0.25">
      <c r="A11" s="181" t="s">
        <v>18</v>
      </c>
      <c r="B11" s="110" t="s">
        <v>21</v>
      </c>
      <c r="C11" s="111" t="s">
        <v>19</v>
      </c>
      <c r="D11" s="112"/>
      <c r="E11" s="113"/>
      <c r="F11" s="113"/>
      <c r="G11" s="113"/>
      <c r="H11" s="113"/>
      <c r="I11" s="113">
        <v>425</v>
      </c>
      <c r="J11" s="113">
        <v>446</v>
      </c>
      <c r="K11" s="113">
        <v>437</v>
      </c>
      <c r="L11" s="113">
        <v>456</v>
      </c>
      <c r="M11" s="113"/>
      <c r="N11" s="113"/>
      <c r="O11" s="113"/>
      <c r="DT11" s="34" t="s">
        <v>281</v>
      </c>
      <c r="EB11" s="34" t="s">
        <v>292</v>
      </c>
      <c r="ED11" s="34" t="s">
        <v>293</v>
      </c>
    </row>
    <row r="12" spans="1:134" s="34" customFormat="1" ht="15" customHeight="1" x14ac:dyDescent="0.25">
      <c r="A12" s="181"/>
      <c r="B12" s="110" t="s">
        <v>22</v>
      </c>
      <c r="C12" s="111" t="s">
        <v>19</v>
      </c>
      <c r="D12" s="112"/>
      <c r="E12" s="113"/>
      <c r="F12" s="113"/>
      <c r="G12" s="113"/>
      <c r="H12" s="113"/>
      <c r="I12" s="113">
        <v>0</v>
      </c>
      <c r="J12" s="113">
        <v>0</v>
      </c>
      <c r="K12" s="113">
        <v>0</v>
      </c>
      <c r="L12" s="113">
        <v>0</v>
      </c>
      <c r="M12" s="113"/>
      <c r="N12" s="113"/>
      <c r="O12" s="113"/>
      <c r="DT12" s="34" t="s">
        <v>282</v>
      </c>
      <c r="EB12" s="34" t="s">
        <v>292</v>
      </c>
      <c r="ED12" s="34" t="s">
        <v>293</v>
      </c>
    </row>
    <row r="13" spans="1:134" s="34" customFormat="1" ht="15" customHeight="1" x14ac:dyDescent="0.25">
      <c r="A13" s="181"/>
      <c r="B13" s="110" t="s">
        <v>23</v>
      </c>
      <c r="C13" s="111" t="s">
        <v>19</v>
      </c>
      <c r="D13" s="112"/>
      <c r="E13" s="113"/>
      <c r="F13" s="113"/>
      <c r="G13" s="113"/>
      <c r="H13" s="113"/>
      <c r="I13" s="113">
        <v>0</v>
      </c>
      <c r="J13" s="113">
        <v>0</v>
      </c>
      <c r="K13" s="113">
        <v>0</v>
      </c>
      <c r="L13" s="113">
        <v>0</v>
      </c>
      <c r="M13" s="113"/>
      <c r="N13" s="113"/>
      <c r="O13" s="113"/>
      <c r="DT13" s="34" t="s">
        <v>283</v>
      </c>
      <c r="EB13" s="34" t="s">
        <v>292</v>
      </c>
      <c r="ED13" s="34" t="s">
        <v>293</v>
      </c>
    </row>
    <row r="14" spans="1:134" ht="24" customHeight="1" x14ac:dyDescent="0.25">
      <c r="A14" s="182" t="s">
        <v>24</v>
      </c>
      <c r="B14" s="199"/>
      <c r="C14" s="9" t="s">
        <v>25</v>
      </c>
      <c r="D14" s="61"/>
      <c r="E14" s="58"/>
      <c r="F14" s="58"/>
      <c r="G14" s="58"/>
      <c r="H14" s="58"/>
      <c r="I14" s="58">
        <v>2275</v>
      </c>
      <c r="J14" s="58">
        <v>2275</v>
      </c>
      <c r="K14" s="58">
        <v>2240</v>
      </c>
      <c r="L14" s="58">
        <v>2215</v>
      </c>
      <c r="M14" s="58"/>
      <c r="N14" s="58"/>
      <c r="O14" s="58"/>
      <c r="DT14" s="139" t="s">
        <v>284</v>
      </c>
      <c r="EB14" s="33" t="s">
        <v>291</v>
      </c>
      <c r="ED14" s="33" t="s">
        <v>295</v>
      </c>
    </row>
    <row r="15" spans="1:134" s="34" customFormat="1" ht="15" customHeight="1" x14ac:dyDescent="0.25">
      <c r="A15" s="203" t="s">
        <v>18</v>
      </c>
      <c r="B15" s="110" t="s">
        <v>26</v>
      </c>
      <c r="C15" s="111" t="s">
        <v>25</v>
      </c>
      <c r="D15" s="112"/>
      <c r="E15" s="113"/>
      <c r="F15" s="113"/>
      <c r="G15" s="113"/>
      <c r="H15" s="113"/>
      <c r="I15" s="113">
        <v>0</v>
      </c>
      <c r="J15" s="113">
        <v>0</v>
      </c>
      <c r="K15" s="113">
        <v>0</v>
      </c>
      <c r="L15" s="113">
        <v>0</v>
      </c>
      <c r="M15" s="113"/>
      <c r="N15" s="113"/>
      <c r="O15" s="113"/>
      <c r="DT15" s="34" t="s">
        <v>285</v>
      </c>
      <c r="EB15" s="34" t="s">
        <v>291</v>
      </c>
      <c r="ED15" s="34" t="s">
        <v>295</v>
      </c>
    </row>
    <row r="16" spans="1:134" s="34" customFormat="1" ht="15" customHeight="1" x14ac:dyDescent="0.25">
      <c r="A16" s="204"/>
      <c r="B16" s="110" t="s">
        <v>27</v>
      </c>
      <c r="C16" s="111" t="s">
        <v>25</v>
      </c>
      <c r="D16" s="112"/>
      <c r="E16" s="113"/>
      <c r="F16" s="113"/>
      <c r="G16" s="113"/>
      <c r="H16" s="113"/>
      <c r="I16" s="113">
        <v>2275</v>
      </c>
      <c r="J16" s="113">
        <v>2275</v>
      </c>
      <c r="K16" s="113">
        <v>2240</v>
      </c>
      <c r="L16" s="113">
        <v>2215</v>
      </c>
      <c r="M16" s="113"/>
      <c r="N16" s="113"/>
      <c r="O16" s="113"/>
      <c r="DT16" s="34" t="s">
        <v>286</v>
      </c>
      <c r="EB16" s="34" t="s">
        <v>291</v>
      </c>
      <c r="ED16" s="34" t="s">
        <v>295</v>
      </c>
    </row>
    <row r="17" spans="1:134" s="34" customFormat="1" ht="15" customHeight="1" x14ac:dyDescent="0.25">
      <c r="A17" s="204"/>
      <c r="B17" s="110" t="s">
        <v>28</v>
      </c>
      <c r="C17" s="111" t="s">
        <v>25</v>
      </c>
      <c r="D17" s="112"/>
      <c r="E17" s="113"/>
      <c r="F17" s="113"/>
      <c r="G17" s="113"/>
      <c r="H17" s="113"/>
      <c r="I17" s="113">
        <v>0</v>
      </c>
      <c r="J17" s="113">
        <v>0</v>
      </c>
      <c r="K17" s="113">
        <v>0</v>
      </c>
      <c r="L17" s="113">
        <v>0</v>
      </c>
      <c r="M17" s="113"/>
      <c r="N17" s="113"/>
      <c r="O17" s="113"/>
      <c r="DT17" s="34" t="s">
        <v>287</v>
      </c>
      <c r="EB17" s="34" t="s">
        <v>291</v>
      </c>
      <c r="ED17" s="34" t="s">
        <v>295</v>
      </c>
    </row>
    <row r="18" spans="1:134" s="34" customFormat="1" ht="15" customHeight="1" x14ac:dyDescent="0.25">
      <c r="A18" s="205"/>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D1" sqref="D1"/>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10</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6" t="s">
        <v>13</v>
      </c>
      <c r="B6" s="207"/>
      <c r="C6" s="32" t="s">
        <v>14</v>
      </c>
      <c r="D6" s="62"/>
      <c r="E6" s="63"/>
      <c r="F6" s="63"/>
      <c r="G6" s="63"/>
      <c r="H6" s="63"/>
      <c r="I6" s="63">
        <v>21827</v>
      </c>
      <c r="J6" s="63">
        <v>22390</v>
      </c>
      <c r="K6" s="63">
        <v>22610</v>
      </c>
      <c r="L6" s="63">
        <v>22693</v>
      </c>
      <c r="M6" s="63"/>
      <c r="N6" s="63"/>
      <c r="O6" s="63"/>
      <c r="DS6" s="4" t="str">
        <f>VLOOKUP(Cover!$D$15, Country_list!$B$3:$C$44, 2, 0)</f>
        <v>PL</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11</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208"/>
      <c r="C6" s="8" t="s">
        <v>14</v>
      </c>
      <c r="D6" s="59"/>
      <c r="E6" s="60"/>
      <c r="F6" s="60"/>
      <c r="G6" s="60"/>
      <c r="H6" s="60"/>
      <c r="I6" s="60">
        <v>0</v>
      </c>
      <c r="J6" s="60">
        <v>0</v>
      </c>
      <c r="K6" s="60">
        <v>0</v>
      </c>
      <c r="L6" s="60">
        <v>0</v>
      </c>
      <c r="M6" s="60"/>
      <c r="N6" s="60"/>
      <c r="O6" s="60"/>
      <c r="DS6" s="4" t="str">
        <f>VLOOKUP(Cover!$D$15, Country_list!$B$3:$C$44, 2, 0)</f>
        <v>PL</v>
      </c>
      <c r="DT6" s="33" t="s">
        <v>289</v>
      </c>
      <c r="DV6" s="33" t="s">
        <v>307</v>
      </c>
      <c r="EB6" s="33" t="s">
        <v>291</v>
      </c>
      <c r="ED6" s="33" t="s">
        <v>294</v>
      </c>
    </row>
    <row r="7" spans="1:134" ht="24" customHeight="1" x14ac:dyDescent="0.25">
      <c r="A7" s="182" t="s">
        <v>15</v>
      </c>
      <c r="B7" s="209"/>
      <c r="C7" s="9" t="s">
        <v>25</v>
      </c>
      <c r="D7" s="61"/>
      <c r="E7" s="58"/>
      <c r="F7" s="58"/>
      <c r="G7" s="58"/>
      <c r="H7" s="58"/>
      <c r="I7" s="58">
        <v>0</v>
      </c>
      <c r="J7" s="58">
        <v>0</v>
      </c>
      <c r="K7" s="58">
        <v>0</v>
      </c>
      <c r="L7" s="58">
        <v>0</v>
      </c>
      <c r="M7" s="58"/>
      <c r="N7" s="58"/>
      <c r="O7" s="58"/>
      <c r="DT7" s="33" t="s">
        <v>290</v>
      </c>
      <c r="EB7" s="33" t="s">
        <v>291</v>
      </c>
      <c r="ED7" s="33" t="s">
        <v>295</v>
      </c>
    </row>
    <row r="8" spans="1:134" ht="24" customHeight="1" x14ac:dyDescent="0.25">
      <c r="A8" s="182" t="s">
        <v>29</v>
      </c>
      <c r="B8" s="209"/>
      <c r="C8" s="9" t="s">
        <v>17</v>
      </c>
      <c r="D8" s="61"/>
      <c r="E8" s="58"/>
      <c r="F8" s="58"/>
      <c r="G8" s="58"/>
      <c r="H8" s="58"/>
      <c r="I8" s="58">
        <v>0</v>
      </c>
      <c r="J8" s="58">
        <v>0</v>
      </c>
      <c r="K8" s="58">
        <v>0</v>
      </c>
      <c r="L8" s="58">
        <v>0</v>
      </c>
      <c r="M8" s="58"/>
      <c r="N8" s="58"/>
      <c r="O8" s="58"/>
      <c r="DT8" s="33" t="s">
        <v>231</v>
      </c>
      <c r="EB8" s="33" t="s">
        <v>291</v>
      </c>
      <c r="ED8" s="33" t="s">
        <v>296</v>
      </c>
    </row>
    <row r="9" spans="1:134" ht="24" customHeight="1" x14ac:dyDescent="0.25">
      <c r="A9" s="182" t="s">
        <v>156</v>
      </c>
      <c r="B9" s="199"/>
      <c r="C9" s="9" t="s">
        <v>19</v>
      </c>
      <c r="D9" s="61"/>
      <c r="E9" s="58"/>
      <c r="F9" s="58"/>
      <c r="G9" s="58"/>
      <c r="H9" s="58"/>
      <c r="I9" s="58">
        <v>0</v>
      </c>
      <c r="J9" s="58">
        <v>0</v>
      </c>
      <c r="K9" s="58">
        <v>0</v>
      </c>
      <c r="L9" s="58">
        <v>0</v>
      </c>
      <c r="M9" s="58"/>
      <c r="N9" s="58"/>
      <c r="O9" s="58"/>
      <c r="DT9" s="33" t="s">
        <v>279</v>
      </c>
      <c r="EB9" s="33" t="s">
        <v>292</v>
      </c>
      <c r="ED9" s="33" t="s">
        <v>293</v>
      </c>
    </row>
    <row r="10" spans="1:134" ht="24" customHeight="1" x14ac:dyDescent="0.25">
      <c r="A10" s="182" t="s">
        <v>20</v>
      </c>
      <c r="B10" s="199"/>
      <c r="C10" s="9" t="s">
        <v>19</v>
      </c>
      <c r="D10" s="61"/>
      <c r="E10" s="58"/>
      <c r="F10" s="58"/>
      <c r="G10" s="58"/>
      <c r="H10" s="58"/>
      <c r="I10" s="58">
        <v>0</v>
      </c>
      <c r="J10" s="58">
        <v>0</v>
      </c>
      <c r="K10" s="58">
        <v>0</v>
      </c>
      <c r="L10" s="58">
        <v>0</v>
      </c>
      <c r="M10" s="58"/>
      <c r="N10" s="58"/>
      <c r="O10" s="58"/>
      <c r="DT10" s="139" t="s">
        <v>280</v>
      </c>
      <c r="EB10" s="33" t="s">
        <v>292</v>
      </c>
      <c r="ED10" s="33" t="s">
        <v>293</v>
      </c>
    </row>
    <row r="11" spans="1:134" s="34" customFormat="1" ht="15" customHeight="1" x14ac:dyDescent="0.25">
      <c r="A11" s="181" t="s">
        <v>18</v>
      </c>
      <c r="B11" s="110" t="s">
        <v>21</v>
      </c>
      <c r="C11" s="111" t="s">
        <v>19</v>
      </c>
      <c r="D11" s="112"/>
      <c r="E11" s="113"/>
      <c r="F11" s="113"/>
      <c r="G11" s="113"/>
      <c r="H11" s="113"/>
      <c r="I11" s="113">
        <v>0</v>
      </c>
      <c r="J11" s="113">
        <v>0</v>
      </c>
      <c r="K11" s="113">
        <v>0</v>
      </c>
      <c r="L11" s="113">
        <v>0</v>
      </c>
      <c r="M11" s="113"/>
      <c r="N11" s="113"/>
      <c r="O11" s="113"/>
      <c r="DT11" s="34" t="s">
        <v>281</v>
      </c>
      <c r="EB11" s="34" t="s">
        <v>292</v>
      </c>
      <c r="ED11" s="34" t="s">
        <v>293</v>
      </c>
    </row>
    <row r="12" spans="1:134" s="34" customFormat="1" ht="15" customHeight="1" x14ac:dyDescent="0.25">
      <c r="A12" s="181"/>
      <c r="B12" s="110" t="s">
        <v>22</v>
      </c>
      <c r="C12" s="111" t="s">
        <v>19</v>
      </c>
      <c r="D12" s="112"/>
      <c r="E12" s="113"/>
      <c r="F12" s="113"/>
      <c r="G12" s="113"/>
      <c r="H12" s="113"/>
      <c r="I12" s="113">
        <v>0</v>
      </c>
      <c r="J12" s="113">
        <v>0</v>
      </c>
      <c r="K12" s="113">
        <v>0</v>
      </c>
      <c r="L12" s="113">
        <v>0</v>
      </c>
      <c r="M12" s="113"/>
      <c r="N12" s="113"/>
      <c r="O12" s="113"/>
      <c r="DT12" s="34" t="s">
        <v>282</v>
      </c>
      <c r="EB12" s="34" t="s">
        <v>292</v>
      </c>
      <c r="ED12" s="34" t="s">
        <v>293</v>
      </c>
    </row>
    <row r="13" spans="1:134" s="34" customFormat="1" ht="15" customHeight="1" x14ac:dyDescent="0.25">
      <c r="A13" s="181"/>
      <c r="B13" s="110" t="s">
        <v>23</v>
      </c>
      <c r="C13" s="111" t="s">
        <v>19</v>
      </c>
      <c r="D13" s="112"/>
      <c r="E13" s="113"/>
      <c r="F13" s="113"/>
      <c r="G13" s="113"/>
      <c r="H13" s="113"/>
      <c r="I13" s="113">
        <v>0</v>
      </c>
      <c r="J13" s="113">
        <v>0</v>
      </c>
      <c r="K13" s="113">
        <v>0</v>
      </c>
      <c r="L13" s="113">
        <v>0</v>
      </c>
      <c r="M13" s="113"/>
      <c r="N13" s="113"/>
      <c r="O13" s="113"/>
      <c r="DT13" s="34" t="s">
        <v>283</v>
      </c>
      <c r="EB13" s="34" t="s">
        <v>292</v>
      </c>
      <c r="ED13" s="34" t="s">
        <v>293</v>
      </c>
    </row>
    <row r="14" spans="1:134" ht="24" customHeight="1" x14ac:dyDescent="0.25">
      <c r="A14" s="182" t="s">
        <v>24</v>
      </c>
      <c r="B14" s="199"/>
      <c r="C14" s="9" t="s">
        <v>25</v>
      </c>
      <c r="D14" s="61"/>
      <c r="E14" s="58"/>
      <c r="F14" s="58"/>
      <c r="G14" s="58"/>
      <c r="H14" s="58"/>
      <c r="I14" s="58">
        <v>0</v>
      </c>
      <c r="J14" s="58">
        <v>0</v>
      </c>
      <c r="K14" s="58">
        <v>0</v>
      </c>
      <c r="L14" s="58">
        <v>0</v>
      </c>
      <c r="M14" s="58"/>
      <c r="N14" s="58"/>
      <c r="O14" s="58"/>
      <c r="DT14" s="139" t="s">
        <v>284</v>
      </c>
      <c r="EB14" s="33" t="s">
        <v>291</v>
      </c>
      <c r="ED14" s="33" t="s">
        <v>295</v>
      </c>
    </row>
    <row r="15" spans="1:134" s="34" customFormat="1" ht="15" customHeight="1" x14ac:dyDescent="0.25">
      <c r="A15" s="203" t="s">
        <v>18</v>
      </c>
      <c r="B15" s="110" t="s">
        <v>26</v>
      </c>
      <c r="C15" s="111" t="s">
        <v>25</v>
      </c>
      <c r="D15" s="112"/>
      <c r="E15" s="113"/>
      <c r="F15" s="113"/>
      <c r="G15" s="113"/>
      <c r="H15" s="113"/>
      <c r="I15" s="113">
        <v>0</v>
      </c>
      <c r="J15" s="113">
        <v>0</v>
      </c>
      <c r="K15" s="113">
        <v>0</v>
      </c>
      <c r="L15" s="113">
        <v>0</v>
      </c>
      <c r="M15" s="113"/>
      <c r="N15" s="113"/>
      <c r="O15" s="113"/>
      <c r="DT15" s="34" t="s">
        <v>285</v>
      </c>
      <c r="EB15" s="34" t="s">
        <v>291</v>
      </c>
      <c r="ED15" s="34" t="s">
        <v>295</v>
      </c>
    </row>
    <row r="16" spans="1:134" s="34" customFormat="1" ht="15" customHeight="1" x14ac:dyDescent="0.25">
      <c r="A16" s="204"/>
      <c r="B16" s="110" t="s">
        <v>27</v>
      </c>
      <c r="C16" s="111" t="s">
        <v>25</v>
      </c>
      <c r="D16" s="112"/>
      <c r="E16" s="113"/>
      <c r="F16" s="113"/>
      <c r="G16" s="113"/>
      <c r="H16" s="113"/>
      <c r="I16" s="113">
        <v>0</v>
      </c>
      <c r="J16" s="113">
        <v>0</v>
      </c>
      <c r="K16" s="113">
        <v>0</v>
      </c>
      <c r="L16" s="113">
        <v>0</v>
      </c>
      <c r="M16" s="113"/>
      <c r="N16" s="113"/>
      <c r="O16" s="113"/>
      <c r="DT16" s="34" t="s">
        <v>286</v>
      </c>
      <c r="EB16" s="34" t="s">
        <v>291</v>
      </c>
      <c r="ED16" s="34" t="s">
        <v>295</v>
      </c>
    </row>
    <row r="17" spans="1:134" s="34" customFormat="1" ht="15" customHeight="1" x14ac:dyDescent="0.25">
      <c r="A17" s="204"/>
      <c r="B17" s="110" t="s">
        <v>28</v>
      </c>
      <c r="C17" s="111" t="s">
        <v>25</v>
      </c>
      <c r="D17" s="112"/>
      <c r="E17" s="113"/>
      <c r="F17" s="113"/>
      <c r="G17" s="113"/>
      <c r="H17" s="113"/>
      <c r="I17" s="113">
        <v>0</v>
      </c>
      <c r="J17" s="113">
        <v>0</v>
      </c>
      <c r="K17" s="113">
        <v>0</v>
      </c>
      <c r="L17" s="113">
        <v>0</v>
      </c>
      <c r="M17" s="113"/>
      <c r="N17" s="113"/>
      <c r="O17" s="113"/>
      <c r="DT17" s="34" t="s">
        <v>287</v>
      </c>
      <c r="EB17" s="34" t="s">
        <v>291</v>
      </c>
      <c r="ED17" s="34" t="s">
        <v>295</v>
      </c>
    </row>
    <row r="18" spans="1:134" s="34" customFormat="1" ht="15" customHeight="1" x14ac:dyDescent="0.25">
      <c r="A18" s="205"/>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0" t="s">
        <v>44</v>
      </c>
      <c r="C3" s="211"/>
      <c r="D3" s="212"/>
    </row>
    <row r="4" spans="2:4" ht="15.75" thickBot="1" x14ac:dyDescent="0.3"/>
    <row r="5" spans="2:4" ht="15" customHeight="1" x14ac:dyDescent="0.25">
      <c r="B5" s="39"/>
      <c r="C5" s="213"/>
      <c r="D5" s="95"/>
    </row>
    <row r="6" spans="2:4" x14ac:dyDescent="0.25">
      <c r="B6" s="40"/>
      <c r="C6" s="214"/>
      <c r="D6" s="41"/>
    </row>
    <row r="7" spans="2:4" x14ac:dyDescent="0.25">
      <c r="B7" s="40"/>
      <c r="C7" s="214"/>
      <c r="D7" s="41"/>
    </row>
    <row r="8" spans="2:4" x14ac:dyDescent="0.25">
      <c r="B8" s="40"/>
      <c r="C8" s="214"/>
      <c r="D8" s="41"/>
    </row>
    <row r="9" spans="2:4" x14ac:dyDescent="0.25">
      <c r="B9" s="40"/>
      <c r="C9" s="214"/>
      <c r="D9" s="41"/>
    </row>
    <row r="10" spans="2:4" x14ac:dyDescent="0.25">
      <c r="B10" s="40"/>
      <c r="C10" s="214"/>
      <c r="D10" s="41"/>
    </row>
    <row r="11" spans="2:4" x14ac:dyDescent="0.25">
      <c r="B11" s="40"/>
      <c r="C11" s="214"/>
      <c r="D11" s="41"/>
    </row>
    <row r="12" spans="2:4" x14ac:dyDescent="0.25">
      <c r="B12" s="40"/>
      <c r="C12" s="214"/>
      <c r="D12" s="41"/>
    </row>
    <row r="13" spans="2:4" x14ac:dyDescent="0.25">
      <c r="B13" s="40"/>
      <c r="C13" s="214"/>
      <c r="D13" s="41"/>
    </row>
    <row r="14" spans="2:4" x14ac:dyDescent="0.25">
      <c r="B14" s="40"/>
      <c r="C14" s="214"/>
      <c r="D14" s="41"/>
    </row>
    <row r="15" spans="2:4" x14ac:dyDescent="0.25">
      <c r="B15" s="40"/>
      <c r="C15" s="214"/>
      <c r="D15" s="41"/>
    </row>
    <row r="16" spans="2:4" x14ac:dyDescent="0.25">
      <c r="B16" s="40"/>
      <c r="C16" s="214"/>
      <c r="D16" s="41"/>
    </row>
    <row r="17" spans="2:4" x14ac:dyDescent="0.25">
      <c r="B17" s="40"/>
      <c r="C17" s="214"/>
      <c r="D17" s="41"/>
    </row>
    <row r="18" spans="2:4" x14ac:dyDescent="0.25">
      <c r="B18" s="40"/>
      <c r="C18" s="214"/>
      <c r="D18" s="41"/>
    </row>
    <row r="19" spans="2:4" x14ac:dyDescent="0.25">
      <c r="B19" s="40"/>
      <c r="C19" s="214"/>
      <c r="D19" s="41"/>
    </row>
    <row r="20" spans="2:4" x14ac:dyDescent="0.25">
      <c r="B20" s="40"/>
      <c r="C20" s="214"/>
      <c r="D20" s="41"/>
    </row>
    <row r="21" spans="2:4" x14ac:dyDescent="0.25">
      <c r="B21" s="40"/>
      <c r="C21" s="214"/>
      <c r="D21" s="41"/>
    </row>
    <row r="22" spans="2:4" x14ac:dyDescent="0.25">
      <c r="B22" s="40"/>
      <c r="C22" s="214"/>
      <c r="D22" s="41"/>
    </row>
    <row r="23" spans="2:4" x14ac:dyDescent="0.25">
      <c r="B23" s="40"/>
      <c r="C23" s="214"/>
      <c r="D23" s="41"/>
    </row>
    <row r="24" spans="2:4" x14ac:dyDescent="0.25">
      <c r="B24" s="40"/>
      <c r="C24" s="214"/>
      <c r="D24" s="41"/>
    </row>
    <row r="25" spans="2:4" x14ac:dyDescent="0.25">
      <c r="B25" s="40"/>
      <c r="C25" s="214"/>
      <c r="D25" s="41"/>
    </row>
    <row r="26" spans="2:4" x14ac:dyDescent="0.25">
      <c r="B26" s="40"/>
      <c r="C26" s="214"/>
      <c r="D26" s="41"/>
    </row>
    <row r="27" spans="2:4" x14ac:dyDescent="0.25">
      <c r="B27" s="40"/>
      <c r="C27" s="214"/>
      <c r="D27" s="41"/>
    </row>
    <row r="28" spans="2:4" x14ac:dyDescent="0.25">
      <c r="B28" s="40"/>
      <c r="C28" s="214"/>
      <c r="D28" s="41"/>
    </row>
    <row r="29" spans="2:4" x14ac:dyDescent="0.25">
      <c r="B29" s="40"/>
      <c r="C29" s="214"/>
      <c r="D29" s="41"/>
    </row>
    <row r="30" spans="2:4" x14ac:dyDescent="0.25">
      <c r="B30" s="40"/>
      <c r="C30" s="214"/>
      <c r="D30" s="41"/>
    </row>
    <row r="31" spans="2:4" x14ac:dyDescent="0.25">
      <c r="B31" s="40"/>
      <c r="C31" s="214"/>
      <c r="D31" s="41"/>
    </row>
    <row r="32" spans="2:4" x14ac:dyDescent="0.25">
      <c r="B32" s="40"/>
      <c r="C32" s="214"/>
      <c r="D32" s="41"/>
    </row>
    <row r="33" spans="2:4" x14ac:dyDescent="0.25">
      <c r="B33" s="40"/>
      <c r="C33" s="214"/>
      <c r="D33" s="41"/>
    </row>
    <row r="34" spans="2:4" x14ac:dyDescent="0.25">
      <c r="B34" s="40"/>
      <c r="C34" s="214"/>
      <c r="D34" s="41"/>
    </row>
    <row r="35" spans="2:4" x14ac:dyDescent="0.25">
      <c r="B35" s="40"/>
      <c r="C35" s="214"/>
      <c r="D35" s="41"/>
    </row>
    <row r="36" spans="2:4" x14ac:dyDescent="0.25">
      <c r="B36" s="40"/>
      <c r="C36" s="214"/>
      <c r="D36" s="41"/>
    </row>
    <row r="37" spans="2:4" x14ac:dyDescent="0.25">
      <c r="B37" s="40"/>
      <c r="C37" s="214"/>
      <c r="D37" s="41"/>
    </row>
    <row r="38" spans="2:4" x14ac:dyDescent="0.25">
      <c r="B38" s="40"/>
      <c r="C38" s="214"/>
      <c r="D38" s="41"/>
    </row>
    <row r="39" spans="2:4" x14ac:dyDescent="0.25">
      <c r="B39" s="40"/>
      <c r="C39" s="214"/>
      <c r="D39" s="41"/>
    </row>
    <row r="40" spans="2:4" x14ac:dyDescent="0.25">
      <c r="B40" s="40"/>
      <c r="C40" s="214"/>
      <c r="D40" s="41"/>
    </row>
    <row r="41" spans="2:4" x14ac:dyDescent="0.25">
      <c r="B41" s="40"/>
      <c r="C41" s="214"/>
      <c r="D41" s="41"/>
    </row>
    <row r="42" spans="2:4" x14ac:dyDescent="0.25">
      <c r="B42" s="40"/>
      <c r="C42" s="214"/>
      <c r="D42" s="41"/>
    </row>
    <row r="43" spans="2:4" ht="15.75" thickBot="1" x14ac:dyDescent="0.3">
      <c r="B43" s="42"/>
      <c r="C43" s="215"/>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topLeftCell="A13" zoomScale="90" zoomScaleNormal="90" workbookViewId="0"/>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2019-11-20T07:38:20Z</cp:lastPrinted>
  <dcterms:created xsi:type="dcterms:W3CDTF">2014-09-17T09:30:01Z</dcterms:created>
  <dcterms:modified xsi:type="dcterms:W3CDTF">2020-01-30T14:20:05Z</dcterms:modified>
  <cp:category>Annual questionnaires</cp:category>
</cp:coreProperties>
</file>