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0" yWindow="0" windowWidth="28800" windowHeight="1230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C42" i="14"/>
  <c r="C2" i="15"/>
  <c r="D27" i="14"/>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c r="E15" i="14"/>
  <c r="F15" i="14"/>
  <c r="G15" i="14"/>
  <c r="H15" i="14"/>
  <c r="I15" i="14"/>
  <c r="J15" i="14"/>
  <c r="C15" i="14"/>
  <c r="D13" i="14"/>
  <c r="E13" i="14"/>
  <c r="F13" i="14"/>
  <c r="G13" i="14"/>
  <c r="H13" i="14"/>
  <c r="I13" i="14"/>
  <c r="J13" i="14"/>
  <c r="C13" i="14"/>
  <c r="D11" i="14"/>
  <c r="E11" i="14"/>
  <c r="F11" i="14"/>
  <c r="G11" i="14"/>
  <c r="H11" i="14"/>
  <c r="I11" i="14"/>
  <c r="J11" i="14"/>
  <c r="C11" i="14"/>
  <c r="C4" i="14"/>
  <c r="C2" i="5"/>
  <c r="G10" i="5"/>
  <c r="G15" i="5"/>
  <c r="G7" i="5"/>
  <c r="G18" i="5"/>
  <c r="H16" i="5"/>
  <c r="G16" i="5"/>
  <c r="H8" i="5"/>
  <c r="E17" i="5"/>
  <c r="J16" i="5"/>
  <c r="G6" i="5"/>
  <c r="E16" i="5"/>
  <c r="J18" i="5"/>
  <c r="J15" i="5"/>
  <c r="H10" i="5"/>
  <c r="E12" i="5"/>
  <c r="J10" i="5"/>
  <c r="F6" i="5"/>
  <c r="K10" i="5"/>
  <c r="E8" i="5"/>
  <c r="H18" i="5"/>
  <c r="I6" i="5"/>
  <c r="G8" i="5"/>
  <c r="H7" i="5"/>
  <c r="E11" i="5"/>
  <c r="H13" i="5"/>
  <c r="K11" i="5"/>
  <c r="H11" i="5"/>
  <c r="G14" i="5"/>
  <c r="G11" i="5"/>
  <c r="J13" i="5"/>
  <c r="J11" i="5"/>
  <c r="H12" i="5"/>
  <c r="G17" i="5"/>
  <c r="H9" i="5"/>
  <c r="H17" i="5"/>
  <c r="J9" i="5"/>
  <c r="E18" i="5"/>
  <c r="G9" i="5"/>
  <c r="E9" i="5"/>
  <c r="J12" i="5"/>
  <c r="K13" i="5"/>
  <c r="J17" i="5"/>
  <c r="J7" i="5"/>
  <c r="G13" i="5"/>
  <c r="E10" i="5"/>
  <c r="H14" i="5"/>
  <c r="H15" i="5"/>
  <c r="E14" i="5"/>
  <c r="K9" i="5"/>
  <c r="J6" i="5"/>
  <c r="E13" i="5"/>
  <c r="J8" i="5"/>
  <c r="E7" i="5"/>
  <c r="H6" i="5"/>
  <c r="E6" i="5"/>
  <c r="J14" i="5"/>
  <c r="E15" i="5"/>
  <c r="K12" i="5"/>
  <c r="G12" i="5"/>
  <c r="J6" i="15" l="1"/>
  <c r="G13" i="15"/>
  <c r="J10" i="15"/>
  <c r="J18" i="15"/>
  <c r="J14" i="15"/>
  <c r="K13" i="15"/>
  <c r="G17" i="15"/>
  <c r="E11" i="15"/>
  <c r="D11" i="5"/>
  <c r="J11" i="15"/>
  <c r="K9" i="15"/>
  <c r="G11" i="15"/>
  <c r="H12" i="15"/>
  <c r="H11" i="15"/>
  <c r="H7" i="15"/>
  <c r="D18" i="5"/>
  <c r="E18" i="15"/>
  <c r="G14" i="15"/>
  <c r="E9" i="15"/>
  <c r="D9" i="5"/>
  <c r="J13" i="15"/>
  <c r="E8" i="15"/>
  <c r="D8" i="5"/>
  <c r="D12" i="5"/>
  <c r="E12" i="15"/>
  <c r="K10" i="15"/>
  <c r="K11" i="15"/>
  <c r="E17" i="15"/>
  <c r="D17" i="5"/>
  <c r="H15" i="15"/>
  <c r="G16" i="15"/>
  <c r="G9" i="15"/>
  <c r="G18" i="15"/>
  <c r="H8" i="15"/>
  <c r="G15" i="15"/>
  <c r="H14" i="15"/>
  <c r="J12" i="15"/>
  <c r="G7" i="15"/>
  <c r="H10" i="15"/>
  <c r="H16" i="15"/>
  <c r="J9" i="15"/>
  <c r="H13" i="15"/>
  <c r="H9" i="15"/>
  <c r="G10" i="15"/>
  <c r="G8" i="15"/>
  <c r="H17" i="15"/>
  <c r="H6" i="15"/>
  <c r="J15" i="15"/>
  <c r="E7" i="15"/>
  <c r="D7" i="5"/>
  <c r="D6" i="5"/>
  <c r="E6" i="15"/>
  <c r="H18" i="15"/>
  <c r="E14" i="15"/>
  <c r="D14" i="5"/>
  <c r="J7" i="15"/>
  <c r="J8" i="15"/>
  <c r="G12" i="15"/>
  <c r="I6" i="15"/>
  <c r="I19" i="15" s="1"/>
  <c r="D16" i="5"/>
  <c r="E16" i="15"/>
  <c r="E15" i="15"/>
  <c r="D15" i="5"/>
  <c r="J16" i="15"/>
  <c r="D13" i="5"/>
  <c r="E13" i="15"/>
  <c r="F6" i="15"/>
  <c r="F19" i="15" s="1"/>
  <c r="F20" i="15" s="1"/>
  <c r="G6" i="15"/>
  <c r="E10" i="15"/>
  <c r="D10" i="5"/>
  <c r="K12" i="15"/>
  <c r="J17" i="15"/>
  <c r="G19" i="15" l="1"/>
  <c r="G20" i="15" s="1"/>
  <c r="D13" i="15"/>
  <c r="D11" i="15"/>
  <c r="D6" i="15"/>
  <c r="E19" i="15"/>
  <c r="D17" i="15"/>
  <c r="H19" i="15"/>
  <c r="H20" i="15" s="1"/>
  <c r="D9" i="15"/>
  <c r="D15" i="15"/>
  <c r="D14" i="15"/>
  <c r="D8" i="15"/>
  <c r="D10" i="15"/>
  <c r="D16" i="15"/>
  <c r="D7" i="15"/>
  <c r="D12" i="15"/>
  <c r="D18" i="15"/>
  <c r="J19" i="15"/>
  <c r="J20" i="15" s="1"/>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<sst xmlns="http://schemas.openxmlformats.org/spreadsheetml/2006/main" count="952" uniqueCount="315">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</sst>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62</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I11" sqref="I11"/>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6" t="s">
        <v>0</v>
      </c>
      <c r="B1" s="177"/>
      <c r="C1" s="20"/>
      <c r="D1" s="1"/>
      <c r="E1" s="2"/>
      <c r="F1" s="2"/>
      <c r="G1" s="2"/>
      <c r="H1" s="2"/>
      <c r="I1" s="2"/>
      <c r="J1" s="2"/>
      <c r="K1" s="2"/>
      <c r="L1" s="2"/>
      <c r="M1" s="2"/>
      <c r="N1" s="2"/>
      <c r="O1" s="2"/>
    </row>
    <row r="2" spans="1:134" ht="18" customHeight="1" x14ac:dyDescent="0.25">
      <c r="A2" s="178"/>
      <c r="B2" s="179"/>
      <c r="C2" s="1"/>
      <c r="D2" s="1"/>
      <c r="E2" s="5"/>
      <c r="F2" s="3"/>
      <c r="G2" s="3"/>
      <c r="H2" s="3"/>
      <c r="I2" s="3"/>
      <c r="J2" s="3"/>
      <c r="K2" s="3"/>
      <c r="L2" s="3"/>
      <c r="M2" s="3"/>
      <c r="N2" s="3"/>
      <c r="O2" s="3"/>
    </row>
    <row r="3" spans="1:134" ht="18" customHeight="1" x14ac:dyDescent="0.3">
      <c r="A3" s="180" t="s">
        <v>12</v>
      </c>
      <c r="B3" s="181"/>
      <c r="C3" s="1"/>
      <c r="D3" s="1"/>
      <c r="E3" s="5"/>
      <c r="F3" s="3"/>
      <c r="G3" s="3"/>
      <c r="H3" s="3"/>
      <c r="I3" s="3"/>
      <c r="J3" s="3"/>
      <c r="K3" s="3"/>
      <c r="L3" s="3"/>
      <c r="M3" s="3"/>
      <c r="N3" s="3"/>
      <c r="O3" s="3"/>
      <c r="DS3" s="4" t="s">
        <v>229</v>
      </c>
    </row>
    <row r="4" spans="1:134" ht="18" customHeight="1" x14ac:dyDescent="0.25">
      <c r="A4" s="182"/>
      <c r="B4" s="179"/>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3" t="s">
        <v>3</v>
      </c>
      <c r="B5" s="18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2"/>
      <c r="C6" s="47"/>
      <c r="D6" s="48"/>
      <c r="E6" s="49"/>
      <c r="F6" s="49"/>
      <c r="G6" s="49"/>
      <c r="H6" s="49"/>
      <c r="I6" s="49"/>
      <c r="J6" s="49"/>
      <c r="K6" s="49"/>
      <c r="L6" s="49"/>
      <c r="M6" s="49"/>
      <c r="N6" s="49"/>
      <c r="O6" s="49"/>
      <c r="DS6" s="4" t="str">
        <f>VLOOKUP(Cover!$D$15, Country_list!$B$3:$C$44, 2, 0)</f>
        <v>HU</v>
      </c>
      <c r="DV6" s="4" t="s">
        <v>298</v>
      </c>
    </row>
    <row r="7" spans="1:134" ht="24" customHeight="1" x14ac:dyDescent="0.2">
      <c r="A7" s="174" t="s">
        <v>15</v>
      </c>
      <c r="B7" s="175"/>
      <c r="C7" s="45"/>
      <c r="D7" s="15"/>
      <c r="E7" s="46"/>
      <c r="F7" s="46"/>
      <c r="G7" s="46"/>
      <c r="H7" s="46"/>
      <c r="I7" s="46"/>
      <c r="J7" s="46"/>
      <c r="K7" s="46"/>
      <c r="L7" s="46"/>
      <c r="M7" s="46"/>
      <c r="N7" s="46"/>
      <c r="O7" s="46"/>
    </row>
    <row r="8" spans="1:134" ht="24" customHeight="1" x14ac:dyDescent="0.2">
      <c r="A8" s="174" t="s">
        <v>29</v>
      </c>
      <c r="B8" s="175"/>
      <c r="C8" s="45"/>
      <c r="D8" s="15"/>
      <c r="E8" s="46"/>
      <c r="F8" s="46"/>
      <c r="G8" s="46"/>
      <c r="H8" s="46"/>
      <c r="I8" s="46"/>
      <c r="J8" s="46"/>
      <c r="K8" s="46"/>
      <c r="L8" s="46"/>
      <c r="M8" s="46"/>
      <c r="N8" s="46"/>
      <c r="O8" s="46"/>
    </row>
    <row r="9" spans="1:134" ht="24" customHeight="1" x14ac:dyDescent="0.2">
      <c r="A9" s="174" t="s">
        <v>156</v>
      </c>
      <c r="B9" s="175"/>
      <c r="C9" s="9" t="s">
        <v>132</v>
      </c>
      <c r="D9" s="93"/>
      <c r="E9" s="94"/>
      <c r="F9" s="94"/>
      <c r="G9" s="94"/>
      <c r="H9" s="94"/>
      <c r="I9" s="94">
        <v>9910</v>
      </c>
      <c r="J9" s="94">
        <v>12682</v>
      </c>
      <c r="K9" s="94">
        <v>13696</v>
      </c>
      <c r="L9" s="94">
        <v>14237</v>
      </c>
      <c r="M9" s="94"/>
      <c r="N9" s="94"/>
      <c r="O9" s="94"/>
      <c r="DT9" s="4" t="s">
        <v>279</v>
      </c>
      <c r="EB9" s="4" t="s">
        <v>300</v>
      </c>
      <c r="ED9" s="4" t="s">
        <v>301</v>
      </c>
    </row>
    <row r="10" spans="1:134" ht="24" customHeight="1" x14ac:dyDescent="0.2">
      <c r="A10" s="174" t="s">
        <v>20</v>
      </c>
      <c r="B10" s="175"/>
      <c r="C10" s="9" t="s">
        <v>132</v>
      </c>
      <c r="D10" s="93"/>
      <c r="E10" s="94"/>
      <c r="F10" s="94"/>
      <c r="G10" s="94"/>
      <c r="H10" s="94"/>
      <c r="I10" s="94">
        <v>46897</v>
      </c>
      <c r="J10" s="94">
        <v>46160</v>
      </c>
      <c r="K10" s="94">
        <v>46140</v>
      </c>
      <c r="L10" s="94">
        <v>46140</v>
      </c>
      <c r="M10" s="94"/>
      <c r="N10" s="94"/>
      <c r="O10" s="94"/>
      <c r="DT10" s="4" t="s">
        <v>280</v>
      </c>
      <c r="EB10" s="4" t="s">
        <v>300</v>
      </c>
      <c r="ED10" s="4" t="s">
        <v>301</v>
      </c>
    </row>
    <row r="11" spans="1:134" s="13" customFormat="1" ht="15" customHeight="1" x14ac:dyDescent="0.2">
      <c r="A11" s="173" t="s">
        <v>18</v>
      </c>
      <c r="B11" s="110" t="s">
        <v>21</v>
      </c>
      <c r="C11" s="111" t="s">
        <v>132</v>
      </c>
      <c r="D11" s="115"/>
      <c r="E11" s="115"/>
      <c r="F11" s="116"/>
      <c r="G11" s="116"/>
      <c r="H11" s="116"/>
      <c r="I11" s="116">
        <v>47000</v>
      </c>
      <c r="J11" s="116">
        <v>46160</v>
      </c>
      <c r="K11" s="116">
        <v>46140</v>
      </c>
      <c r="L11" s="116">
        <v>46140</v>
      </c>
      <c r="M11" s="116"/>
      <c r="N11" s="116"/>
      <c r="O11" s="116"/>
      <c r="DT11" s="13" t="s">
        <v>281</v>
      </c>
      <c r="EB11" s="13" t="s">
        <v>300</v>
      </c>
      <c r="ED11" s="13" t="s">
        <v>301</v>
      </c>
    </row>
    <row r="12" spans="1:134" s="13" customFormat="1" ht="15" customHeight="1" x14ac:dyDescent="0.2">
      <c r="A12" s="173"/>
      <c r="B12" s="110" t="s">
        <v>22</v>
      </c>
      <c r="C12" s="111" t="s">
        <v>132</v>
      </c>
      <c r="D12" s="115"/>
      <c r="E12" s="115"/>
      <c r="F12" s="115"/>
      <c r="G12" s="115"/>
      <c r="H12" s="115"/>
      <c r="I12" s="115"/>
      <c r="J12" s="115"/>
      <c r="K12" s="115"/>
      <c r="L12" s="115"/>
      <c r="M12" s="115"/>
      <c r="N12" s="115"/>
      <c r="O12" s="115"/>
      <c r="DT12" s="13" t="s">
        <v>282</v>
      </c>
      <c r="EB12" s="13" t="s">
        <v>300</v>
      </c>
      <c r="ED12" s="13" t="s">
        <v>301</v>
      </c>
    </row>
    <row r="13" spans="1:134" s="13" customFormat="1" ht="15" customHeight="1" x14ac:dyDescent="0.2">
      <c r="A13" s="173"/>
      <c r="B13" s="110" t="s">
        <v>23</v>
      </c>
      <c r="C13" s="111" t="s">
        <v>132</v>
      </c>
      <c r="D13" s="115"/>
      <c r="E13" s="115"/>
      <c r="F13" s="115"/>
      <c r="G13" s="115"/>
      <c r="H13" s="115"/>
      <c r="I13" s="115"/>
      <c r="J13" s="115"/>
      <c r="K13" s="115"/>
      <c r="L13" s="115"/>
      <c r="M13" s="115"/>
      <c r="N13" s="115"/>
      <c r="O13" s="115"/>
      <c r="DT13" s="13" t="s">
        <v>283</v>
      </c>
      <c r="EB13" s="13" t="s">
        <v>300</v>
      </c>
      <c r="ED13" s="13" t="s">
        <v>301</v>
      </c>
    </row>
    <row r="14" spans="1:134" ht="24" customHeight="1" x14ac:dyDescent="0.2">
      <c r="A14" s="174" t="s">
        <v>24</v>
      </c>
      <c r="B14" s="175"/>
      <c r="C14" s="45"/>
      <c r="D14" s="15"/>
      <c r="E14" s="46"/>
      <c r="F14" s="46"/>
      <c r="G14" s="46"/>
      <c r="H14" s="46"/>
      <c r="I14" s="46"/>
      <c r="J14" s="46"/>
      <c r="K14" s="46"/>
      <c r="L14" s="46"/>
      <c r="M14" s="46"/>
      <c r="N14" s="46"/>
      <c r="O14" s="46"/>
    </row>
    <row r="15" spans="1:134" s="13" customFormat="1" ht="15" customHeight="1" x14ac:dyDescent="0.2">
      <c r="A15" s="173" t="s">
        <v>18</v>
      </c>
      <c r="B15" s="110" t="s">
        <v>26</v>
      </c>
      <c r="C15" s="14"/>
      <c r="D15" s="15"/>
      <c r="E15" s="12"/>
      <c r="F15" s="12"/>
      <c r="G15" s="12"/>
      <c r="H15" s="12"/>
      <c r="I15" s="12"/>
      <c r="J15" s="12"/>
      <c r="K15" s="12"/>
      <c r="L15" s="12"/>
      <c r="M15" s="12"/>
      <c r="N15" s="12"/>
      <c r="O15" s="12"/>
    </row>
    <row r="16" spans="1:134" s="13" customFormat="1" ht="15" customHeight="1" x14ac:dyDescent="0.2">
      <c r="A16" s="173"/>
      <c r="B16" s="110" t="s">
        <v>27</v>
      </c>
      <c r="C16" s="14"/>
      <c r="D16" s="15"/>
      <c r="E16" s="12"/>
      <c r="F16" s="12"/>
      <c r="G16" s="12"/>
      <c r="H16" s="12"/>
      <c r="I16" s="12"/>
      <c r="J16" s="12"/>
      <c r="K16" s="12"/>
      <c r="L16" s="12"/>
      <c r="M16" s="12"/>
      <c r="N16" s="12"/>
      <c r="O16" s="12"/>
    </row>
    <row r="17" spans="1:15" s="13" customFormat="1" ht="15" customHeight="1" x14ac:dyDescent="0.2">
      <c r="A17" s="173"/>
      <c r="B17" s="110" t="s">
        <v>28</v>
      </c>
      <c r="C17" s="14"/>
      <c r="D17" s="15"/>
      <c r="E17" s="12"/>
      <c r="F17" s="12"/>
      <c r="G17" s="12"/>
      <c r="H17" s="12"/>
      <c r="I17" s="12"/>
      <c r="J17" s="12"/>
      <c r="K17" s="12"/>
      <c r="L17" s="12"/>
      <c r="M17" s="12"/>
      <c r="N17" s="12"/>
      <c r="O17" s="12"/>
    </row>
    <row r="18" spans="1:15" s="13" customFormat="1" ht="15" customHeight="1" x14ac:dyDescent="0.2">
      <c r="A18" s="173"/>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1" sqref="D11"/>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Hungary</v>
      </c>
      <c r="D2" s="1"/>
      <c r="E2" s="5"/>
      <c r="F2" s="3"/>
      <c r="G2" s="3"/>
      <c r="H2" s="3"/>
      <c r="I2" s="3"/>
      <c r="J2" s="3"/>
      <c r="K2" s="3"/>
    </row>
    <row r="3" spans="1:11" ht="18" customHeight="1" x14ac:dyDescent="0.25">
      <c r="A3" s="188" t="s">
        <v>2</v>
      </c>
      <c r="B3" s="190"/>
      <c r="C3" s="114">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14</v>
      </c>
      <c r="D6" s="120">
        <f ca="1">SUM(E6:J6)</f>
        <v>11370</v>
      </c>
      <c r="E6" s="121">
        <f ca="1">INDIRECT(ADDRESS(ROW(K6),$C$3 -2010 + 4,,,"1a_SpaceHeating"))</f>
        <v>398.40600000000001</v>
      </c>
      <c r="F6" s="121">
        <f ca="1">INDIRECT(ADDRESS(ROW(K6),$C$3-2010+4,,,"1b_SpaceCooling"))</f>
        <v>92.381</v>
      </c>
      <c r="G6" s="121">
        <f ca="1">INDIRECT(ADDRESS(ROW(K6),$C$3-2010+4,,,"1c_WaterHeating"))</f>
        <v>3432.3209999999999</v>
      </c>
      <c r="H6" s="121">
        <f ca="1">INDIRECT(ADDRESS(ROW(K6),$C$3-2010+4,,,"1d_Cooking"))</f>
        <v>409.50200000000001</v>
      </c>
      <c r="I6" s="121">
        <f ca="1">INDIRECT(ADDRESS(ROW(K6),$C$3-2010+4,,,"1e_LightingAndAppliances"))</f>
        <v>7037.39</v>
      </c>
      <c r="J6" s="121">
        <f ca="1">INDIRECT(ADDRESS(ROW(K6),$C$3-2010+4,,,"1f_OtherEndUses"))</f>
        <v>0</v>
      </c>
      <c r="K6" s="122"/>
    </row>
    <row r="7" spans="1:11" ht="24" customHeight="1" x14ac:dyDescent="0.25">
      <c r="A7" s="195" t="s">
        <v>15</v>
      </c>
      <c r="B7" s="196"/>
      <c r="C7" s="109" t="s">
        <v>16</v>
      </c>
      <c r="D7" s="123">
        <f t="shared" ref="D7:D16" ca="1" si="0">SUM(E7:J7)</f>
        <v>19568</v>
      </c>
      <c r="E7" s="124">
        <f t="shared" ref="E7:E16" ca="1" si="1">INDIRECT(ADDRESS(ROW(K7),$C$3 -2010 + 4,,,"1a_SpaceHeating"))</f>
        <v>14535</v>
      </c>
      <c r="F7" s="125"/>
      <c r="G7" s="124">
        <f t="shared" ref="G7:G16" ca="1" si="2">INDIRECT(ADDRESS(ROW(K7),$C$3-2010+4,,,"1c_WaterHeating"))</f>
        <v>5033</v>
      </c>
      <c r="H7" s="124">
        <f t="shared" ref="H7:H16" ca="1" si="3">INDIRECT(ADDRESS(ROW(K7),$C$3-2010+4,,,"1d_Cooking"))</f>
        <v>0</v>
      </c>
      <c r="I7" s="125"/>
      <c r="J7" s="124">
        <f t="shared" ref="J7:J17" ca="1" si="4">INDIRECT(ADDRESS(ROW(K7),$C$3-2010+4,,,"1f_OtherEndUses"))</f>
        <v>0</v>
      </c>
      <c r="K7" s="125"/>
    </row>
    <row r="8" spans="1:11" ht="24" customHeight="1" x14ac:dyDescent="0.25">
      <c r="A8" s="195" t="s">
        <v>29</v>
      </c>
      <c r="B8" s="196"/>
      <c r="C8" s="109" t="s">
        <v>17</v>
      </c>
      <c r="D8" s="123">
        <f t="shared" ca="1" si="0"/>
        <v>131678.00099999999</v>
      </c>
      <c r="E8" s="124">
        <f t="shared" ca="1" si="1"/>
        <v>109339.461</v>
      </c>
      <c r="F8" s="125"/>
      <c r="G8" s="124">
        <f t="shared" ca="1" si="2"/>
        <v>13344.620999999999</v>
      </c>
      <c r="H8" s="124">
        <f t="shared" ca="1" si="3"/>
        <v>8993.9189999999999</v>
      </c>
      <c r="I8" s="125"/>
      <c r="J8" s="124">
        <f t="shared" ca="1" si="4"/>
        <v>0</v>
      </c>
      <c r="K8" s="125"/>
    </row>
    <row r="9" spans="1:11" ht="24" customHeight="1" x14ac:dyDescent="0.25">
      <c r="A9" s="195" t="s">
        <v>156</v>
      </c>
      <c r="B9" s="196"/>
      <c r="C9" s="109" t="s">
        <v>19</v>
      </c>
      <c r="D9" s="123">
        <f t="shared" ca="1" si="0"/>
        <v>279</v>
      </c>
      <c r="E9" s="124">
        <f t="shared" ca="1" si="1"/>
        <v>279</v>
      </c>
      <c r="F9" s="125"/>
      <c r="G9" s="124">
        <f t="shared" ca="1" si="2"/>
        <v>0</v>
      </c>
      <c r="H9" s="124">
        <f t="shared" ca="1" si="3"/>
        <v>0</v>
      </c>
      <c r="I9" s="125"/>
      <c r="J9" s="124">
        <f t="shared" ca="1" si="4"/>
        <v>0</v>
      </c>
      <c r="K9" s="126">
        <f ca="1">INDIRECT(ADDRESS(ROW(K9),$C$3-2010+4,,,"Calorific_Values"))</f>
        <v>14237</v>
      </c>
    </row>
    <row r="10" spans="1:11" ht="24" customHeight="1" x14ac:dyDescent="0.25">
      <c r="A10" s="195" t="s">
        <v>42</v>
      </c>
      <c r="B10" s="196"/>
      <c r="C10" s="109" t="s">
        <v>19</v>
      </c>
      <c r="D10" s="123">
        <f t="shared" ca="1" si="0"/>
        <v>69.001000000000005</v>
      </c>
      <c r="E10" s="124">
        <f t="shared" ca="1" si="1"/>
        <v>8.7899999999999991</v>
      </c>
      <c r="F10" s="125"/>
      <c r="G10" s="124">
        <f t="shared" ca="1" si="2"/>
        <v>9.7769999999999992</v>
      </c>
      <c r="H10" s="124">
        <f t="shared" ca="1" si="3"/>
        <v>50.433999999999997</v>
      </c>
      <c r="I10" s="125"/>
      <c r="J10" s="124">
        <f t="shared" ca="1" si="4"/>
        <v>0</v>
      </c>
      <c r="K10" s="126">
        <f ca="1">INDIRECT(ADDRESS(ROW(K10),$C$3-2010+4,,,"Calorific_Values"))</f>
        <v>46140</v>
      </c>
    </row>
    <row r="11" spans="1:11" s="34" customFormat="1" ht="15" customHeight="1" x14ac:dyDescent="0.25">
      <c r="A11" s="194" t="s">
        <v>18</v>
      </c>
      <c r="B11" s="10" t="s">
        <v>21</v>
      </c>
      <c r="C11" s="11" t="s">
        <v>19</v>
      </c>
      <c r="D11" s="127">
        <f t="shared" ca="1" si="0"/>
        <v>69.001000000000005</v>
      </c>
      <c r="E11" s="128">
        <f t="shared" ca="1" si="1"/>
        <v>8.7899999999999991</v>
      </c>
      <c r="F11" s="129"/>
      <c r="G11" s="128">
        <f t="shared" ca="1" si="2"/>
        <v>9.7769999999999992</v>
      </c>
      <c r="H11" s="128">
        <f t="shared" ca="1" si="3"/>
        <v>50.433999999999997</v>
      </c>
      <c r="I11" s="129"/>
      <c r="J11" s="128">
        <f t="shared" ca="1" si="4"/>
        <v>0</v>
      </c>
      <c r="K11" s="130">
        <f t="shared" ref="K11:K13" ca="1" si="5">INDIRECT(ADDRESS(ROW(K11),$C$3-2010+4,,,"Calorific_Values"))</f>
        <v>46140</v>
      </c>
    </row>
    <row r="12" spans="1:11" s="34" customFormat="1" ht="15" customHeight="1" x14ac:dyDescent="0.25">
      <c r="A12" s="194"/>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94"/>
      <c r="B13" s="10" t="s">
        <v>23</v>
      </c>
      <c r="C13" s="11" t="s">
        <v>19</v>
      </c>
      <c r="D13" s="127">
        <f t="shared" ca="1" si="0"/>
        <v>0</v>
      </c>
      <c r="E13" s="128">
        <f t="shared" ca="1" si="1"/>
        <v>0</v>
      </c>
      <c r="F13" s="129"/>
      <c r="G13" s="128">
        <f t="shared" ca="1" si="2"/>
        <v>0</v>
      </c>
      <c r="H13" s="128">
        <f t="shared" ca="1" si="3"/>
        <v>0</v>
      </c>
      <c r="I13" s="129"/>
      <c r="J13" s="128">
        <f t="shared" ca="1" si="4"/>
        <v>0</v>
      </c>
      <c r="K13" s="130">
        <f t="shared" ca="1" si="5"/>
        <v>0</v>
      </c>
    </row>
    <row r="14" spans="1:11" ht="24" customHeight="1" x14ac:dyDescent="0.25">
      <c r="A14" s="195" t="s">
        <v>43</v>
      </c>
      <c r="B14" s="196"/>
      <c r="C14" s="109" t="s">
        <v>16</v>
      </c>
      <c r="D14" s="123">
        <f t="shared" ca="1" si="0"/>
        <v>57446.331000000006</v>
      </c>
      <c r="E14" s="124">
        <f t="shared" ca="1" si="1"/>
        <v>56008.673000000003</v>
      </c>
      <c r="F14" s="125"/>
      <c r="G14" s="124">
        <f t="shared" ca="1" si="2"/>
        <v>1418.2660000000001</v>
      </c>
      <c r="H14" s="124">
        <f t="shared" ca="1" si="3"/>
        <v>19.391999999999999</v>
      </c>
      <c r="I14" s="125"/>
      <c r="J14" s="124">
        <f t="shared" ca="1" si="4"/>
        <v>0</v>
      </c>
      <c r="K14" s="125"/>
    </row>
    <row r="15" spans="1:11" s="34" customFormat="1" ht="15" customHeight="1" x14ac:dyDescent="0.25">
      <c r="A15" s="194" t="s">
        <v>18</v>
      </c>
      <c r="B15" s="10" t="s">
        <v>26</v>
      </c>
      <c r="C15" s="11" t="s">
        <v>16</v>
      </c>
      <c r="D15" s="127">
        <f t="shared" ca="1" si="0"/>
        <v>517</v>
      </c>
      <c r="E15" s="128">
        <f t="shared" ca="1" si="1"/>
        <v>0</v>
      </c>
      <c r="F15" s="129"/>
      <c r="G15" s="128">
        <f t="shared" ca="1" si="2"/>
        <v>517</v>
      </c>
      <c r="H15" s="128">
        <f t="shared" ca="1" si="3"/>
        <v>0</v>
      </c>
      <c r="I15" s="129"/>
      <c r="J15" s="128">
        <f t="shared" ca="1" si="4"/>
        <v>0</v>
      </c>
      <c r="K15" s="129"/>
    </row>
    <row r="16" spans="1:11" s="34" customFormat="1" ht="15" customHeight="1" x14ac:dyDescent="0.25">
      <c r="A16" s="194"/>
      <c r="B16" s="10" t="s">
        <v>27</v>
      </c>
      <c r="C16" s="11" t="s">
        <v>16</v>
      </c>
      <c r="D16" s="127">
        <f t="shared" ca="1" si="0"/>
        <v>56615.331000000006</v>
      </c>
      <c r="E16" s="128">
        <f t="shared" ca="1" si="1"/>
        <v>55694.673000000003</v>
      </c>
      <c r="F16" s="129"/>
      <c r="G16" s="128">
        <f t="shared" ca="1" si="2"/>
        <v>901.26599999999996</v>
      </c>
      <c r="H16" s="128">
        <f t="shared" ca="1" si="3"/>
        <v>19.391999999999999</v>
      </c>
      <c r="I16" s="129"/>
      <c r="J16" s="128">
        <f t="shared" ca="1" si="4"/>
        <v>0</v>
      </c>
      <c r="K16" s="129"/>
    </row>
    <row r="17" spans="1:11" s="34" customFormat="1" ht="15" customHeight="1" x14ac:dyDescent="0.25">
      <c r="A17" s="19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4"/>
      <c r="B18" s="34" t="s">
        <v>184</v>
      </c>
      <c r="C18" s="11" t="s">
        <v>16</v>
      </c>
      <c r="D18" s="127">
        <f ca="1">SUM(E18:J18)</f>
        <v>314</v>
      </c>
      <c r="E18" s="128">
        <f ca="1">INDIRECT(ADDRESS(ROW(K18),$C$3 -2010 + 4,,,"1a_SpaceHeating"))</f>
        <v>314</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sqref="A1:B1"/>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Hungary</v>
      </c>
      <c r="D2" s="1"/>
      <c r="E2" s="5"/>
      <c r="F2" s="3"/>
      <c r="G2" s="3"/>
      <c r="H2" s="3"/>
      <c r="I2" s="3"/>
      <c r="J2" s="3"/>
      <c r="K2" s="3"/>
    </row>
    <row r="3" spans="1:11" ht="18" customHeight="1" x14ac:dyDescent="0.25">
      <c r="A3" s="188" t="s">
        <v>2</v>
      </c>
      <c r="B3" s="189"/>
      <c r="C3" s="1">
        <f>Table1_Totals!C3</f>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16</v>
      </c>
      <c r="D6" s="120">
        <f ca="1">SUM(E6:J6)</f>
        <v>40932</v>
      </c>
      <c r="E6" s="121">
        <f ca="1">Table1_Totals!E6*3.6</f>
        <v>1434.2616</v>
      </c>
      <c r="F6" s="121">
        <f ca="1">Table1_Totals!F6*3.6</f>
        <v>332.57159999999999</v>
      </c>
      <c r="G6" s="121">
        <f ca="1">Table1_Totals!G6*3.6</f>
        <v>12356.355600000001</v>
      </c>
      <c r="H6" s="121">
        <f ca="1">Table1_Totals!H6*3.6</f>
        <v>1474.2072000000001</v>
      </c>
      <c r="I6" s="121">
        <f ca="1">Table1_Totals!I6*3.6</f>
        <v>25334.604000000003</v>
      </c>
      <c r="J6" s="121">
        <f ca="1">Table1_Totals!J6*3.6</f>
        <v>0</v>
      </c>
      <c r="K6" s="122"/>
    </row>
    <row r="7" spans="1:11" ht="24" customHeight="1" x14ac:dyDescent="0.25">
      <c r="A7" s="195" t="s">
        <v>15</v>
      </c>
      <c r="B7" s="196"/>
      <c r="C7" s="109" t="s">
        <v>16</v>
      </c>
      <c r="D7" s="123">
        <f t="shared" ref="D7:D18" ca="1" si="0">SUM(E7:J7)</f>
        <v>19568</v>
      </c>
      <c r="E7" s="124">
        <f ca="1">Table1_Totals!E7</f>
        <v>14535</v>
      </c>
      <c r="F7" s="125"/>
      <c r="G7" s="124">
        <f ca="1">Table1_Totals!G7</f>
        <v>5033</v>
      </c>
      <c r="H7" s="124">
        <f ca="1">Table1_Totals!H7</f>
        <v>0</v>
      </c>
      <c r="I7" s="125"/>
      <c r="J7" s="124">
        <f ca="1">Table1_Totals!J7</f>
        <v>0</v>
      </c>
      <c r="K7" s="125"/>
    </row>
    <row r="8" spans="1:11" ht="24" customHeight="1" x14ac:dyDescent="0.25">
      <c r="A8" s="195" t="s">
        <v>29</v>
      </c>
      <c r="B8" s="196"/>
      <c r="C8" s="109" t="s">
        <v>16</v>
      </c>
      <c r="D8" s="123">
        <f t="shared" ca="1" si="0"/>
        <v>118510.2009</v>
      </c>
      <c r="E8" s="124">
        <f ca="1">Table1_Totals!E8*0.9</f>
        <v>98405.514899999995</v>
      </c>
      <c r="F8" s="125"/>
      <c r="G8" s="124">
        <f ca="1">Table1_Totals!G8*0.9</f>
        <v>12010.1589</v>
      </c>
      <c r="H8" s="124">
        <f ca="1">Table1_Totals!H8*0.9</f>
        <v>8094.5271000000002</v>
      </c>
      <c r="I8" s="125"/>
      <c r="J8" s="124">
        <f ca="1">Table1_Totals!J8*0.9</f>
        <v>0</v>
      </c>
      <c r="K8" s="125"/>
    </row>
    <row r="9" spans="1:11" ht="24" customHeight="1" x14ac:dyDescent="0.25">
      <c r="A9" s="195" t="s">
        <v>156</v>
      </c>
      <c r="B9" s="196"/>
      <c r="C9" s="109" t="s">
        <v>16</v>
      </c>
      <c r="D9" s="123">
        <f t="shared" ca="1" si="0"/>
        <v>3972.123</v>
      </c>
      <c r="E9" s="124">
        <f ca="1">IF(Table1_Totals!E9&lt;&gt;0,IF(Table1_Totals!$K9&lt;&gt;0,Table1_Totals!E9*Table1_Totals!$K9/1000,"Please check CV"),"0,000")</f>
        <v>3972.123</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14237</v>
      </c>
    </row>
    <row r="10" spans="1:11" ht="24" customHeight="1" x14ac:dyDescent="0.25">
      <c r="A10" s="195" t="s">
        <v>42</v>
      </c>
      <c r="B10" s="196"/>
      <c r="C10" s="109" t="s">
        <v>16</v>
      </c>
      <c r="D10" s="123">
        <f t="shared" ca="1" si="0"/>
        <v>3183.7061399999998</v>
      </c>
      <c r="E10" s="124">
        <f ca="1">IF(Table1_Totals!E10&lt;&gt;0,IF(Table1_Totals!$K10&lt;&gt;0,Table1_Totals!E10*Table1_Totals!$K10/1000,"Please check CV"),"0,000")</f>
        <v>405.57059999999996</v>
      </c>
      <c r="F10" s="125"/>
      <c r="G10" s="124">
        <f ca="1">IF(Table1_Totals!G10&lt;&gt;0,IF(Table1_Totals!$K10&lt;&gt;0,Table1_Totals!G10*Table1_Totals!$K10/1000,"Please check CV"),"0,000")</f>
        <v>451.11077999999998</v>
      </c>
      <c r="H10" s="124">
        <f ca="1">IF(Table1_Totals!H10&lt;&gt;0,IF(Table1_Totals!$K10&lt;&gt;0,Table1_Totals!H10*Table1_Totals!$K10/1000,"Please check CV"),"0,000")</f>
        <v>2327.0247599999998</v>
      </c>
      <c r="I10" s="125"/>
      <c r="J10" s="124" t="str">
        <f ca="1">IF(Table1_Totals!J10&lt;&gt;0,IF(Table1_Totals!$K10&lt;&gt;0,Table1_Totals!J10*Table1_Totals!$K10/1000,"Please check CV"),"0,000")</f>
        <v>0,000</v>
      </c>
      <c r="K10" s="126">
        <f ca="1">Table1_Totals!K10</f>
        <v>46140</v>
      </c>
    </row>
    <row r="11" spans="1:11" s="34" customFormat="1" ht="15" customHeight="1" x14ac:dyDescent="0.25">
      <c r="A11" s="194" t="s">
        <v>18</v>
      </c>
      <c r="B11" s="10" t="s">
        <v>21</v>
      </c>
      <c r="C11" s="11" t="s">
        <v>16</v>
      </c>
      <c r="D11" s="127">
        <f t="shared" ca="1" si="0"/>
        <v>3183.7061399999998</v>
      </c>
      <c r="E11" s="128">
        <f ca="1">IF(Table1_Totals!E11&lt;&gt;0,IF(Table1_Totals!$K11&lt;&gt;0,Table1_Totals!E11*Table1_Totals!$K11/1000,"Please check CV"),"0,000")</f>
        <v>405.57059999999996</v>
      </c>
      <c r="F11" s="129"/>
      <c r="G11" s="128">
        <f ca="1">IF(Table1_Totals!G11&lt;&gt;0,IF(Table1_Totals!$K11&lt;&gt;0,Table1_Totals!G11*Table1_Totals!$K11/1000,"Please check CV"),"0,000")</f>
        <v>451.11077999999998</v>
      </c>
      <c r="H11" s="128">
        <f ca="1">IF(Table1_Totals!H11&lt;&gt;0,IF(Table1_Totals!$K11&lt;&gt;0,Table1_Totals!H11*Table1_Totals!$K11/1000,"Please check CV"),"0,000")</f>
        <v>2327.0247599999998</v>
      </c>
      <c r="I11" s="129"/>
      <c r="J11" s="128" t="str">
        <f ca="1">IF(Table1_Totals!J11&lt;&gt;0,IF(Table1_Totals!$K11&lt;&gt;0,Table1_Totals!J11*Table1_Totals!$K11/1000,"Please check CV"),"0,000")</f>
        <v>0,000</v>
      </c>
      <c r="K11" s="130">
        <f ca="1">Table1_Totals!K11</f>
        <v>46140</v>
      </c>
    </row>
    <row r="12" spans="1:11" s="34" customFormat="1" ht="15" customHeight="1" x14ac:dyDescent="0.25">
      <c r="A12" s="194"/>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94"/>
      <c r="B13" s="10" t="s">
        <v>23</v>
      </c>
      <c r="C13" s="11" t="s">
        <v>16</v>
      </c>
      <c r="D13" s="127">
        <f t="shared" ca="1" si="0"/>
        <v>0</v>
      </c>
      <c r="E13" s="128" t="str">
        <f ca="1">IF(Table1_Totals!E13&lt;&gt;0,IF(Table1_Totals!$K13&lt;&gt;0,Table1_Totals!E13*Table1_Totals!$K13/1000,"Please check CV"),"0,000")</f>
        <v>0,000</v>
      </c>
      <c r="F13" s="129"/>
      <c r="G13" s="128" t="str">
        <f ca="1">IF(Table1_Totals!G13&lt;&gt;0,IF(Table1_Totals!$K13&lt;&gt;0,Table1_Totals!G13*Table1_Totals!$K13/1000,"Please check CV"),"0,000")</f>
        <v>0,000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0</v>
      </c>
    </row>
    <row r="14" spans="1:11" ht="24" customHeight="1" x14ac:dyDescent="0.25">
      <c r="A14" s="195" t="s">
        <v>43</v>
      </c>
      <c r="B14" s="196"/>
      <c r="C14" s="109" t="s">
        <v>16</v>
      </c>
      <c r="D14" s="123">
        <f t="shared" ca="1" si="0"/>
        <v>57446.331000000006</v>
      </c>
      <c r="E14" s="124">
        <f ca="1">Table1_Totals!E14</f>
        <v>56008.673000000003</v>
      </c>
      <c r="F14" s="125"/>
      <c r="G14" s="124">
        <f ca="1">Table1_Totals!G14</f>
        <v>1418.2660000000001</v>
      </c>
      <c r="H14" s="124">
        <f ca="1">Table1_Totals!H14</f>
        <v>19.391999999999999</v>
      </c>
      <c r="I14" s="125"/>
      <c r="J14" s="124">
        <f ca="1">Table1_Totals!J14</f>
        <v>0</v>
      </c>
      <c r="K14" s="125"/>
    </row>
    <row r="15" spans="1:11" s="34" customFormat="1" ht="15" customHeight="1" x14ac:dyDescent="0.25">
      <c r="A15" s="194" t="s">
        <v>18</v>
      </c>
      <c r="B15" s="10" t="s">
        <v>26</v>
      </c>
      <c r="C15" s="11" t="s">
        <v>16</v>
      </c>
      <c r="D15" s="127">
        <f t="shared" ca="1" si="0"/>
        <v>517</v>
      </c>
      <c r="E15" s="128">
        <f ca="1">Table1_Totals!E15</f>
        <v>0</v>
      </c>
      <c r="F15" s="129"/>
      <c r="G15" s="128">
        <f ca="1">Table1_Totals!G15</f>
        <v>517</v>
      </c>
      <c r="H15" s="128">
        <f ca="1">Table1_Totals!H15</f>
        <v>0</v>
      </c>
      <c r="I15" s="129"/>
      <c r="J15" s="128">
        <f ca="1">Table1_Totals!J15</f>
        <v>0</v>
      </c>
      <c r="K15" s="129"/>
    </row>
    <row r="16" spans="1:11" s="34" customFormat="1" ht="15" customHeight="1" x14ac:dyDescent="0.25">
      <c r="A16" s="194"/>
      <c r="B16" s="10" t="s">
        <v>27</v>
      </c>
      <c r="C16" s="11" t="s">
        <v>16</v>
      </c>
      <c r="D16" s="127">
        <f t="shared" ca="1" si="0"/>
        <v>56615.331000000006</v>
      </c>
      <c r="E16" s="128">
        <f ca="1">Table1_Totals!E16</f>
        <v>55694.673000000003</v>
      </c>
      <c r="F16" s="129"/>
      <c r="G16" s="128">
        <f ca="1">Table1_Totals!G16</f>
        <v>901.26599999999996</v>
      </c>
      <c r="H16" s="128">
        <f ca="1">Table1_Totals!H16</f>
        <v>19.391999999999999</v>
      </c>
      <c r="I16" s="129"/>
      <c r="J16" s="128">
        <f ca="1">Table1_Totals!J16</f>
        <v>0</v>
      </c>
      <c r="K16" s="129"/>
    </row>
    <row r="17" spans="1:11" s="34" customFormat="1" ht="15" customHeight="1" x14ac:dyDescent="0.25">
      <c r="A17" s="19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4"/>
      <c r="B18" s="34" t="s">
        <v>184</v>
      </c>
      <c r="C18" s="11" t="s">
        <v>16</v>
      </c>
      <c r="D18" s="127">
        <f t="shared" ca="1" si="0"/>
        <v>314</v>
      </c>
      <c r="E18" s="128">
        <f ca="1">Table1_Totals!E18</f>
        <v>314</v>
      </c>
      <c r="F18" s="129"/>
      <c r="G18" s="128">
        <f ca="1">Table1_Totals!G18</f>
        <v>0</v>
      </c>
      <c r="H18" s="128">
        <f ca="1">Table1_Totals!H18</f>
        <v>0</v>
      </c>
      <c r="I18" s="129"/>
      <c r="J18" s="128">
        <f ca="1">Table1_Totals!J18</f>
        <v>0</v>
      </c>
      <c r="K18" s="129"/>
    </row>
    <row r="19" spans="1:11" ht="24" customHeight="1" x14ac:dyDescent="0.25">
      <c r="A19" s="195" t="s">
        <v>171</v>
      </c>
      <c r="B19" s="196"/>
      <c r="C19" s="109" t="s">
        <v>16</v>
      </c>
      <c r="D19" s="123">
        <f t="shared" ref="D19" ca="1" si="2">SUM(E19:J19)</f>
        <v>243612.36104000002</v>
      </c>
      <c r="E19" s="124">
        <f ca="1">SUM(E6:E10,E14)</f>
        <v>174761.14310000002</v>
      </c>
      <c r="F19" s="124">
        <f t="shared" ref="F19:J19" ca="1" si="3">SUM(F6:F10,F14)</f>
        <v>332.57159999999999</v>
      </c>
      <c r="G19" s="124">
        <f t="shared" ca="1" si="3"/>
        <v>31268.891280000003</v>
      </c>
      <c r="H19" s="124">
        <f t="shared" ca="1" si="3"/>
        <v>11915.15106</v>
      </c>
      <c r="I19" s="124">
        <f t="shared" ca="1" si="3"/>
        <v>25334.604000000003</v>
      </c>
      <c r="J19" s="124">
        <f t="shared" ca="1" si="3"/>
        <v>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L10" sqref="L10"/>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398.661</v>
      </c>
      <c r="J6" s="60">
        <v>415.50200000000001</v>
      </c>
      <c r="K6" s="60">
        <v>420.94799999999998</v>
      </c>
      <c r="L6" s="60">
        <v>398.40600000000001</v>
      </c>
      <c r="M6" s="60"/>
      <c r="N6" s="60"/>
      <c r="O6" s="60"/>
      <c r="DS6" s="4" t="str">
        <f>VLOOKUP(Cover!$D$15, Country_list!$B$3:$C$44, 2, 0)</f>
        <v>HU</v>
      </c>
      <c r="DT6" s="33" t="s">
        <v>289</v>
      </c>
      <c r="DV6" s="33" t="s">
        <v>302</v>
      </c>
      <c r="EB6" s="33" t="s">
        <v>291</v>
      </c>
      <c r="ED6" s="33" t="s">
        <v>294</v>
      </c>
    </row>
    <row r="7" spans="1:134" ht="24" customHeight="1" x14ac:dyDescent="0.25">
      <c r="A7" s="174" t="s">
        <v>15</v>
      </c>
      <c r="B7" s="198"/>
      <c r="C7" s="9" t="s">
        <v>25</v>
      </c>
      <c r="D7" s="61"/>
      <c r="E7" s="58"/>
      <c r="F7" s="58"/>
      <c r="G7" s="58"/>
      <c r="H7" s="58"/>
      <c r="I7" s="58">
        <v>14557.557000000001</v>
      </c>
      <c r="J7" s="58">
        <v>15534.284</v>
      </c>
      <c r="K7" s="58">
        <v>15989.754000000001</v>
      </c>
      <c r="L7" s="58">
        <v>14535</v>
      </c>
      <c r="M7" s="58"/>
      <c r="N7" s="58"/>
      <c r="O7" s="58"/>
      <c r="DT7" s="33" t="s">
        <v>290</v>
      </c>
      <c r="EB7" s="33" t="s">
        <v>291</v>
      </c>
      <c r="ED7" s="33" t="s">
        <v>295</v>
      </c>
    </row>
    <row r="8" spans="1:134" ht="24" customHeight="1" x14ac:dyDescent="0.25">
      <c r="A8" s="174" t="s">
        <v>29</v>
      </c>
      <c r="B8" s="198"/>
      <c r="C8" s="9" t="s">
        <v>17</v>
      </c>
      <c r="D8" s="61"/>
      <c r="E8" s="58"/>
      <c r="F8" s="58"/>
      <c r="G8" s="58"/>
      <c r="H8" s="58"/>
      <c r="I8" s="58">
        <v>99239.672000000006</v>
      </c>
      <c r="J8" s="58">
        <v>108025.50900000001</v>
      </c>
      <c r="K8" s="58">
        <v>115465.056</v>
      </c>
      <c r="L8" s="58">
        <v>109339.461</v>
      </c>
      <c r="M8" s="58"/>
      <c r="N8" s="58"/>
      <c r="O8" s="58"/>
      <c r="DT8" s="33" t="s">
        <v>231</v>
      </c>
      <c r="EB8" s="33" t="s">
        <v>291</v>
      </c>
      <c r="ED8" s="33" t="s">
        <v>296</v>
      </c>
    </row>
    <row r="9" spans="1:134" ht="24" customHeight="1" x14ac:dyDescent="0.25">
      <c r="A9" s="174" t="s">
        <v>156</v>
      </c>
      <c r="B9" s="198"/>
      <c r="C9" s="9" t="s">
        <v>19</v>
      </c>
      <c r="D9" s="61"/>
      <c r="E9" s="58"/>
      <c r="F9" s="58"/>
      <c r="G9" s="58"/>
      <c r="H9" s="58"/>
      <c r="I9" s="58">
        <v>400</v>
      </c>
      <c r="J9" s="58">
        <v>398</v>
      </c>
      <c r="K9" s="58">
        <v>433</v>
      </c>
      <c r="L9" s="58">
        <v>279</v>
      </c>
      <c r="M9" s="58"/>
      <c r="N9" s="58"/>
      <c r="O9" s="58"/>
      <c r="DT9" s="33" t="s">
        <v>279</v>
      </c>
      <c r="EB9" s="33" t="s">
        <v>292</v>
      </c>
      <c r="ED9" s="33" t="s">
        <v>293</v>
      </c>
    </row>
    <row r="10" spans="1:134" ht="24" customHeight="1" x14ac:dyDescent="0.25">
      <c r="A10" s="174" t="s">
        <v>20</v>
      </c>
      <c r="B10" s="198"/>
      <c r="C10" s="9" t="s">
        <v>19</v>
      </c>
      <c r="D10" s="61"/>
      <c r="E10" s="58"/>
      <c r="F10" s="58"/>
      <c r="G10" s="58"/>
      <c r="H10" s="58"/>
      <c r="I10" s="58">
        <v>9.2799999999999994</v>
      </c>
      <c r="J10" s="58">
        <v>6.8789999999999996</v>
      </c>
      <c r="K10" s="58">
        <v>8.6620000000000008</v>
      </c>
      <c r="L10" s="58">
        <v>8.7899999999999991</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v>8.2799999999999994</v>
      </c>
      <c r="J11" s="113">
        <v>6.8789999999999996</v>
      </c>
      <c r="K11" s="113">
        <v>8.6620000000000008</v>
      </c>
      <c r="L11" s="113">
        <v>8.7899999999999991</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72883.334000000003</v>
      </c>
      <c r="J14" s="58">
        <v>70999.254000000001</v>
      </c>
      <c r="K14" s="58">
        <v>67323</v>
      </c>
      <c r="L14" s="58">
        <v>56008.673000000003</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73"/>
      <c r="B16" s="110" t="s">
        <v>27</v>
      </c>
      <c r="C16" s="111" t="s">
        <v>25</v>
      </c>
      <c r="D16" s="112"/>
      <c r="E16" s="113"/>
      <c r="F16" s="113"/>
      <c r="G16" s="113"/>
      <c r="H16" s="113"/>
      <c r="I16" s="113">
        <v>72883.334000000003</v>
      </c>
      <c r="J16" s="113">
        <v>70999.254000000001</v>
      </c>
      <c r="K16" s="113">
        <v>67053.535999999993</v>
      </c>
      <c r="L16" s="113">
        <v>55694.673000000003</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184</v>
      </c>
      <c r="C18" s="111" t="s">
        <v>25</v>
      </c>
      <c r="D18" s="112"/>
      <c r="E18" s="112"/>
      <c r="F18" s="112"/>
      <c r="G18" s="112"/>
      <c r="H18" s="112"/>
      <c r="I18" s="112"/>
      <c r="J18" s="112"/>
      <c r="K18" s="112">
        <v>269</v>
      </c>
      <c r="L18" s="112">
        <v>314</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I6" sqref="I6"/>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1"/>
      <c r="C6" s="8" t="s">
        <v>14</v>
      </c>
      <c r="D6" s="59"/>
      <c r="E6" s="60"/>
      <c r="F6" s="60"/>
      <c r="G6" s="60"/>
      <c r="H6" s="60"/>
      <c r="I6" s="60">
        <v>75.268000000000001</v>
      </c>
      <c r="J6" s="60">
        <v>76.021000000000001</v>
      </c>
      <c r="K6" s="60">
        <v>86.989000000000004</v>
      </c>
      <c r="L6" s="60">
        <v>92.381</v>
      </c>
      <c r="M6" s="60"/>
      <c r="N6" s="60"/>
      <c r="O6" s="60"/>
      <c r="DS6" s="4" t="str">
        <f>VLOOKUP(Cover!$D$15, Country_list!$B$3:$C$44, 2, 0)</f>
        <v>HU</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L10" sqref="L10"/>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8</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3459.42</v>
      </c>
      <c r="J6" s="60">
        <v>3450.614</v>
      </c>
      <c r="K6" s="60">
        <v>3439.0569999999998</v>
      </c>
      <c r="L6" s="60">
        <v>3432.3209999999999</v>
      </c>
      <c r="M6" s="60"/>
      <c r="N6" s="60"/>
      <c r="O6" s="60"/>
      <c r="DS6" s="4" t="str">
        <f>VLOOKUP(Cover!$D$15, Country_list!$B$3:$C$44, 2, 0)</f>
        <v>HU</v>
      </c>
      <c r="DT6" s="33" t="s">
        <v>289</v>
      </c>
      <c r="DV6" s="33" t="s">
        <v>304</v>
      </c>
      <c r="EB6" s="33" t="s">
        <v>291</v>
      </c>
      <c r="ED6" s="33" t="s">
        <v>294</v>
      </c>
    </row>
    <row r="7" spans="1:134" ht="24" customHeight="1" x14ac:dyDescent="0.25">
      <c r="A7" s="174" t="s">
        <v>15</v>
      </c>
      <c r="B7" s="198"/>
      <c r="C7" s="9" t="s">
        <v>25</v>
      </c>
      <c r="D7" s="61"/>
      <c r="E7" s="58"/>
      <c r="F7" s="58"/>
      <c r="G7" s="58"/>
      <c r="H7" s="58"/>
      <c r="I7" s="58">
        <v>5043.4430000000002</v>
      </c>
      <c r="J7" s="58">
        <v>5023.7160000000003</v>
      </c>
      <c r="K7" s="58">
        <v>4888.2460000000001</v>
      </c>
      <c r="L7" s="58">
        <v>5033</v>
      </c>
      <c r="M7" s="58"/>
      <c r="N7" s="58"/>
      <c r="O7" s="58"/>
      <c r="DT7" s="33" t="s">
        <v>290</v>
      </c>
      <c r="EB7" s="33" t="s">
        <v>291</v>
      </c>
      <c r="ED7" s="33" t="s">
        <v>295</v>
      </c>
    </row>
    <row r="8" spans="1:134" ht="24" customHeight="1" x14ac:dyDescent="0.25">
      <c r="A8" s="174" t="s">
        <v>29</v>
      </c>
      <c r="B8" s="198"/>
      <c r="C8" s="9" t="s">
        <v>17</v>
      </c>
      <c r="D8" s="61"/>
      <c r="E8" s="58"/>
      <c r="F8" s="58"/>
      <c r="G8" s="58"/>
      <c r="H8" s="58"/>
      <c r="I8" s="58">
        <v>13449.976000000001</v>
      </c>
      <c r="J8" s="58">
        <v>13813.638000000001</v>
      </c>
      <c r="K8" s="58">
        <v>13767.374</v>
      </c>
      <c r="L8" s="58">
        <v>13344.620999999999</v>
      </c>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v>9.2100000000000009</v>
      </c>
      <c r="J10" s="58">
        <v>7.6509999999999998</v>
      </c>
      <c r="K10" s="58">
        <v>9.6349999999999998</v>
      </c>
      <c r="L10" s="58">
        <v>9.7769999999999992</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v>9.2100000000000009</v>
      </c>
      <c r="J11" s="113">
        <v>7.6509999999999998</v>
      </c>
      <c r="K11" s="113">
        <v>9.6349999999999998</v>
      </c>
      <c r="L11" s="113">
        <v>9.7769999999999992</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1420.546</v>
      </c>
      <c r="J14" s="58">
        <v>1415.173</v>
      </c>
      <c r="K14" s="58">
        <v>1386.0340000000001</v>
      </c>
      <c r="L14" s="58">
        <v>1418.2660000000001</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v>439</v>
      </c>
      <c r="J15" s="113">
        <v>459</v>
      </c>
      <c r="K15" s="113">
        <v>483</v>
      </c>
      <c r="L15" s="113">
        <v>517</v>
      </c>
      <c r="M15" s="113"/>
      <c r="N15" s="113"/>
      <c r="O15" s="113"/>
      <c r="DT15" s="34" t="s">
        <v>285</v>
      </c>
      <c r="EB15" s="34" t="s">
        <v>291</v>
      </c>
      <c r="ED15" s="34" t="s">
        <v>295</v>
      </c>
    </row>
    <row r="16" spans="1:134" s="34" customFormat="1" ht="15" customHeight="1" x14ac:dyDescent="0.25">
      <c r="A16" s="173"/>
      <c r="B16" s="110" t="s">
        <v>27</v>
      </c>
      <c r="C16" s="111" t="s">
        <v>25</v>
      </c>
      <c r="D16" s="112"/>
      <c r="E16" s="113"/>
      <c r="F16" s="113"/>
      <c r="G16" s="113"/>
      <c r="H16" s="113"/>
      <c r="I16" s="113">
        <v>981.54600000000005</v>
      </c>
      <c r="J16" s="113">
        <v>956.173</v>
      </c>
      <c r="K16" s="113">
        <v>903.03399999999999</v>
      </c>
      <c r="L16" s="113">
        <v>901.26599999999996</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3"/>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A5" sqref="A5:B5"/>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9</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412.73500000000001</v>
      </c>
      <c r="J6" s="60">
        <v>411.68400000000003</v>
      </c>
      <c r="K6" s="60">
        <v>410.30500000000001</v>
      </c>
      <c r="L6" s="60">
        <v>409.50200000000001</v>
      </c>
      <c r="M6" s="60"/>
      <c r="N6" s="60"/>
      <c r="O6" s="60"/>
      <c r="DS6" s="4" t="str">
        <f>VLOOKUP(Cover!$D$15, Country_list!$B$3:$C$44, 2, 0)</f>
        <v>HU</v>
      </c>
      <c r="DT6" s="33" t="s">
        <v>289</v>
      </c>
      <c r="DV6" s="33" t="s">
        <v>305</v>
      </c>
      <c r="EB6" s="33" t="s">
        <v>291</v>
      </c>
      <c r="ED6" s="33" t="s">
        <v>294</v>
      </c>
    </row>
    <row r="7" spans="1:134" ht="24" customHeight="1" x14ac:dyDescent="0.25">
      <c r="A7" s="174" t="s">
        <v>15</v>
      </c>
      <c r="B7" s="198"/>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198"/>
      <c r="C8" s="9" t="s">
        <v>17</v>
      </c>
      <c r="D8" s="61"/>
      <c r="E8" s="58"/>
      <c r="F8" s="58"/>
      <c r="G8" s="58"/>
      <c r="H8" s="58"/>
      <c r="I8" s="58">
        <v>9064.9249999999993</v>
      </c>
      <c r="J8" s="58">
        <v>9041.8520000000008</v>
      </c>
      <c r="K8" s="58">
        <v>9011.5689999999995</v>
      </c>
      <c r="L8" s="58">
        <v>8993.9189999999999</v>
      </c>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v>47.51</v>
      </c>
      <c r="J10" s="58">
        <v>39.47</v>
      </c>
      <c r="K10" s="58">
        <v>49.703000000000003</v>
      </c>
      <c r="L10" s="58">
        <v>50.433999999999997</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v>47.51</v>
      </c>
      <c r="J11" s="113">
        <v>39.47</v>
      </c>
      <c r="K11" s="113">
        <v>49.703000000000003</v>
      </c>
      <c r="L11" s="113">
        <v>50.433999999999997</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21.119</v>
      </c>
      <c r="J14" s="58">
        <v>20.573</v>
      </c>
      <c r="K14" s="58">
        <v>19.43</v>
      </c>
      <c r="L14" s="58">
        <v>19.391999999999999</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v>21.119</v>
      </c>
      <c r="J16" s="113">
        <v>20.573</v>
      </c>
      <c r="K16" s="113">
        <v>19.43</v>
      </c>
      <c r="L16" s="113">
        <v>19.391999999999999</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I6" sqref="I6"/>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v>6492.9160000000002</v>
      </c>
      <c r="J6" s="63">
        <v>6600.1790000000001</v>
      </c>
      <c r="K6" s="63">
        <v>6891.4250000000002</v>
      </c>
      <c r="L6" s="63">
        <v>7037.39</v>
      </c>
      <c r="M6" s="63"/>
      <c r="N6" s="63"/>
      <c r="O6" s="63"/>
      <c r="DS6" s="4" t="str">
        <f>VLOOKUP(Cover!$D$15, Country_list!$B$3:$C$44, 2, 0)</f>
        <v>HU</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209"/>
      <c r="C6" s="8" t="s">
        <v>14</v>
      </c>
      <c r="D6" s="59"/>
      <c r="E6" s="60"/>
      <c r="F6" s="60"/>
      <c r="G6" s="60"/>
      <c r="H6" s="60"/>
      <c r="I6" s="60"/>
      <c r="J6" s="60"/>
      <c r="K6" s="60"/>
      <c r="L6" s="60"/>
      <c r="M6" s="60"/>
      <c r="N6" s="60"/>
      <c r="O6" s="60"/>
      <c r="DS6" s="4" t="str">
        <f>VLOOKUP(Cover!$D$15, Country_list!$B$3:$C$44, 2, 0)</f>
        <v>HU</v>
      </c>
      <c r="DT6" s="33" t="s">
        <v>289</v>
      </c>
      <c r="DV6" s="33" t="s">
        <v>307</v>
      </c>
      <c r="EB6" s="33" t="s">
        <v>291</v>
      </c>
      <c r="ED6" s="33" t="s">
        <v>294</v>
      </c>
    </row>
    <row r="7" spans="1:134" ht="24" customHeight="1" x14ac:dyDescent="0.25">
      <c r="A7" s="174" t="s">
        <v>15</v>
      </c>
      <c r="B7" s="210"/>
      <c r="C7" s="9" t="s">
        <v>25</v>
      </c>
      <c r="D7" s="61"/>
      <c r="E7" s="58"/>
      <c r="F7" s="58"/>
      <c r="G7" s="58"/>
      <c r="H7" s="58"/>
      <c r="I7" s="58"/>
      <c r="J7" s="58"/>
      <c r="K7" s="58"/>
      <c r="L7" s="58"/>
      <c r="M7" s="58"/>
      <c r="N7" s="58"/>
      <c r="O7" s="58"/>
      <c r="DT7" s="33" t="s">
        <v>290</v>
      </c>
      <c r="EB7" s="33" t="s">
        <v>291</v>
      </c>
      <c r="ED7" s="33" t="s">
        <v>295</v>
      </c>
    </row>
    <row r="8" spans="1:134" ht="24" customHeight="1" x14ac:dyDescent="0.25">
      <c r="A8" s="174" t="s">
        <v>29</v>
      </c>
      <c r="B8" s="210"/>
      <c r="C8" s="9" t="s">
        <v>17</v>
      </c>
      <c r="D8" s="61"/>
      <c r="E8" s="58"/>
      <c r="F8" s="58"/>
      <c r="G8" s="58"/>
      <c r="H8" s="58"/>
      <c r="I8" s="58"/>
      <c r="J8" s="58"/>
      <c r="K8" s="58"/>
      <c r="L8" s="58"/>
      <c r="M8" s="58"/>
      <c r="N8" s="58"/>
      <c r="O8" s="58"/>
      <c r="DT8" s="33" t="s">
        <v>231</v>
      </c>
      <c r="EB8" s="33" t="s">
        <v>291</v>
      </c>
      <c r="ED8" s="33" t="s">
        <v>296</v>
      </c>
    </row>
    <row r="9" spans="1:134" ht="24" customHeight="1" x14ac:dyDescent="0.25">
      <c r="A9" s="174" t="s">
        <v>156</v>
      </c>
      <c r="B9" s="198"/>
      <c r="C9" s="9" t="s">
        <v>19</v>
      </c>
      <c r="D9" s="61"/>
      <c r="E9" s="58"/>
      <c r="F9" s="58"/>
      <c r="G9" s="58"/>
      <c r="H9" s="58"/>
      <c r="I9" s="58"/>
      <c r="J9" s="58"/>
      <c r="K9" s="58"/>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
      </c>
      <c r="I46" s="99" t="str">
        <f>IF(Calorific_Values!J13&lt;&gt;0,IF(AND(40000&lt;=Calorific_Values!J13,Calorific_Values!J13&lt;=45000),"TRUE","FALSE"),"")</f>
        <v/>
      </c>
      <c r="J46" s="99" t="str">
        <f>IF(Calorific_Values!K13&lt;&gt;0,IF(AND(40000&lt;=Calorific_Values!K13,Calorific_Values!K13&lt;=45000),"TRUE","FALSE"),"")</f>
        <v/>
      </c>
      <c r="K46" s="99" t="str">
        <f>IF(Calorific_Values!L13&lt;&gt;0,IF(AND(40000&lt;=Calorific_Values!L13,Calorific_Values!L13&lt;=45000),"TRUE","FALSE"),"")</f>
        <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2020-01-30T14:08:11Z</dcterms:modified>
  <cp:category>Annual questionnaires</cp:category>
</cp:coreProperties>
</file>