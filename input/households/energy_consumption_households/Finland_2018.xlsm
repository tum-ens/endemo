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28680" yWindow="-120" windowWidth="29040" windowHeight="1764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S6" i="7" l="1"/>
  <c r="DS6" i="8"/>
  <c r="DS6" i="9"/>
  <c r="DS6" i="10"/>
  <c r="DS6" i="11"/>
  <c r="DS6" i="6"/>
  <c r="DS6" i="4"/>
  <c r="C24" i="14"/>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C42" i="14"/>
  <c r="C2" i="15"/>
  <c r="D27" i="14"/>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c r="E15" i="14"/>
  <c r="F15" i="14"/>
  <c r="G15" i="14"/>
  <c r="H15" i="14"/>
  <c r="I15" i="14"/>
  <c r="J15" i="14"/>
  <c r="C15" i="14"/>
  <c r="D13" i="14"/>
  <c r="E13" i="14"/>
  <c r="F13" i="14"/>
  <c r="G13" i="14"/>
  <c r="H13" i="14"/>
  <c r="I13" i="14"/>
  <c r="J13" i="14"/>
  <c r="C13" i="14"/>
  <c r="D11" i="14"/>
  <c r="E11" i="14"/>
  <c r="F11" i="14"/>
  <c r="G11" i="14"/>
  <c r="H11" i="14"/>
  <c r="I11" i="14"/>
  <c r="J11" i="14"/>
  <c r="C11" i="14"/>
  <c r="C4" i="14"/>
  <c r="C2" i="5"/>
  <c r="K11" i="5"/>
  <c r="E16" i="5"/>
  <c r="E14" i="5"/>
  <c r="J10" i="5"/>
  <c r="G8" i="5"/>
  <c r="J15" i="5"/>
  <c r="K9" i="5"/>
  <c r="K13" i="5"/>
  <c r="G16" i="5"/>
  <c r="J11" i="5"/>
  <c r="H16" i="5"/>
  <c r="E8" i="5"/>
  <c r="K12" i="5"/>
  <c r="G13" i="5"/>
  <c r="J12" i="5"/>
  <c r="G15" i="5"/>
  <c r="G6" i="5"/>
  <c r="F6" i="5"/>
  <c r="G14" i="5"/>
  <c r="H13" i="5"/>
  <c r="G9" i="5"/>
  <c r="K10" i="5"/>
  <c r="J13" i="5"/>
  <c r="E9" i="5"/>
  <c r="H12" i="5"/>
  <c r="J16" i="5"/>
  <c r="E6" i="5"/>
  <c r="H14" i="5"/>
  <c r="H9" i="5"/>
  <c r="J6" i="5"/>
  <c r="E13" i="5"/>
  <c r="I6" i="5"/>
  <c r="E10" i="5"/>
  <c r="J14" i="5"/>
  <c r="G11" i="5"/>
  <c r="E12" i="5"/>
  <c r="J17" i="5"/>
  <c r="E15" i="5"/>
  <c r="E7" i="5"/>
  <c r="G7" i="5"/>
  <c r="J8" i="5"/>
  <c r="H7" i="5"/>
  <c r="H11" i="5"/>
  <c r="J9" i="5"/>
  <c r="H6" i="5"/>
  <c r="J18" i="5"/>
  <c r="G18" i="5"/>
  <c r="H10" i="5"/>
  <c r="G10" i="5"/>
  <c r="G12" i="5"/>
  <c r="H15" i="5"/>
  <c r="E11" i="5"/>
  <c r="J7" i="5"/>
  <c r="E17" i="5"/>
  <c r="H18" i="5"/>
  <c r="H8" i="5"/>
  <c r="E18" i="5"/>
  <c r="H17" i="5"/>
  <c r="G17" i="5"/>
  <c r="H9" i="15" l="1"/>
  <c r="J12" i="15"/>
  <c r="H17" i="15"/>
  <c r="G18" i="15"/>
  <c r="H14" i="15"/>
  <c r="G13" i="15"/>
  <c r="I6" i="15"/>
  <c r="I19" i="15" s="1"/>
  <c r="J18" i="15"/>
  <c r="D6" i="5"/>
  <c r="E6" i="15"/>
  <c r="K12" i="15"/>
  <c r="E13" i="15"/>
  <c r="D13" i="5"/>
  <c r="H6" i="15"/>
  <c r="J16" i="15"/>
  <c r="E8" i="15"/>
  <c r="D8" i="5"/>
  <c r="D18" i="5"/>
  <c r="E18" i="15"/>
  <c r="J9" i="15"/>
  <c r="H12" i="15"/>
  <c r="H16" i="15"/>
  <c r="H8" i="15"/>
  <c r="H11" i="15"/>
  <c r="E9" i="15"/>
  <c r="D9" i="5"/>
  <c r="J11" i="15"/>
  <c r="J6" i="15"/>
  <c r="H7" i="15"/>
  <c r="J13" i="15"/>
  <c r="G16" i="15"/>
  <c r="H18" i="15"/>
  <c r="J8" i="15"/>
  <c r="K10" i="15"/>
  <c r="K13" i="15"/>
  <c r="E17" i="15"/>
  <c r="D17" i="5"/>
  <c r="G7" i="15"/>
  <c r="G9" i="15"/>
  <c r="K9" i="15"/>
  <c r="J7" i="15"/>
  <c r="E7" i="15"/>
  <c r="D7" i="5"/>
  <c r="H13" i="15"/>
  <c r="J15" i="15"/>
  <c r="E11" i="15"/>
  <c r="D11" i="5"/>
  <c r="E15" i="15"/>
  <c r="D15" i="5"/>
  <c r="G14" i="15"/>
  <c r="G8" i="15"/>
  <c r="H15" i="15"/>
  <c r="J17" i="15"/>
  <c r="F6" i="15"/>
  <c r="F19" i="15" s="1"/>
  <c r="F20" i="15" s="1"/>
  <c r="J10" i="15"/>
  <c r="G12" i="15"/>
  <c r="D12" i="5"/>
  <c r="E12" i="15"/>
  <c r="G6" i="15"/>
  <c r="E14" i="15"/>
  <c r="D14" i="5"/>
  <c r="G10" i="15"/>
  <c r="G11" i="15"/>
  <c r="G15" i="15"/>
  <c r="D16" i="5"/>
  <c r="E16" i="15"/>
  <c r="H10" i="15"/>
  <c r="J14" i="15"/>
  <c r="D10" i="5"/>
  <c r="E10" i="15"/>
  <c r="K11" i="15"/>
  <c r="G17" i="15"/>
  <c r="D7" i="15" l="1"/>
  <c r="D8" i="15"/>
  <c r="D10" i="15"/>
  <c r="D16" i="15"/>
  <c r="D11" i="15"/>
  <c r="H19" i="15"/>
  <c r="H20" i="15" s="1"/>
  <c r="D14" i="15"/>
  <c r="D15" i="15"/>
  <c r="D17" i="15"/>
  <c r="J19" i="15"/>
  <c r="J20" i="15" s="1"/>
  <c r="D13" i="15"/>
  <c r="G19" i="15"/>
  <c r="G20" i="15" s="1"/>
  <c r="D18" i="15"/>
  <c r="D12" i="15"/>
  <c r="D6" i="15"/>
  <c r="E19" i="15"/>
  <c r="D9"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<sst xmlns="http://schemas.openxmlformats.org/spreadsheetml/2006/main" count="952" uniqueCount="315">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</sst>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69</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J27" sqref="J27"/>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1" t="s">
        <v>0</v>
      </c>
      <c r="B1" s="172"/>
      <c r="C1" s="20"/>
      <c r="D1" s="1"/>
      <c r="E1" s="2"/>
      <c r="F1" s="2"/>
      <c r="G1" s="2"/>
      <c r="H1" s="2"/>
      <c r="I1" s="2"/>
      <c r="J1" s="2"/>
      <c r="K1" s="2"/>
      <c r="L1" s="2"/>
      <c r="M1" s="2"/>
      <c r="N1" s="2"/>
      <c r="O1" s="2"/>
    </row>
    <row r="2" spans="1:134" ht="18" customHeight="1" x14ac:dyDescent="0.25">
      <c r="A2" s="173"/>
      <c r="B2" s="174"/>
      <c r="C2" s="1"/>
      <c r="D2" s="1"/>
      <c r="E2" s="5"/>
      <c r="F2" s="3"/>
      <c r="G2" s="3"/>
      <c r="H2" s="3"/>
      <c r="I2" s="3"/>
      <c r="J2" s="3"/>
      <c r="K2" s="3"/>
      <c r="L2" s="3"/>
      <c r="M2" s="3"/>
      <c r="N2" s="3"/>
      <c r="O2" s="3"/>
    </row>
    <row r="3" spans="1:134" ht="18" customHeight="1" x14ac:dyDescent="0.3">
      <c r="A3" s="175" t="s">
        <v>12</v>
      </c>
      <c r="B3" s="176"/>
      <c r="C3" s="1"/>
      <c r="D3" s="1"/>
      <c r="E3" s="5"/>
      <c r="F3" s="3"/>
      <c r="G3" s="3"/>
      <c r="H3" s="3"/>
      <c r="I3" s="3"/>
      <c r="J3" s="3"/>
      <c r="K3" s="3"/>
      <c r="L3" s="3"/>
      <c r="M3" s="3"/>
      <c r="N3" s="3"/>
      <c r="O3" s="3"/>
      <c r="DS3" s="4" t="s">
        <v>229</v>
      </c>
    </row>
    <row r="4" spans="1:134" ht="18" customHeight="1" x14ac:dyDescent="0.25">
      <c r="A4" s="177"/>
      <c r="B4" s="174"/>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8"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1"/>
      <c r="C6" s="47"/>
      <c r="D6" s="48"/>
      <c r="E6" s="49"/>
      <c r="F6" s="49"/>
      <c r="G6" s="49"/>
      <c r="H6" s="49"/>
      <c r="I6" s="49"/>
      <c r="J6" s="49"/>
      <c r="K6" s="49"/>
      <c r="L6" s="49"/>
      <c r="M6" s="49"/>
      <c r="N6" s="49"/>
      <c r="O6" s="49"/>
      <c r="DS6" s="4" t="str">
        <f>VLOOKUP(Cover!$D$15, Country_list!$B$3:$C$44, 2, 0)</f>
        <v>FI</v>
      </c>
      <c r="DV6" s="4" t="s">
        <v>298</v>
      </c>
    </row>
    <row r="7" spans="1:134" ht="24" customHeight="1" x14ac:dyDescent="0.2">
      <c r="A7" s="183" t="s">
        <v>15</v>
      </c>
      <c r="B7" s="184"/>
      <c r="C7" s="45"/>
      <c r="D7" s="15"/>
      <c r="E7" s="46"/>
      <c r="F7" s="46"/>
      <c r="G7" s="46"/>
      <c r="H7" s="46"/>
      <c r="I7" s="46"/>
      <c r="J7" s="46"/>
      <c r="K7" s="46"/>
      <c r="L7" s="46"/>
      <c r="M7" s="46"/>
      <c r="N7" s="46"/>
      <c r="O7" s="46"/>
    </row>
    <row r="8" spans="1:134" ht="24" customHeight="1" x14ac:dyDescent="0.2">
      <c r="A8" s="183" t="s">
        <v>29</v>
      </c>
      <c r="B8" s="184"/>
      <c r="C8" s="45"/>
      <c r="D8" s="15"/>
      <c r="E8" s="46"/>
      <c r="F8" s="46"/>
      <c r="G8" s="46"/>
      <c r="H8" s="46"/>
      <c r="I8" s="46"/>
      <c r="J8" s="46"/>
      <c r="K8" s="46"/>
      <c r="L8" s="46"/>
      <c r="M8" s="46"/>
      <c r="N8" s="46"/>
      <c r="O8" s="46"/>
    </row>
    <row r="9" spans="1:134" ht="24" customHeight="1" x14ac:dyDescent="0.2">
      <c r="A9" s="183" t="s">
        <v>156</v>
      </c>
      <c r="B9" s="184"/>
      <c r="C9" s="9" t="s">
        <v>132</v>
      </c>
      <c r="D9" s="93"/>
      <c r="E9" s="94"/>
      <c r="F9" s="94"/>
      <c r="G9" s="94"/>
      <c r="H9" s="94"/>
      <c r="I9" s="94">
        <v>10492</v>
      </c>
      <c r="J9" s="94">
        <v>10304</v>
      </c>
      <c r="K9" s="94">
        <v>9920</v>
      </c>
      <c r="L9" s="94">
        <v>10170</v>
      </c>
      <c r="M9" s="94"/>
      <c r="N9" s="94"/>
      <c r="O9" s="94"/>
      <c r="DT9" s="4" t="s">
        <v>279</v>
      </c>
      <c r="EB9" s="4" t="s">
        <v>300</v>
      </c>
      <c r="ED9" s="4" t="s">
        <v>301</v>
      </c>
    </row>
    <row r="10" spans="1:134" ht="24" customHeight="1" x14ac:dyDescent="0.2">
      <c r="A10" s="183" t="s">
        <v>20</v>
      </c>
      <c r="B10" s="184"/>
      <c r="C10" s="9" t="s">
        <v>132</v>
      </c>
      <c r="D10" s="93"/>
      <c r="E10" s="94"/>
      <c r="F10" s="94"/>
      <c r="G10" s="94"/>
      <c r="H10" s="94"/>
      <c r="I10" s="94">
        <v>43213</v>
      </c>
      <c r="J10" s="94">
        <v>43214</v>
      </c>
      <c r="K10" s="94">
        <v>43063</v>
      </c>
      <c r="L10" s="94">
        <v>43046</v>
      </c>
      <c r="M10" s="94"/>
      <c r="N10" s="94"/>
      <c r="O10" s="94"/>
      <c r="DT10" s="4" t="s">
        <v>280</v>
      </c>
      <c r="EB10" s="4" t="s">
        <v>300</v>
      </c>
      <c r="ED10" s="4" t="s">
        <v>301</v>
      </c>
    </row>
    <row r="11" spans="1:134" s="13" customFormat="1" ht="15" customHeight="1" x14ac:dyDescent="0.2">
      <c r="A11" s="182" t="s">
        <v>18</v>
      </c>
      <c r="B11" s="110" t="s">
        <v>21</v>
      </c>
      <c r="C11" s="111" t="s">
        <v>132</v>
      </c>
      <c r="D11" s="115"/>
      <c r="E11" s="115"/>
      <c r="F11" s="116"/>
      <c r="G11" s="116"/>
      <c r="H11" s="116"/>
      <c r="I11" s="116">
        <v>46300</v>
      </c>
      <c r="J11" s="116">
        <v>46300</v>
      </c>
      <c r="K11" s="116">
        <v>46300</v>
      </c>
      <c r="L11" s="116">
        <v>46300</v>
      </c>
      <c r="M11" s="116"/>
      <c r="N11" s="116"/>
      <c r="O11" s="116"/>
      <c r="DT11" s="13" t="s">
        <v>281</v>
      </c>
      <c r="EB11" s="13" t="s">
        <v>300</v>
      </c>
      <c r="ED11" s="13" t="s">
        <v>301</v>
      </c>
    </row>
    <row r="12" spans="1:134" s="13" customFormat="1" ht="15" customHeight="1" x14ac:dyDescent="0.2">
      <c r="A12" s="182"/>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82"/>
      <c r="B13" s="110" t="s">
        <v>23</v>
      </c>
      <c r="C13" s="111" t="s">
        <v>132</v>
      </c>
      <c r="D13" s="115"/>
      <c r="E13" s="115"/>
      <c r="F13" s="115"/>
      <c r="G13" s="115"/>
      <c r="H13" s="115"/>
      <c r="I13" s="116">
        <v>43200</v>
      </c>
      <c r="J13" s="116">
        <v>43200</v>
      </c>
      <c r="K13" s="116">
        <v>43200</v>
      </c>
      <c r="L13" s="115">
        <v>43200</v>
      </c>
      <c r="M13" s="115"/>
      <c r="N13" s="115"/>
      <c r="O13" s="115"/>
      <c r="DT13" s="13" t="s">
        <v>283</v>
      </c>
      <c r="EB13" s="13" t="s">
        <v>300</v>
      </c>
      <c r="ED13" s="13" t="s">
        <v>301</v>
      </c>
    </row>
    <row r="14" spans="1:134" ht="24" customHeight="1" x14ac:dyDescent="0.2">
      <c r="A14" s="183" t="s">
        <v>24</v>
      </c>
      <c r="B14" s="184"/>
      <c r="C14" s="45"/>
      <c r="D14" s="15"/>
      <c r="E14" s="46"/>
      <c r="F14" s="46"/>
      <c r="G14" s="46"/>
      <c r="H14" s="46"/>
      <c r="I14" s="46"/>
      <c r="J14" s="46"/>
      <c r="K14" s="46"/>
      <c r="L14" s="46"/>
      <c r="M14" s="46"/>
      <c r="N14" s="46"/>
      <c r="O14" s="46"/>
    </row>
    <row r="15" spans="1:134" s="13" customFormat="1" ht="15" customHeight="1" x14ac:dyDescent="0.2">
      <c r="A15" s="182" t="s">
        <v>18</v>
      </c>
      <c r="B15" s="110" t="s">
        <v>26</v>
      </c>
      <c r="C15" s="14"/>
      <c r="D15" s="15"/>
      <c r="E15" s="12"/>
      <c r="F15" s="12"/>
      <c r="G15" s="12"/>
      <c r="H15" s="12"/>
      <c r="I15" s="12"/>
      <c r="J15" s="12"/>
      <c r="K15" s="12"/>
      <c r="L15" s="12"/>
      <c r="M15" s="12"/>
      <c r="N15" s="12"/>
      <c r="O15" s="12"/>
    </row>
    <row r="16" spans="1:134" s="13" customFormat="1" ht="15" customHeight="1" x14ac:dyDescent="0.2">
      <c r="A16" s="182"/>
      <c r="B16" s="110" t="s">
        <v>27</v>
      </c>
      <c r="C16" s="14"/>
      <c r="D16" s="15"/>
      <c r="E16" s="12"/>
      <c r="F16" s="12"/>
      <c r="G16" s="12"/>
      <c r="H16" s="12"/>
      <c r="I16" s="12"/>
      <c r="J16" s="12"/>
      <c r="K16" s="12"/>
      <c r="L16" s="12"/>
      <c r="M16" s="12"/>
      <c r="N16" s="12"/>
      <c r="O16" s="12"/>
    </row>
    <row r="17" spans="1:15" s="13" customFormat="1" ht="15" customHeight="1" x14ac:dyDescent="0.2">
      <c r="A17" s="182"/>
      <c r="B17" s="110" t="s">
        <v>28</v>
      </c>
      <c r="C17" s="14"/>
      <c r="D17" s="15"/>
      <c r="E17" s="12"/>
      <c r="F17" s="12"/>
      <c r="G17" s="12"/>
      <c r="H17" s="12"/>
      <c r="I17" s="12"/>
      <c r="J17" s="12"/>
      <c r="K17" s="12"/>
      <c r="L17" s="12"/>
      <c r="M17" s="12"/>
      <c r="N17" s="12"/>
      <c r="O17" s="12"/>
    </row>
    <row r="18" spans="1:15" s="13" customFormat="1" ht="15" customHeight="1" x14ac:dyDescent="0.2">
      <c r="A18" s="18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F32" sqref="F32"/>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Finland</v>
      </c>
      <c r="D2" s="1"/>
      <c r="E2" s="5"/>
      <c r="F2" s="3"/>
      <c r="G2" s="3"/>
      <c r="H2" s="3"/>
      <c r="I2" s="3"/>
      <c r="J2" s="3"/>
      <c r="K2" s="3"/>
    </row>
    <row r="3" spans="1:11" ht="18" customHeight="1" x14ac:dyDescent="0.25">
      <c r="A3" s="191" t="s">
        <v>2</v>
      </c>
      <c r="B3" s="193"/>
      <c r="C3" s="114">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14</v>
      </c>
      <c r="D6" s="120">
        <f ca="1">SUM(E6:J6)</f>
        <v>22731</v>
      </c>
      <c r="E6" s="121">
        <f ca="1">INDIRECT(ADDRESS(ROW(K6),$C$3 -2010 + 4,,,"1a_SpaceHeating"))</f>
        <v>10720</v>
      </c>
      <c r="F6" s="121">
        <f ca="1">INDIRECT(ADDRESS(ROW(K6),$C$3-2010+4,,,"1b_SpaceCooling"))</f>
        <v>92</v>
      </c>
      <c r="G6" s="121">
        <f ca="1">INDIRECT(ADDRESS(ROW(K6),$C$3-2010+4,,,"1c_WaterHeating"))</f>
        <v>2490</v>
      </c>
      <c r="H6" s="121">
        <f ca="1">INDIRECT(ADDRESS(ROW(K6),$C$3-2010+4,,,"1d_Cooking"))</f>
        <v>594</v>
      </c>
      <c r="I6" s="121">
        <f ca="1">INDIRECT(ADDRESS(ROW(K6),$C$3-2010+4,,,"1e_LightingAndAppliances"))</f>
        <v>7610</v>
      </c>
      <c r="J6" s="121">
        <f ca="1">INDIRECT(ADDRESS(ROW(K6),$C$3-2010+4,,,"1f_OtherEndUses"))</f>
        <v>1225</v>
      </c>
      <c r="K6" s="122"/>
    </row>
    <row r="7" spans="1:11" ht="24" customHeight="1" x14ac:dyDescent="0.25">
      <c r="A7" s="186" t="s">
        <v>15</v>
      </c>
      <c r="B7" s="187"/>
      <c r="C7" s="109" t="s">
        <v>16</v>
      </c>
      <c r="D7" s="123">
        <f t="shared" ref="D7:D16" ca="1" si="0">SUM(E7:J7)</f>
        <v>67414</v>
      </c>
      <c r="E7" s="124">
        <f t="shared" ref="E7:E16" ca="1" si="1">INDIRECT(ADDRESS(ROW(K7),$C$3 -2010 + 4,,,"1a_SpaceHeating"))</f>
        <v>47646</v>
      </c>
      <c r="F7" s="125"/>
      <c r="G7" s="124">
        <f t="shared" ref="G7:G16" ca="1" si="2">INDIRECT(ADDRESS(ROW(K7),$C$3-2010+4,,,"1c_WaterHeating"))</f>
        <v>19768</v>
      </c>
      <c r="H7" s="124">
        <f t="shared" ref="H7:H16" ca="1" si="3">INDIRECT(ADDRESS(ROW(K7),$C$3-2010+4,,,"1d_Cooking"))</f>
        <v>0</v>
      </c>
      <c r="I7" s="125"/>
      <c r="J7" s="124">
        <f t="shared" ref="J7:J17" ca="1" si="4">INDIRECT(ADDRESS(ROW(K7),$C$3-2010+4,,,"1f_OtherEndUses"))</f>
        <v>0</v>
      </c>
      <c r="K7" s="125"/>
    </row>
    <row r="8" spans="1:11" ht="24" customHeight="1" x14ac:dyDescent="0.25">
      <c r="A8" s="186" t="s">
        <v>29</v>
      </c>
      <c r="B8" s="187"/>
      <c r="C8" s="109" t="s">
        <v>17</v>
      </c>
      <c r="D8" s="123">
        <f t="shared" ca="1" si="0"/>
        <v>1140</v>
      </c>
      <c r="E8" s="124">
        <f t="shared" ca="1" si="1"/>
        <v>884</v>
      </c>
      <c r="F8" s="125"/>
      <c r="G8" s="124">
        <f t="shared" ca="1" si="2"/>
        <v>236</v>
      </c>
      <c r="H8" s="124">
        <f t="shared" ca="1" si="3"/>
        <v>20</v>
      </c>
      <c r="I8" s="125"/>
      <c r="J8" s="124">
        <f t="shared" ca="1" si="4"/>
        <v>0</v>
      </c>
      <c r="K8" s="125"/>
    </row>
    <row r="9" spans="1:11" ht="24" customHeight="1" x14ac:dyDescent="0.25">
      <c r="A9" s="186" t="s">
        <v>156</v>
      </c>
      <c r="B9" s="187"/>
      <c r="C9" s="109" t="s">
        <v>19</v>
      </c>
      <c r="D9" s="123">
        <f t="shared" ca="1" si="0"/>
        <v>15</v>
      </c>
      <c r="E9" s="124">
        <f t="shared" ca="1" si="1"/>
        <v>10</v>
      </c>
      <c r="F9" s="125"/>
      <c r="G9" s="124">
        <f t="shared" ca="1" si="2"/>
        <v>5</v>
      </c>
      <c r="H9" s="124">
        <f t="shared" ca="1" si="3"/>
        <v>0</v>
      </c>
      <c r="I9" s="125"/>
      <c r="J9" s="124">
        <f t="shared" ca="1" si="4"/>
        <v>0</v>
      </c>
      <c r="K9" s="126">
        <f ca="1">INDIRECT(ADDRESS(ROW(K9),$C$3-2010+4,,,"Calorific_Values"))</f>
        <v>10170</v>
      </c>
    </row>
    <row r="10" spans="1:11" ht="24" customHeight="1" x14ac:dyDescent="0.25">
      <c r="A10" s="186" t="s">
        <v>42</v>
      </c>
      <c r="B10" s="187"/>
      <c r="C10" s="109" t="s">
        <v>19</v>
      </c>
      <c r="D10" s="123">
        <f t="shared" ca="1" si="0"/>
        <v>324</v>
      </c>
      <c r="E10" s="124">
        <f t="shared" ca="1" si="1"/>
        <v>220</v>
      </c>
      <c r="F10" s="125"/>
      <c r="G10" s="124">
        <f t="shared" ca="1" si="2"/>
        <v>54</v>
      </c>
      <c r="H10" s="124">
        <f t="shared" ca="1" si="3"/>
        <v>4</v>
      </c>
      <c r="I10" s="125"/>
      <c r="J10" s="124">
        <f t="shared" ca="1" si="4"/>
        <v>46</v>
      </c>
      <c r="K10" s="126">
        <f ca="1">INDIRECT(ADDRESS(ROW(K10),$C$3-2010+4,,,"Calorific_Values"))</f>
        <v>43046</v>
      </c>
    </row>
    <row r="11" spans="1:11" s="34" customFormat="1" ht="15" customHeight="1" x14ac:dyDescent="0.25">
      <c r="A11" s="185" t="s">
        <v>18</v>
      </c>
      <c r="B11" s="10" t="s">
        <v>21</v>
      </c>
      <c r="C11" s="11" t="s">
        <v>19</v>
      </c>
      <c r="D11" s="127">
        <f t="shared" ca="1" si="0"/>
        <v>4</v>
      </c>
      <c r="E11" s="128">
        <f t="shared" ca="1" si="1"/>
        <v>0</v>
      </c>
      <c r="F11" s="129"/>
      <c r="G11" s="128">
        <f t="shared" ca="1" si="2"/>
        <v>0</v>
      </c>
      <c r="H11" s="128">
        <f t="shared" ca="1" si="3"/>
        <v>4</v>
      </c>
      <c r="I11" s="129"/>
      <c r="J11" s="128">
        <f t="shared" ca="1" si="4"/>
        <v>0</v>
      </c>
      <c r="K11" s="130">
        <f t="shared" ref="K11:K13" ca="1" si="5">INDIRECT(ADDRESS(ROW(K11),$C$3-2010+4,,,"Calorific_Values"))</f>
        <v>46300</v>
      </c>
    </row>
    <row r="12" spans="1:11" s="34" customFormat="1" ht="15" customHeight="1" x14ac:dyDescent="0.25">
      <c r="A12" s="185"/>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85"/>
      <c r="B13" s="10" t="s">
        <v>23</v>
      </c>
      <c r="C13" s="11" t="s">
        <v>19</v>
      </c>
      <c r="D13" s="127">
        <f t="shared" ca="1" si="0"/>
        <v>271</v>
      </c>
      <c r="E13" s="128">
        <f t="shared" ca="1" si="1"/>
        <v>218</v>
      </c>
      <c r="F13" s="129"/>
      <c r="G13" s="128">
        <f t="shared" ca="1" si="2"/>
        <v>53</v>
      </c>
      <c r="H13" s="128">
        <f t="shared" ca="1" si="3"/>
        <v>0</v>
      </c>
      <c r="I13" s="129"/>
      <c r="J13" s="128">
        <f t="shared" ca="1" si="4"/>
        <v>0</v>
      </c>
      <c r="K13" s="130">
        <f t="shared" ca="1" si="5"/>
        <v>43200</v>
      </c>
    </row>
    <row r="14" spans="1:11" ht="24" customHeight="1" x14ac:dyDescent="0.25">
      <c r="A14" s="186" t="s">
        <v>43</v>
      </c>
      <c r="B14" s="187"/>
      <c r="C14" s="109" t="s">
        <v>16</v>
      </c>
      <c r="D14" s="123">
        <f t="shared" ca="1" si="0"/>
        <v>73968</v>
      </c>
      <c r="E14" s="124">
        <f t="shared" ca="1" si="1"/>
        <v>62747</v>
      </c>
      <c r="F14" s="125"/>
      <c r="G14" s="124">
        <f t="shared" ca="1" si="2"/>
        <v>4604</v>
      </c>
      <c r="H14" s="124">
        <f t="shared" ca="1" si="3"/>
        <v>0</v>
      </c>
      <c r="I14" s="125"/>
      <c r="J14" s="124">
        <f t="shared" ca="1" si="4"/>
        <v>6617</v>
      </c>
      <c r="K14" s="125"/>
    </row>
    <row r="15" spans="1:11" s="34" customFormat="1" ht="15" customHeight="1" x14ac:dyDescent="0.25">
      <c r="A15" s="185" t="s">
        <v>18</v>
      </c>
      <c r="B15" s="10" t="s">
        <v>26</v>
      </c>
      <c r="C15" s="11" t="s">
        <v>16</v>
      </c>
      <c r="D15" s="127">
        <f t="shared" ca="1" si="0"/>
        <v>83</v>
      </c>
      <c r="E15" s="128">
        <f t="shared" ca="1" si="1"/>
        <v>83</v>
      </c>
      <c r="F15" s="129"/>
      <c r="G15" s="128">
        <f t="shared" ca="1" si="2"/>
        <v>0</v>
      </c>
      <c r="H15" s="128">
        <f t="shared" ca="1" si="3"/>
        <v>0</v>
      </c>
      <c r="I15" s="129"/>
      <c r="J15" s="128">
        <f t="shared" ca="1" si="4"/>
        <v>0</v>
      </c>
      <c r="K15" s="129"/>
    </row>
    <row r="16" spans="1:11" s="34" customFormat="1" ht="15" customHeight="1" x14ac:dyDescent="0.25">
      <c r="A16" s="185"/>
      <c r="B16" s="10" t="s">
        <v>27</v>
      </c>
      <c r="C16" s="11" t="s">
        <v>16</v>
      </c>
      <c r="D16" s="127">
        <f t="shared" ca="1" si="0"/>
        <v>52393</v>
      </c>
      <c r="E16" s="128">
        <f t="shared" ca="1" si="1"/>
        <v>44213</v>
      </c>
      <c r="F16" s="129"/>
      <c r="G16" s="128">
        <f t="shared" ca="1" si="2"/>
        <v>1563</v>
      </c>
      <c r="H16" s="128">
        <f t="shared" ca="1" si="3"/>
        <v>0</v>
      </c>
      <c r="I16" s="129"/>
      <c r="J16" s="128">
        <f t="shared" ca="1" si="4"/>
        <v>6617</v>
      </c>
      <c r="K16" s="129"/>
    </row>
    <row r="17" spans="1:11" s="34" customFormat="1" ht="15" customHeight="1" x14ac:dyDescent="0.25">
      <c r="A17" s="185"/>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5"/>
      <c r="B18" s="34" t="s">
        <v>184</v>
      </c>
      <c r="C18" s="11" t="s">
        <v>16</v>
      </c>
      <c r="D18" s="127">
        <f ca="1">SUM(E18:J18)</f>
        <v>21492</v>
      </c>
      <c r="E18" s="128">
        <f ca="1">INDIRECT(ADDRESS(ROW(K18),$C$3 -2010 + 4,,,"1a_SpaceHeating"))</f>
        <v>18451</v>
      </c>
      <c r="F18" s="129"/>
      <c r="G18" s="128">
        <f ca="1">INDIRECT(ADDRESS(ROW(K18),$C$3-2010+4,,,"1c_WaterHeating"))</f>
        <v>3041</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 sqref="D1"/>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Finland</v>
      </c>
      <c r="D2" s="1"/>
      <c r="E2" s="5"/>
      <c r="F2" s="3"/>
      <c r="G2" s="3"/>
      <c r="H2" s="3"/>
      <c r="I2" s="3"/>
      <c r="J2" s="3"/>
      <c r="K2" s="3"/>
    </row>
    <row r="3" spans="1:11" ht="18" customHeight="1" x14ac:dyDescent="0.25">
      <c r="A3" s="191" t="s">
        <v>2</v>
      </c>
      <c r="B3" s="192"/>
      <c r="C3" s="1">
        <f>Table1_Totals!C3</f>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16</v>
      </c>
      <c r="D6" s="120">
        <f ca="1">SUM(E6:J6)</f>
        <v>81831.600000000006</v>
      </c>
      <c r="E6" s="121">
        <f ca="1">Table1_Totals!E6*3.6</f>
        <v>38592</v>
      </c>
      <c r="F6" s="121">
        <f ca="1">Table1_Totals!F6*3.6</f>
        <v>331.2</v>
      </c>
      <c r="G6" s="121">
        <f ca="1">Table1_Totals!G6*3.6</f>
        <v>8964</v>
      </c>
      <c r="H6" s="121">
        <f ca="1">Table1_Totals!H6*3.6</f>
        <v>2138.4</v>
      </c>
      <c r="I6" s="121">
        <f ca="1">Table1_Totals!I6*3.6</f>
        <v>27396</v>
      </c>
      <c r="J6" s="121">
        <f ca="1">Table1_Totals!J6*3.6</f>
        <v>4410</v>
      </c>
      <c r="K6" s="122"/>
    </row>
    <row r="7" spans="1:11" ht="24" customHeight="1" x14ac:dyDescent="0.25">
      <c r="A7" s="186" t="s">
        <v>15</v>
      </c>
      <c r="B7" s="187"/>
      <c r="C7" s="109" t="s">
        <v>16</v>
      </c>
      <c r="D7" s="123">
        <f t="shared" ref="D7:D18" ca="1" si="0">SUM(E7:J7)</f>
        <v>67414</v>
      </c>
      <c r="E7" s="124">
        <f ca="1">Table1_Totals!E7</f>
        <v>47646</v>
      </c>
      <c r="F7" s="125"/>
      <c r="G7" s="124">
        <f ca="1">Table1_Totals!G7</f>
        <v>19768</v>
      </c>
      <c r="H7" s="124">
        <f ca="1">Table1_Totals!H7</f>
        <v>0</v>
      </c>
      <c r="I7" s="125"/>
      <c r="J7" s="124">
        <f ca="1">Table1_Totals!J7</f>
        <v>0</v>
      </c>
      <c r="K7" s="125"/>
    </row>
    <row r="8" spans="1:11" ht="24" customHeight="1" x14ac:dyDescent="0.25">
      <c r="A8" s="186" t="s">
        <v>29</v>
      </c>
      <c r="B8" s="187"/>
      <c r="C8" s="109" t="s">
        <v>16</v>
      </c>
      <c r="D8" s="123">
        <f t="shared" ca="1" si="0"/>
        <v>1026</v>
      </c>
      <c r="E8" s="124">
        <f ca="1">Table1_Totals!E8*0.9</f>
        <v>795.6</v>
      </c>
      <c r="F8" s="125"/>
      <c r="G8" s="124">
        <f ca="1">Table1_Totals!G8*0.9</f>
        <v>212.4</v>
      </c>
      <c r="H8" s="124">
        <f ca="1">Table1_Totals!H8*0.9</f>
        <v>18</v>
      </c>
      <c r="I8" s="125"/>
      <c r="J8" s="124">
        <f ca="1">Table1_Totals!J8*0.9</f>
        <v>0</v>
      </c>
      <c r="K8" s="125"/>
    </row>
    <row r="9" spans="1:11" ht="24" customHeight="1" x14ac:dyDescent="0.25">
      <c r="A9" s="186" t="s">
        <v>156</v>
      </c>
      <c r="B9" s="187"/>
      <c r="C9" s="109" t="s">
        <v>16</v>
      </c>
      <c r="D9" s="123">
        <f t="shared" ca="1" si="0"/>
        <v>152.55000000000001</v>
      </c>
      <c r="E9" s="124">
        <f ca="1">IF(Table1_Totals!E9&lt;&gt;0,IF(Table1_Totals!$K9&lt;&gt;0,Table1_Totals!E9*Table1_Totals!$K9/1000,"Please check CV"),"0,000")</f>
        <v>101.7</v>
      </c>
      <c r="F9" s="125"/>
      <c r="G9" s="124">
        <f ca="1">IF(Table1_Totals!G9&lt;&gt;0,IF(Table1_Totals!$K9&lt;&gt;0,Table1_Totals!G9*Table1_Totals!$K$9/1000,"Please check CV"),"0,000")</f>
        <v>50.85</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10170</v>
      </c>
    </row>
    <row r="10" spans="1:11" ht="24" customHeight="1" x14ac:dyDescent="0.25">
      <c r="A10" s="186" t="s">
        <v>42</v>
      </c>
      <c r="B10" s="187"/>
      <c r="C10" s="109" t="s">
        <v>16</v>
      </c>
      <c r="D10" s="123">
        <f t="shared" ca="1" si="0"/>
        <v>13946.904</v>
      </c>
      <c r="E10" s="124">
        <f ca="1">IF(Table1_Totals!E10&lt;&gt;0,IF(Table1_Totals!$K10&lt;&gt;0,Table1_Totals!E10*Table1_Totals!$K10/1000,"Please check CV"),"0,000")</f>
        <v>9470.1200000000008</v>
      </c>
      <c r="F10" s="125"/>
      <c r="G10" s="124">
        <f ca="1">IF(Table1_Totals!G10&lt;&gt;0,IF(Table1_Totals!$K10&lt;&gt;0,Table1_Totals!G10*Table1_Totals!$K10/1000,"Please check CV"),"0,000")</f>
        <v>2324.4839999999999</v>
      </c>
      <c r="H10" s="124">
        <f ca="1">IF(Table1_Totals!H10&lt;&gt;0,IF(Table1_Totals!$K10&lt;&gt;0,Table1_Totals!H10*Table1_Totals!$K10/1000,"Please check CV"),"0,000")</f>
        <v>172.184</v>
      </c>
      <c r="I10" s="125"/>
      <c r="J10" s="124">
        <f ca="1">IF(Table1_Totals!J10&lt;&gt;0,IF(Table1_Totals!$K10&lt;&gt;0,Table1_Totals!J10*Table1_Totals!$K10/1000,"Please check CV"),"0,000")</f>
        <v>1980.116</v>
      </c>
      <c r="K10" s="126">
        <f ca="1">Table1_Totals!K10</f>
        <v>43046</v>
      </c>
    </row>
    <row r="11" spans="1:11" s="34" customFormat="1" ht="15" customHeight="1" x14ac:dyDescent="0.25">
      <c r="A11" s="185" t="s">
        <v>18</v>
      </c>
      <c r="B11" s="10" t="s">
        <v>21</v>
      </c>
      <c r="C11" s="11" t="s">
        <v>16</v>
      </c>
      <c r="D11" s="127">
        <f t="shared" ca="1" si="0"/>
        <v>185.2</v>
      </c>
      <c r="E11" s="128" t="str">
        <f ca="1">IF(Table1_Totals!E11&lt;&gt;0,IF(Table1_Totals!$K11&lt;&gt;0,Table1_Totals!E11*Table1_Totals!$K11/1000,"Please check CV"),"0,000")</f>
        <v>0,000</v>
      </c>
      <c r="F11" s="129"/>
      <c r="G11" s="128" t="str">
        <f ca="1">IF(Table1_Totals!G11&lt;&gt;0,IF(Table1_Totals!$K11&lt;&gt;0,Table1_Totals!G11*Table1_Totals!$K11/1000,"Please check CV"),"0,000")</f>
        <v>0,000</v>
      </c>
      <c r="H11" s="128">
        <f ca="1">IF(Table1_Totals!H11&lt;&gt;0,IF(Table1_Totals!$K11&lt;&gt;0,Table1_Totals!H11*Table1_Totals!$K11/1000,"Please check CV"),"0,000")</f>
        <v>185.2</v>
      </c>
      <c r="I11" s="129"/>
      <c r="J11" s="128" t="str">
        <f ca="1">IF(Table1_Totals!J11&lt;&gt;0,IF(Table1_Totals!$K11&lt;&gt;0,Table1_Totals!J11*Table1_Totals!$K11/1000,"Please check CV"),"0,000")</f>
        <v>0,000</v>
      </c>
      <c r="K11" s="130">
        <f ca="1">Table1_Totals!K11</f>
        <v>46300</v>
      </c>
    </row>
    <row r="12" spans="1:11" s="34" customFormat="1" ht="15" customHeight="1" x14ac:dyDescent="0.25">
      <c r="A12" s="185"/>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85"/>
      <c r="B13" s="10" t="s">
        <v>23</v>
      </c>
      <c r="C13" s="11" t="s">
        <v>16</v>
      </c>
      <c r="D13" s="127">
        <f t="shared" ca="1" si="0"/>
        <v>11707.2</v>
      </c>
      <c r="E13" s="128">
        <f ca="1">IF(Table1_Totals!E13&lt;&gt;0,IF(Table1_Totals!$K13&lt;&gt;0,Table1_Totals!E13*Table1_Totals!$K13/1000,"Please check CV"),"0,000")</f>
        <v>9417.6</v>
      </c>
      <c r="F13" s="129"/>
      <c r="G13" s="128">
        <f ca="1">IF(Table1_Totals!G13&lt;&gt;0,IF(Table1_Totals!$K13&lt;&gt;0,Table1_Totals!G13*Table1_Totals!$K13/1000,"Please check CV"),"0,000")</f>
        <v>2289.6</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43200</v>
      </c>
    </row>
    <row r="14" spans="1:11" ht="24" customHeight="1" x14ac:dyDescent="0.25">
      <c r="A14" s="186" t="s">
        <v>43</v>
      </c>
      <c r="B14" s="187"/>
      <c r="C14" s="109" t="s">
        <v>16</v>
      </c>
      <c r="D14" s="123">
        <f t="shared" ca="1" si="0"/>
        <v>73968</v>
      </c>
      <c r="E14" s="124">
        <f ca="1">Table1_Totals!E14</f>
        <v>62747</v>
      </c>
      <c r="F14" s="125"/>
      <c r="G14" s="124">
        <f ca="1">Table1_Totals!G14</f>
        <v>4604</v>
      </c>
      <c r="H14" s="124">
        <f ca="1">Table1_Totals!H14</f>
        <v>0</v>
      </c>
      <c r="I14" s="125"/>
      <c r="J14" s="124">
        <f ca="1">Table1_Totals!J14</f>
        <v>6617</v>
      </c>
      <c r="K14" s="125"/>
    </row>
    <row r="15" spans="1:11" s="34" customFormat="1" ht="15" customHeight="1" x14ac:dyDescent="0.25">
      <c r="A15" s="185" t="s">
        <v>18</v>
      </c>
      <c r="B15" s="10" t="s">
        <v>26</v>
      </c>
      <c r="C15" s="11" t="s">
        <v>16</v>
      </c>
      <c r="D15" s="127">
        <f t="shared" ca="1" si="0"/>
        <v>83</v>
      </c>
      <c r="E15" s="128">
        <f ca="1">Table1_Totals!E15</f>
        <v>83</v>
      </c>
      <c r="F15" s="129"/>
      <c r="G15" s="128">
        <f ca="1">Table1_Totals!G15</f>
        <v>0</v>
      </c>
      <c r="H15" s="128">
        <f ca="1">Table1_Totals!H15</f>
        <v>0</v>
      </c>
      <c r="I15" s="129"/>
      <c r="J15" s="128">
        <f ca="1">Table1_Totals!J15</f>
        <v>0</v>
      </c>
      <c r="K15" s="129"/>
    </row>
    <row r="16" spans="1:11" s="34" customFormat="1" ht="15" customHeight="1" x14ac:dyDescent="0.25">
      <c r="A16" s="185"/>
      <c r="B16" s="10" t="s">
        <v>27</v>
      </c>
      <c r="C16" s="11" t="s">
        <v>16</v>
      </c>
      <c r="D16" s="127">
        <f t="shared" ca="1" si="0"/>
        <v>52393</v>
      </c>
      <c r="E16" s="128">
        <f ca="1">Table1_Totals!E16</f>
        <v>44213</v>
      </c>
      <c r="F16" s="129"/>
      <c r="G16" s="128">
        <f ca="1">Table1_Totals!G16</f>
        <v>1563</v>
      </c>
      <c r="H16" s="128">
        <f ca="1">Table1_Totals!H16</f>
        <v>0</v>
      </c>
      <c r="I16" s="129"/>
      <c r="J16" s="128">
        <f ca="1">Table1_Totals!J16</f>
        <v>6617</v>
      </c>
      <c r="K16" s="129"/>
    </row>
    <row r="17" spans="1:11" s="34" customFormat="1" ht="15" customHeight="1" x14ac:dyDescent="0.25">
      <c r="A17" s="185"/>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5"/>
      <c r="B18" s="34" t="s">
        <v>184</v>
      </c>
      <c r="C18" s="11" t="s">
        <v>16</v>
      </c>
      <c r="D18" s="127">
        <f t="shared" ca="1" si="0"/>
        <v>21492</v>
      </c>
      <c r="E18" s="128">
        <f ca="1">Table1_Totals!E18</f>
        <v>18451</v>
      </c>
      <c r="F18" s="129"/>
      <c r="G18" s="128">
        <f ca="1">Table1_Totals!G18</f>
        <v>3041</v>
      </c>
      <c r="H18" s="128">
        <f ca="1">Table1_Totals!H18</f>
        <v>0</v>
      </c>
      <c r="I18" s="129"/>
      <c r="J18" s="128">
        <f ca="1">Table1_Totals!J18</f>
        <v>0</v>
      </c>
      <c r="K18" s="129"/>
    </row>
    <row r="19" spans="1:11" ht="24" customHeight="1" x14ac:dyDescent="0.25">
      <c r="A19" s="186" t="s">
        <v>171</v>
      </c>
      <c r="B19" s="187"/>
      <c r="C19" s="109" t="s">
        <v>16</v>
      </c>
      <c r="D19" s="123">
        <f t="shared" ref="D19" ca="1" si="2">SUM(E19:J19)</f>
        <v>238339.054</v>
      </c>
      <c r="E19" s="124">
        <f ca="1">SUM(E6:E10,E14)</f>
        <v>159352.41999999998</v>
      </c>
      <c r="F19" s="124">
        <f t="shared" ref="F19:J19" ca="1" si="3">SUM(F6:F10,F14)</f>
        <v>331.2</v>
      </c>
      <c r="G19" s="124">
        <f t="shared" ca="1" si="3"/>
        <v>35923.733999999997</v>
      </c>
      <c r="H19" s="124">
        <f t="shared" ca="1" si="3"/>
        <v>2328.5840000000003</v>
      </c>
      <c r="I19" s="124">
        <f t="shared" ca="1" si="3"/>
        <v>27396</v>
      </c>
      <c r="J19" s="124">
        <f t="shared" ca="1" si="3"/>
        <v>13007.116</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G1" activePane="topRight" state="frozen"/>
      <selection activeCell="DS1" sqref="DS1:ED1048576"/>
      <selection pane="topRight" activeCell="I6" sqref="I6: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v>9375</v>
      </c>
      <c r="J6" s="60">
        <v>10450</v>
      </c>
      <c r="K6" s="60">
        <v>10638</v>
      </c>
      <c r="L6" s="60">
        <v>10720</v>
      </c>
      <c r="M6" s="60"/>
      <c r="N6" s="60"/>
      <c r="O6" s="60"/>
      <c r="DS6" s="4" t="str">
        <f>VLOOKUP(Cover!$D$15, Country_list!$B$3:$C$44, 2, 0)</f>
        <v>FI</v>
      </c>
      <c r="DT6" s="33" t="s">
        <v>289</v>
      </c>
      <c r="DV6" s="33" t="s">
        <v>302</v>
      </c>
      <c r="EB6" s="33" t="s">
        <v>291</v>
      </c>
      <c r="ED6" s="33" t="s">
        <v>294</v>
      </c>
    </row>
    <row r="7" spans="1:134" ht="24" customHeight="1" x14ac:dyDescent="0.25">
      <c r="A7" s="183" t="s">
        <v>15</v>
      </c>
      <c r="B7" s="200"/>
      <c r="C7" s="9" t="s">
        <v>25</v>
      </c>
      <c r="D7" s="61"/>
      <c r="E7" s="58"/>
      <c r="F7" s="58"/>
      <c r="G7" s="58"/>
      <c r="H7" s="58"/>
      <c r="I7" s="58">
        <v>45901</v>
      </c>
      <c r="J7" s="58">
        <v>51455</v>
      </c>
      <c r="K7" s="58">
        <v>49976</v>
      </c>
      <c r="L7" s="58">
        <v>47646</v>
      </c>
      <c r="M7" s="58"/>
      <c r="N7" s="58"/>
      <c r="O7" s="58"/>
      <c r="DT7" s="33" t="s">
        <v>290</v>
      </c>
      <c r="EB7" s="33" t="s">
        <v>291</v>
      </c>
      <c r="ED7" s="33" t="s">
        <v>295</v>
      </c>
    </row>
    <row r="8" spans="1:134" ht="24" customHeight="1" x14ac:dyDescent="0.25">
      <c r="A8" s="183" t="s">
        <v>29</v>
      </c>
      <c r="B8" s="200"/>
      <c r="C8" s="9" t="s">
        <v>17</v>
      </c>
      <c r="D8" s="61"/>
      <c r="E8" s="58"/>
      <c r="F8" s="58"/>
      <c r="G8" s="58"/>
      <c r="H8" s="58"/>
      <c r="I8" s="58">
        <v>941</v>
      </c>
      <c r="J8" s="58">
        <v>980</v>
      </c>
      <c r="K8" s="58">
        <v>955</v>
      </c>
      <c r="L8" s="58">
        <v>884</v>
      </c>
      <c r="M8" s="58"/>
      <c r="N8" s="58"/>
      <c r="O8" s="58"/>
      <c r="DT8" s="33" t="s">
        <v>231</v>
      </c>
      <c r="EB8" s="33" t="s">
        <v>291</v>
      </c>
      <c r="ED8" s="33" t="s">
        <v>296</v>
      </c>
    </row>
    <row r="9" spans="1:134" ht="24" customHeight="1" x14ac:dyDescent="0.25">
      <c r="A9" s="183" t="s">
        <v>156</v>
      </c>
      <c r="B9" s="200"/>
      <c r="C9" s="9" t="s">
        <v>19</v>
      </c>
      <c r="D9" s="61"/>
      <c r="E9" s="58"/>
      <c r="F9" s="58"/>
      <c r="G9" s="58"/>
      <c r="H9" s="58"/>
      <c r="I9" s="58">
        <v>10</v>
      </c>
      <c r="J9" s="58">
        <v>13</v>
      </c>
      <c r="K9" s="58">
        <v>10</v>
      </c>
      <c r="L9" s="58">
        <v>10</v>
      </c>
      <c r="M9" s="58"/>
      <c r="N9" s="58"/>
      <c r="O9" s="58"/>
      <c r="DT9" s="33" t="s">
        <v>279</v>
      </c>
      <c r="EB9" s="33" t="s">
        <v>292</v>
      </c>
      <c r="ED9" s="33" t="s">
        <v>293</v>
      </c>
    </row>
    <row r="10" spans="1:134" ht="24" customHeight="1" x14ac:dyDescent="0.25">
      <c r="A10" s="183" t="s">
        <v>20</v>
      </c>
      <c r="B10" s="200"/>
      <c r="C10" s="9" t="s">
        <v>19</v>
      </c>
      <c r="D10" s="61"/>
      <c r="E10" s="58"/>
      <c r="F10" s="58"/>
      <c r="G10" s="58"/>
      <c r="H10" s="58"/>
      <c r="I10" s="58">
        <v>249</v>
      </c>
      <c r="J10" s="58">
        <v>263</v>
      </c>
      <c r="K10" s="58">
        <v>245</v>
      </c>
      <c r="L10" s="58">
        <v>220</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v>244</v>
      </c>
      <c r="J13" s="113">
        <v>259</v>
      </c>
      <c r="K13" s="113">
        <v>243</v>
      </c>
      <c r="L13" s="113">
        <v>218</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v>41927</v>
      </c>
      <c r="J14" s="58">
        <v>46280</v>
      </c>
      <c r="K14" s="58">
        <v>63179</v>
      </c>
      <c r="L14" s="58">
        <v>62747</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v>62</v>
      </c>
      <c r="J15" s="113">
        <v>69</v>
      </c>
      <c r="K15" s="113">
        <v>75</v>
      </c>
      <c r="L15" s="113">
        <v>83</v>
      </c>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v>41865</v>
      </c>
      <c r="J16" s="113">
        <v>46211</v>
      </c>
      <c r="K16" s="113">
        <v>45137</v>
      </c>
      <c r="L16" s="113">
        <v>44213</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2"/>
      <c r="B18" s="110" t="s">
        <v>184</v>
      </c>
      <c r="C18" s="111" t="s">
        <v>25</v>
      </c>
      <c r="D18" s="112"/>
      <c r="E18" s="112"/>
      <c r="F18" s="112"/>
      <c r="G18" s="112"/>
      <c r="H18" s="112"/>
      <c r="I18" s="112"/>
      <c r="J18" s="112"/>
      <c r="K18" s="112">
        <v>17967</v>
      </c>
      <c r="L18" s="112">
        <v>18451</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G1" activePane="topRight" state="frozen"/>
      <selection activeCell="DS1" sqref="DS1:ED1048576"/>
      <selection pane="topRight" activeCell="K7" sqref="K7"/>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0"/>
      <c r="C6" s="8" t="s">
        <v>14</v>
      </c>
      <c r="D6" s="59"/>
      <c r="E6" s="60"/>
      <c r="F6" s="60"/>
      <c r="G6" s="60"/>
      <c r="H6" s="60"/>
      <c r="I6" s="60">
        <v>87</v>
      </c>
      <c r="J6" s="60">
        <v>90</v>
      </c>
      <c r="K6" s="60">
        <v>88</v>
      </c>
      <c r="L6" s="60">
        <v>92</v>
      </c>
      <c r="M6" s="60"/>
      <c r="N6" s="60"/>
      <c r="O6" s="60"/>
      <c r="DS6" s="4" t="str">
        <f>VLOOKUP(Cover!$D$15, Country_list!$B$3:$C$44, 2, 0)</f>
        <v>FI</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G1" activePane="topRight" state="frozen"/>
      <selection activeCell="DS1" sqref="DS1:ED1048576"/>
      <selection pane="topRight" activeCell="I6" sqref="I6:L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8</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v>2558</v>
      </c>
      <c r="J6" s="60">
        <v>2561</v>
      </c>
      <c r="K6" s="60">
        <v>2530</v>
      </c>
      <c r="L6" s="60">
        <v>2490</v>
      </c>
      <c r="M6" s="60"/>
      <c r="N6" s="60"/>
      <c r="O6" s="60"/>
      <c r="DS6" s="4" t="str">
        <f>VLOOKUP(Cover!$D$15, Country_list!$B$3:$C$44, 2, 0)</f>
        <v>FI</v>
      </c>
      <c r="DT6" s="33" t="s">
        <v>289</v>
      </c>
      <c r="DV6" s="33" t="s">
        <v>304</v>
      </c>
      <c r="EB6" s="33" t="s">
        <v>291</v>
      </c>
      <c r="ED6" s="33" t="s">
        <v>294</v>
      </c>
    </row>
    <row r="7" spans="1:134" ht="24" customHeight="1" x14ac:dyDescent="0.25">
      <c r="A7" s="183" t="s">
        <v>15</v>
      </c>
      <c r="B7" s="200"/>
      <c r="C7" s="9" t="s">
        <v>25</v>
      </c>
      <c r="D7" s="61"/>
      <c r="E7" s="58"/>
      <c r="F7" s="58"/>
      <c r="G7" s="58"/>
      <c r="H7" s="58"/>
      <c r="I7" s="58">
        <v>18814</v>
      </c>
      <c r="J7" s="58">
        <v>19084</v>
      </c>
      <c r="K7" s="58">
        <v>19540</v>
      </c>
      <c r="L7" s="58">
        <v>19768</v>
      </c>
      <c r="M7" s="58"/>
      <c r="N7" s="58"/>
      <c r="O7" s="58"/>
      <c r="DT7" s="33" t="s">
        <v>290</v>
      </c>
      <c r="EB7" s="33" t="s">
        <v>291</v>
      </c>
      <c r="ED7" s="33" t="s">
        <v>295</v>
      </c>
    </row>
    <row r="8" spans="1:134" ht="24" customHeight="1" x14ac:dyDescent="0.25">
      <c r="A8" s="183" t="s">
        <v>29</v>
      </c>
      <c r="B8" s="200"/>
      <c r="C8" s="9" t="s">
        <v>17</v>
      </c>
      <c r="D8" s="61"/>
      <c r="E8" s="58"/>
      <c r="F8" s="58"/>
      <c r="G8" s="58"/>
      <c r="H8" s="58"/>
      <c r="I8" s="58">
        <v>262</v>
      </c>
      <c r="J8" s="58">
        <v>247</v>
      </c>
      <c r="K8" s="58">
        <v>245</v>
      </c>
      <c r="L8" s="58">
        <v>236</v>
      </c>
      <c r="M8" s="58"/>
      <c r="N8" s="58"/>
      <c r="O8" s="58"/>
      <c r="DT8" s="33" t="s">
        <v>231</v>
      </c>
      <c r="EB8" s="33" t="s">
        <v>291</v>
      </c>
      <c r="ED8" s="33" t="s">
        <v>296</v>
      </c>
    </row>
    <row r="9" spans="1:134" ht="24" customHeight="1" x14ac:dyDescent="0.25">
      <c r="A9" s="183" t="s">
        <v>156</v>
      </c>
      <c r="B9" s="200"/>
      <c r="C9" s="9" t="s">
        <v>19</v>
      </c>
      <c r="D9" s="61"/>
      <c r="E9" s="58"/>
      <c r="F9" s="58"/>
      <c r="G9" s="58"/>
      <c r="H9" s="58"/>
      <c r="I9" s="58">
        <v>5</v>
      </c>
      <c r="J9" s="58">
        <v>5</v>
      </c>
      <c r="K9" s="58">
        <v>5</v>
      </c>
      <c r="L9" s="58">
        <v>5</v>
      </c>
      <c r="M9" s="58"/>
      <c r="N9" s="58"/>
      <c r="O9" s="58"/>
      <c r="DT9" s="33" t="s">
        <v>279</v>
      </c>
      <c r="EB9" s="33" t="s">
        <v>292</v>
      </c>
      <c r="ED9" s="33" t="s">
        <v>293</v>
      </c>
    </row>
    <row r="10" spans="1:134" ht="24" customHeight="1" x14ac:dyDescent="0.25">
      <c r="A10" s="183" t="s">
        <v>20</v>
      </c>
      <c r="B10" s="200"/>
      <c r="C10" s="9" t="s">
        <v>19</v>
      </c>
      <c r="D10" s="61"/>
      <c r="E10" s="58"/>
      <c r="F10" s="58"/>
      <c r="G10" s="58"/>
      <c r="H10" s="58"/>
      <c r="I10" s="58">
        <v>64</v>
      </c>
      <c r="J10" s="58">
        <v>60</v>
      </c>
      <c r="K10" s="58">
        <v>55</v>
      </c>
      <c r="L10" s="58">
        <v>54</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v>62</v>
      </c>
      <c r="J13" s="113">
        <v>58</v>
      </c>
      <c r="K13" s="113">
        <v>54</v>
      </c>
      <c r="L13" s="113">
        <v>53</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v>1673</v>
      </c>
      <c r="J14" s="58">
        <v>1647</v>
      </c>
      <c r="K14" s="58">
        <v>4548</v>
      </c>
      <c r="L14" s="58">
        <v>4604</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v>1673</v>
      </c>
      <c r="J16" s="113">
        <v>1647</v>
      </c>
      <c r="K16" s="113">
        <v>1576</v>
      </c>
      <c r="L16" s="113">
        <v>1563</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2"/>
      <c r="B18" s="110" t="s">
        <v>185</v>
      </c>
      <c r="C18" s="111" t="s">
        <v>25</v>
      </c>
      <c r="D18" s="112"/>
      <c r="E18" s="113"/>
      <c r="F18" s="113"/>
      <c r="G18" s="113"/>
      <c r="H18" s="113"/>
      <c r="I18" s="113"/>
      <c r="J18" s="113"/>
      <c r="K18" s="113">
        <v>2972</v>
      </c>
      <c r="L18" s="113">
        <v>3041</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G1" activePane="topRight" state="frozen"/>
      <selection activeCell="DS1" sqref="DS1:ED1048576"/>
      <selection pane="topRight" activeCell="I6" sqref="I6:L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9</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v>574</v>
      </c>
      <c r="J6" s="60">
        <v>580</v>
      </c>
      <c r="K6" s="60">
        <v>581</v>
      </c>
      <c r="L6" s="60">
        <v>594</v>
      </c>
      <c r="M6" s="60"/>
      <c r="N6" s="60"/>
      <c r="O6" s="60"/>
      <c r="DS6" s="4" t="str">
        <f>VLOOKUP(Cover!$D$15, Country_list!$B$3:$C$44, 2, 0)</f>
        <v>FI</v>
      </c>
      <c r="DT6" s="33" t="s">
        <v>289</v>
      </c>
      <c r="DV6" s="33" t="s">
        <v>305</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c r="E8" s="58"/>
      <c r="F8" s="58"/>
      <c r="G8" s="58"/>
      <c r="H8" s="58"/>
      <c r="I8" s="58">
        <v>20</v>
      </c>
      <c r="J8" s="58">
        <v>20</v>
      </c>
      <c r="K8" s="58">
        <v>20</v>
      </c>
      <c r="L8" s="58">
        <v>20</v>
      </c>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v>5</v>
      </c>
      <c r="J10" s="58">
        <v>4</v>
      </c>
      <c r="K10" s="58">
        <v>4</v>
      </c>
      <c r="L10" s="58">
        <v>4</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v>5</v>
      </c>
      <c r="J11" s="113">
        <v>4</v>
      </c>
      <c r="K11" s="113">
        <v>4</v>
      </c>
      <c r="L11" s="113">
        <v>4</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I1" activePane="topRight" state="frozen"/>
      <selection activeCell="DS1" sqref="DS1:ED1048576"/>
      <selection pane="topRight" activeCell="I6" sqref="I6: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c r="E6" s="63"/>
      <c r="F6" s="63"/>
      <c r="G6" s="63"/>
      <c r="H6" s="63"/>
      <c r="I6" s="63">
        <v>7206</v>
      </c>
      <c r="J6" s="63">
        <v>7614</v>
      </c>
      <c r="K6" s="63">
        <v>7453</v>
      </c>
      <c r="L6" s="63">
        <v>7610</v>
      </c>
      <c r="M6" s="63"/>
      <c r="N6" s="63"/>
      <c r="O6" s="63"/>
      <c r="DS6" s="4" t="str">
        <f>VLOOKUP(Cover!$D$15, Country_list!$B$3:$C$44, 2, 0)</f>
        <v>FI</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topLeftCell="A4" zoomScale="90" zoomScaleNormal="90" workbookViewId="0">
      <pane xSplit="3" topLeftCell="G1" activePane="topRight" state="frozen"/>
      <selection activeCell="DS1" sqref="DS1:ED1048576"/>
      <selection pane="topRight" activeCell="I6" sqref="I6:L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209"/>
      <c r="C6" s="8" t="s">
        <v>14</v>
      </c>
      <c r="D6" s="59"/>
      <c r="E6" s="60"/>
      <c r="F6" s="60"/>
      <c r="G6" s="60"/>
      <c r="H6" s="60"/>
      <c r="I6" s="60">
        <v>1118</v>
      </c>
      <c r="J6" s="60">
        <v>1223</v>
      </c>
      <c r="K6" s="60">
        <v>1222</v>
      </c>
      <c r="L6" s="60">
        <v>1225</v>
      </c>
      <c r="M6" s="60"/>
      <c r="N6" s="60"/>
      <c r="O6" s="60"/>
      <c r="DS6" s="4" t="str">
        <f>VLOOKUP(Cover!$D$15, Country_list!$B$3:$C$44, 2, 0)</f>
        <v>FI</v>
      </c>
      <c r="DT6" s="33" t="s">
        <v>289</v>
      </c>
      <c r="DV6" s="33" t="s">
        <v>307</v>
      </c>
      <c r="EB6" s="33" t="s">
        <v>291</v>
      </c>
      <c r="ED6" s="33" t="s">
        <v>294</v>
      </c>
    </row>
    <row r="7" spans="1:134" ht="24" customHeight="1" x14ac:dyDescent="0.25">
      <c r="A7" s="183"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v>53</v>
      </c>
      <c r="J10" s="58">
        <v>51</v>
      </c>
      <c r="K10" s="58">
        <v>48</v>
      </c>
      <c r="L10" s="58">
        <v>46</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v>6499</v>
      </c>
      <c r="J14" s="58">
        <v>6587</v>
      </c>
      <c r="K14" s="58">
        <v>6607</v>
      </c>
      <c r="L14" s="58">
        <v>6617</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v>6499</v>
      </c>
      <c r="J16" s="113">
        <v>6587</v>
      </c>
      <c r="K16" s="113">
        <v>6607</v>
      </c>
      <c r="L16" s="113">
        <v>6617</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H46" sqref="H46"/>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2020-01-30T14:06:36Z</dcterms:modified>
  <cp:category>Annual questionnaires</cp:category>
</cp:coreProperties>
</file>