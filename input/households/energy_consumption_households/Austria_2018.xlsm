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tumde-my.sharepoint.com/personal/chris_kobalt_tum_de/Documents/Documents/Master_Semester_1/IDP/endemo2/input/households/energy_consumption_households/"/>
    </mc:Choice>
  </mc:AlternateContent>
  <xr:revisionPtr revIDLastSave="0" documentId="11_989CF485555610B662DC64056AE0A18810DC450C" xr6:coauthVersionLast="47" xr6:coauthVersionMax="47" xr10:uidLastSave="{00000000-0000-0000-0000-000000000000}"/>
  <bookViews>
    <workbookView xWindow="0" yWindow="1580" windowWidth="14740" windowHeight="13320" tabRatio="872" firstSheet="7"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 r:id="rId20"/>
    <externalReference r:id="rId21"/>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4" l="1"/>
  <c r="F13" i="4"/>
  <c r="G13" i="4"/>
  <c r="H13" i="4"/>
  <c r="I13" i="4"/>
  <c r="J13" i="4"/>
  <c r="K13" i="4"/>
  <c r="L13" i="4"/>
  <c r="D13" i="4"/>
  <c r="I11" i="4"/>
  <c r="J11" i="4"/>
  <c r="K11" i="4"/>
  <c r="L11" i="4"/>
  <c r="E11" i="4"/>
  <c r="F11" i="4"/>
  <c r="G11" i="4"/>
  <c r="H11" i="4"/>
  <c r="D11" i="4"/>
  <c r="L9" i="4" l="1"/>
  <c r="K9" i="4" l="1"/>
  <c r="K10" i="4" l="1"/>
  <c r="L10" i="4"/>
  <c r="G10" i="4"/>
  <c r="F10" i="4"/>
  <c r="E10" i="4"/>
  <c r="D10" i="4"/>
  <c r="J10" i="4" l="1"/>
  <c r="I10" i="4"/>
  <c r="H10" i="4"/>
  <c r="J9" i="4"/>
  <c r="I9" i="4"/>
  <c r="H9" i="4"/>
  <c r="G9" i="4"/>
  <c r="F9" i="4"/>
  <c r="E9" i="4"/>
  <c r="D9" i="4"/>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H17" i="5"/>
  <c r="G17" i="5"/>
  <c r="E17" i="15" l="1"/>
  <c r="H17" i="15"/>
  <c r="G17" i="15"/>
  <c r="J17" i="15"/>
  <c r="D17" i="5"/>
  <c r="C3" i="15"/>
  <c r="K46" i="14"/>
  <c r="K45" i="14"/>
  <c r="K44" i="14"/>
  <c r="K43" i="14"/>
  <c r="K41" i="14"/>
  <c r="K40" i="14"/>
  <c r="K39" i="14"/>
  <c r="K38" i="14"/>
  <c r="K37" i="14"/>
  <c r="K36" i="14"/>
  <c r="K35" i="14"/>
  <c r="K34" i="14"/>
  <c r="K33" i="14"/>
  <c r="K31" i="14"/>
  <c r="K30" i="14"/>
  <c r="K29" i="14"/>
  <c r="K28" i="14"/>
  <c r="K21" i="14"/>
  <c r="K20" i="14"/>
  <c r="K19" i="14"/>
  <c r="K18"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8" i="5"/>
  <c r="G15" i="5"/>
  <c r="J12" i="5"/>
  <c r="H6" i="5"/>
  <c r="G18" i="5"/>
  <c r="H16" i="5"/>
  <c r="H8" i="5"/>
  <c r="E16" i="5"/>
  <c r="J7" i="5"/>
  <c r="E12" i="5"/>
  <c r="H15" i="5"/>
  <c r="I6" i="5"/>
  <c r="G16" i="5"/>
  <c r="H10" i="5"/>
  <c r="H12" i="5"/>
  <c r="E15" i="5"/>
  <c r="G6" i="5"/>
  <c r="G12" i="5"/>
  <c r="G13" i="5"/>
  <c r="H14" i="5"/>
  <c r="E8" i="5"/>
  <c r="J15" i="5"/>
  <c r="E6" i="5"/>
  <c r="E13" i="5"/>
  <c r="J16" i="5"/>
  <c r="J13" i="5"/>
  <c r="J10" i="5"/>
  <c r="J9" i="5"/>
  <c r="H9" i="5"/>
  <c r="E11" i="5"/>
  <c r="G9" i="5"/>
  <c r="G14" i="5"/>
  <c r="G11" i="5"/>
  <c r="J14" i="5"/>
  <c r="G10" i="5"/>
  <c r="J11" i="5"/>
  <c r="G7" i="5"/>
  <c r="H11" i="5"/>
  <c r="J6" i="5"/>
  <c r="H13" i="5"/>
  <c r="E18" i="5"/>
  <c r="J18" i="5"/>
  <c r="F6" i="5"/>
  <c r="H7" i="5"/>
  <c r="J8" i="5"/>
  <c r="G8" i="5"/>
  <c r="E14" i="5"/>
  <c r="G10" i="15" l="1"/>
  <c r="E11" i="15"/>
  <c r="J13" i="15"/>
  <c r="J10" i="15"/>
  <c r="J11" i="15"/>
  <c r="J12" i="15"/>
  <c r="H11" i="15"/>
  <c r="H13" i="15"/>
  <c r="H12" i="15"/>
  <c r="G13" i="15"/>
  <c r="H10" i="15"/>
  <c r="G11" i="15"/>
  <c r="G12" i="15"/>
  <c r="E12" i="15"/>
  <c r="E13" i="15"/>
  <c r="J9" i="15"/>
  <c r="E14" i="15"/>
  <c r="H14" i="15"/>
  <c r="G14" i="15"/>
  <c r="J14" i="15"/>
  <c r="J18" i="15"/>
  <c r="J16" i="15"/>
  <c r="J15" i="15"/>
  <c r="H15" i="15"/>
  <c r="G16" i="15"/>
  <c r="H18" i="15"/>
  <c r="G15" i="15"/>
  <c r="G18" i="15"/>
  <c r="H16" i="15"/>
  <c r="E16" i="15"/>
  <c r="E18" i="15"/>
  <c r="E15" i="15"/>
  <c r="K10" i="15"/>
  <c r="J8" i="15"/>
  <c r="H8" i="15"/>
  <c r="G8" i="15"/>
  <c r="E8" i="15"/>
  <c r="J7" i="15"/>
  <c r="G7" i="15"/>
  <c r="H7" i="15"/>
  <c r="G6" i="15"/>
  <c r="H6" i="15"/>
  <c r="I6" i="15"/>
  <c r="I19" i="15" s="1"/>
  <c r="J6" i="15"/>
  <c r="F6" i="15"/>
  <c r="E6" i="15"/>
  <c r="D12" i="5"/>
  <c r="D13" i="5"/>
  <c r="D15" i="5"/>
  <c r="D18" i="5"/>
  <c r="D8" i="5"/>
  <c r="D10" i="5"/>
  <c r="D16" i="5"/>
  <c r="D6" i="5"/>
  <c r="D11" i="5"/>
  <c r="D14" i="5"/>
  <c r="D11" i="15" l="1"/>
  <c r="D13" i="15"/>
  <c r="D12" i="15"/>
  <c r="D10" i="15"/>
  <c r="D18" i="15"/>
  <c r="D15" i="15"/>
  <c r="D16" i="15"/>
  <c r="D14" i="15"/>
  <c r="F19" i="15"/>
  <c r="F20" i="15" s="1"/>
  <c r="J19" i="15"/>
  <c r="J20" i="15" s="1"/>
  <c r="D8" i="15"/>
  <c r="D6" i="15"/>
  <c r="K32" i="14" l="1"/>
  <c r="E9" i="5"/>
  <c r="K9" i="5"/>
  <c r="H9" i="15" l="1"/>
  <c r="H19" i="15" s="1"/>
  <c r="H20" i="15" s="1"/>
  <c r="K9" i="15"/>
  <c r="G9" i="15"/>
  <c r="G19" i="15" s="1"/>
  <c r="G20" i="15" s="1"/>
  <c r="K27" i="14"/>
  <c r="K42" i="14"/>
  <c r="E9" i="15"/>
  <c r="D9" i="5"/>
  <c r="K17" i="14"/>
  <c r="D9" i="15" l="1"/>
  <c r="E7" i="5"/>
  <c r="E7" i="15" l="1"/>
  <c r="D7" i="5"/>
  <c r="D7" i="15" l="1"/>
  <c r="E19" i="15"/>
  <c r="D19" i="15" s="1"/>
  <c r="E20" i="15" l="1"/>
  <c r="D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<sst xmlns="http://schemas.openxmlformats.org/spreadsheetml/2006/main" count="952" uniqueCount="315">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</sst>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199">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2000000}"/>
    <cellStyle name="Normal 10 2 2 5" xfId="11" xr:uid="{00000000-0005-0000-0000-000003000000}"/>
    <cellStyle name="Normal 2" xfId="3" xr:uid="{00000000-0005-0000-0000-000004000000}"/>
    <cellStyle name="Normal 2 2" xfId="4" xr:uid="{00000000-0005-0000-0000-000005000000}"/>
    <cellStyle name="Normal 3" xfId="5" xr:uid="{00000000-0005-0000-0000-000006000000}"/>
    <cellStyle name="Normal 4" xfId="6" xr:uid="{00000000-0005-0000-0000-000007000000}"/>
    <cellStyle name="Normal_Oilques" xfId="7" xr:uid="{00000000-0005-0000-0000-000008000000}"/>
    <cellStyle name="NumberCellStyle" xfId="8" xr:uid="{00000000-0005-0000-0000-000009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146050</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127000</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146050</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12700</xdr:rowOff>
        </xdr:from>
        <xdr:to>
          <xdr:col>2</xdr:col>
          <xdr:colOff>1936750</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127000</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127000</xdr:rowOff>
        </xdr:from>
        <xdr:to>
          <xdr:col>2</xdr:col>
          <xdr:colOff>1936750</xdr:colOff>
          <xdr:row>34</xdr:row>
          <xdr:rowOff>107950</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12700</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12700</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146050</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127000</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69850</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165100</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8261350</xdr:colOff>
          <xdr:row>1</xdr:row>
          <xdr:rowOff>12700</xdr:rowOff>
        </xdr:from>
        <xdr:to>
          <xdr:col>2</xdr:col>
          <xdr:colOff>9906000</xdr:colOff>
          <xdr:row>1</xdr:row>
          <xdr:rowOff>488950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31750</xdr:rowOff>
        </xdr:from>
        <xdr:to>
          <xdr:col>1</xdr:col>
          <xdr:colOff>1028700</xdr:colOff>
          <xdr:row>21</xdr:row>
          <xdr:rowOff>31750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31750</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6</xdr:row>
          <xdr:rowOff>12700</xdr:rowOff>
        </xdr:from>
        <xdr:to>
          <xdr:col>1</xdr:col>
          <xdr:colOff>1022350</xdr:colOff>
          <xdr:row>9</xdr:row>
          <xdr:rowOff>12700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184150</xdr:rowOff>
        </xdr:from>
        <xdr:to>
          <xdr:col>3</xdr:col>
          <xdr:colOff>165100</xdr:colOff>
          <xdr:row>3</xdr:row>
          <xdr:rowOff>12700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_Zeitreihen%20(Berechnungen)\BL-Energiebilanzen\Austria_Daten.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_internationale_Meldungen\JQ\2019\Prefilled%202018\AUSTRIA_Eurostat_OIL_bez&#252;g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2017</v>
          </cell>
          <cell r="K127" t="str">
            <v>Israël</v>
          </cell>
          <cell r="L127" t="str">
            <v>ISRAEL</v>
          </cell>
          <cell r="M127" t="str">
            <v>IL</v>
          </cell>
          <cell r="N127"/>
          <cell r="P127" t="str">
            <v>Israel</v>
          </cell>
          <cell r="Q127" t="str">
            <v>Israël</v>
          </cell>
          <cell r="R127" t="str">
            <v>Израиль</v>
          </cell>
        </row>
        <row r="128">
          <cell r="D128">
            <v>2005</v>
          </cell>
          <cell r="G128">
            <v>5</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2017</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end-2017</v>
          </cell>
          <cell r="AG1" t="str">
            <v>PERIODE : Fin 2017</v>
          </cell>
          <cell r="AH1" t="str">
            <v>ПЕРИОД : Конец 2017</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end-2017</v>
          </cell>
          <cell r="AJ1" t="str">
            <v>PERIODE : Fin 2017</v>
          </cell>
          <cell r="AK1" t="str">
            <v>ПЕРИОД : Конец 2017</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end-2017</v>
          </cell>
          <cell r="AJ1" t="str">
            <v>PERIODE : Fin 2017</v>
          </cell>
          <cell r="AK1" t="str">
            <v>ПЕРИОД : Конец 2017</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end-2017</v>
          </cell>
          <cell r="AI1" t="str">
            <v>PERIODE : Fin 2017</v>
          </cell>
          <cell r="AJ1" t="str">
            <v>ПЕРИОД : Конец 2017</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Grundbegriffe"/>
      <sheetName val="Klassifikation"/>
      <sheetName val="Kokskohle"/>
      <sheetName val="Anthrazit"/>
      <sheetName val="Steinkohlen-Briketts"/>
      <sheetName val="Sonstige Steinkohle"/>
      <sheetName val="Steinkohle"/>
      <sheetName val="Subbituminöse Kohle"/>
      <sheetName val="Sonstige Braunkohle"/>
      <sheetName val="Braunkohle"/>
      <sheetName val="Braunkohlen-Briketts"/>
      <sheetName val="Brenntorf"/>
      <sheetName val="Koks"/>
      <sheetName val="Rohöl"/>
      <sheetName val="NGL"/>
      <sheetName val="Erdöl"/>
      <sheetName val="Steinkohleteer"/>
      <sheetName val="Benzol"/>
      <sheetName val="Feedstocks"/>
      <sheetName val="Sonstiger Raffinerieeinsatz"/>
      <sheetName val="Motorbenzin"/>
      <sheetName val="Industriebenzin"/>
      <sheetName val="Flugbenzin"/>
      <sheetName val="Benzin"/>
      <sheetName val="Flugturbinenkraftstoff"/>
      <sheetName val="Sonstiges Petroleum"/>
      <sheetName val="Petroleum"/>
      <sheetName val="Diesel"/>
      <sheetName val="Gasöl für Heizzwecke"/>
      <sheetName val="Heizöl&lt;1%"/>
      <sheetName val="Heizöl&gt;1%"/>
      <sheetName val="Heizöl"/>
      <sheetName val="Flüssiggas"/>
      <sheetName val="Naphta"/>
      <sheetName val="Bitumen"/>
      <sheetName val="Schmiermittel"/>
      <sheetName val="Petrolkoks"/>
      <sheetName val="Sonstige"/>
      <sheetName val="Sonstige Prod. d. Erdölverarb."/>
      <sheetName val="Raffinerie-Restgas"/>
      <sheetName val="Mischgas"/>
      <sheetName val="Erdgas"/>
      <sheetName val="Generatorgas"/>
      <sheetName val="Tiegelgas"/>
      <sheetName val="Hochofengas"/>
      <sheetName val="Gichtgas"/>
      <sheetName val="Kokereigas"/>
      <sheetName val="Industrieabfall"/>
      <sheetName val="Hausmüll nicht erneuerbar"/>
      <sheetName val="Brennbare Abfälle"/>
      <sheetName val="Scheitholz"/>
      <sheetName val="Hausmüll Bioanteil"/>
      <sheetName val="Pellets+Holzbriketts"/>
      <sheetName val="Holzabfall"/>
      <sheetName val="Holzkohle"/>
      <sheetName val="Ablaugen"/>
      <sheetName val="Deponiegas"/>
      <sheetName val="Klärgas"/>
      <sheetName val="Biogas"/>
      <sheetName val="Bioethanol"/>
      <sheetName val="Biodiesel"/>
      <sheetName val="Sonst. Biogene flüssig"/>
      <sheetName val="Sonst. Biogene fest"/>
      <sheetName val="Biogene Brenn- u. Treibstoffe"/>
      <sheetName val="Geothermie"/>
      <sheetName val="Umgebungswärme"/>
      <sheetName val="Solarwärme"/>
      <sheetName val="Reaktionswärme"/>
      <sheetName val="Umgebungswärme etc."/>
      <sheetName val="WK&lt;=1MW"/>
      <sheetName val="WK&lt;=10MW"/>
      <sheetName val="WK&gt;10MW"/>
      <sheetName val="Wasserkraft"/>
      <sheetName val="Wind"/>
      <sheetName val="Photovoltaik"/>
      <sheetName val="Wind und Photovoltaik"/>
      <sheetName val="Fernwärme"/>
      <sheetName val="Elektrische Energie"/>
      <sheetName val="KOHLE"/>
      <sheetName val="ÖL"/>
      <sheetName val="GAS"/>
      <sheetName val="ERNEUERBARE"/>
      <sheetName val="ABFÄLLE"/>
      <sheetName val="Gesamtenergiebilanz"/>
      <sheetName val="Wirkungsgrade"/>
      <sheetName val="Erneuerbare EU-Richtlinie"/>
      <sheetName val="checkFormal"/>
      <sheetName val="Erneuerbare_SHAR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ow r="222">
          <cell r="AP222">
            <v>2570.7165031448549</v>
          </cell>
          <cell r="AQ222">
            <v>1670.128287946648</v>
          </cell>
          <cell r="AR222">
            <v>1756.9985830132446</v>
          </cell>
          <cell r="AS222">
            <v>1331.597900754186</v>
          </cell>
          <cell r="AT222">
            <v>1133.7910847992805</v>
          </cell>
          <cell r="AU222">
            <v>895.12021014270601</v>
          </cell>
          <cell r="AV222">
            <v>860.00528774529778</v>
          </cell>
          <cell r="AW222">
            <v>928.14217076994396</v>
          </cell>
          <cell r="AX222">
            <v>828.05402318314577</v>
          </cell>
        </row>
      </sheetData>
      <sheetData sheetId="80">
        <row r="222">
          <cell r="AP222">
            <v>55880.613079580355</v>
          </cell>
          <cell r="AQ222">
            <v>48338.446624728</v>
          </cell>
          <cell r="AR222">
            <v>44005.813280148352</v>
          </cell>
          <cell r="AS222">
            <v>47326.516100611567</v>
          </cell>
          <cell r="AT222">
            <v>41461.594254566764</v>
          </cell>
          <cell r="AU222">
            <v>43194.773198959789</v>
          </cell>
          <cell r="AV222">
            <v>42845.338423911664</v>
          </cell>
          <cell r="AW222">
            <v>43371.648942716696</v>
          </cell>
          <cell r="AX222">
            <v>39077.198461097425</v>
          </cell>
        </row>
      </sheetData>
      <sheetData sheetId="81"/>
      <sheetData sheetId="82"/>
      <sheetData sheetId="83"/>
      <sheetData sheetId="84"/>
      <sheetData sheetId="85"/>
      <sheetData sheetId="86"/>
      <sheetData sheetId="87"/>
      <sheetData sheetId="8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a"/>
      <sheetName val="Table3b"/>
      <sheetName val="Table3"/>
      <sheetName val="Table4"/>
      <sheetName val="Table5"/>
      <sheetName val="Table 6 (kt)"/>
      <sheetName val="Table 6 (Bbl)"/>
      <sheetName val="Remarks"/>
      <sheetName val="Parameter_mapping"/>
      <sheetName val="Parameters"/>
      <sheetName val="Parameters_table6"/>
      <sheetName val="Crude oil"/>
      <sheetName val="Natural gas liquids"/>
      <sheetName val="Refinery feedstocks"/>
      <sheetName val="Additives-oxygenates"/>
      <sheetName val="Of which biofuels"/>
      <sheetName val="Other hydrocarbons"/>
      <sheetName val="Total - crngfeed"/>
      <sheetName val="Refinery gas"/>
      <sheetName val="Ethane"/>
      <sheetName val="LPG"/>
      <sheetName val="Naphtha"/>
      <sheetName val="Total motor gasoline"/>
      <sheetName val="Biogasoline"/>
      <sheetName val="Non biogasoline"/>
      <sheetName val="Aviation gasoline"/>
      <sheetName val="Gasoline type jet fuel"/>
      <sheetName val="Kerosene type jet fuel"/>
      <sheetName val="Bio jet kerosene"/>
      <sheetName val="Non-bio jet kerosene"/>
      <sheetName val="Other kerosene"/>
      <sheetName val="Road diesel"/>
      <sheetName val="Heating and other gasoil"/>
      <sheetName val="Gas-Diesel Oil"/>
      <sheetName val="Biodiesel"/>
      <sheetName val="Non-bio gasdiesel oil"/>
      <sheetName val="Total fuel oil"/>
      <sheetName val="Fuel oil - low sulphur"/>
      <sheetName val="Fuel oil - high sulphur"/>
      <sheetName val="White spirit SBP"/>
      <sheetName val="Lubricants"/>
      <sheetName val="Bitumen"/>
      <sheetName val="Paraffin wax"/>
      <sheetName val="Petroleum coke"/>
      <sheetName val="Other products"/>
      <sheetName val="Total products"/>
      <sheetName val="2018-Errors"/>
      <sheetName val="2008-Errors"/>
      <sheetName val="2007-Errors"/>
      <sheetName val="2005-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2">
          <cell r="Y32">
            <v>46000</v>
          </cell>
          <cell r="Z32">
            <v>46000</v>
          </cell>
          <cell r="AA32">
            <v>46120</v>
          </cell>
          <cell r="AB32">
            <v>46000</v>
          </cell>
          <cell r="AC32">
            <v>46120</v>
          </cell>
          <cell r="AD32">
            <v>46120</v>
          </cell>
          <cell r="AE32">
            <v>46120</v>
          </cell>
          <cell r="AF32">
            <v>46120</v>
          </cell>
          <cell r="AG32">
            <v>46120</v>
          </cell>
        </row>
      </sheetData>
      <sheetData sheetId="27"/>
      <sheetData sheetId="28"/>
      <sheetData sheetId="29">
        <row r="11">
          <cell r="U11">
            <v>9.32</v>
          </cell>
        </row>
      </sheetData>
      <sheetData sheetId="30"/>
      <sheetData sheetId="31"/>
      <sheetData sheetId="32"/>
      <sheetData sheetId="33"/>
      <sheetData sheetId="34"/>
      <sheetData sheetId="35"/>
      <sheetData sheetId="36"/>
      <sheetData sheetId="37"/>
      <sheetData sheetId="38">
        <row r="32">
          <cell r="Y32">
            <v>42800</v>
          </cell>
          <cell r="Z32">
            <v>42800</v>
          </cell>
          <cell r="AA32">
            <v>42790.445</v>
          </cell>
          <cell r="AB32">
            <v>42788</v>
          </cell>
          <cell r="AC32">
            <v>42940</v>
          </cell>
          <cell r="AD32">
            <v>42940.004999999997</v>
          </cell>
          <cell r="AE32">
            <v>42803.993000000002</v>
          </cell>
          <cell r="AF32">
            <v>42804</v>
          </cell>
          <cell r="AG32">
            <v>42804</v>
          </cell>
        </row>
      </sheetData>
      <sheetData sheetId="39">
        <row r="92">
          <cell r="Y92">
            <v>1240.9880000000001</v>
          </cell>
        </row>
      </sheetData>
      <sheetData sheetId="40"/>
      <sheetData sheetId="41"/>
      <sheetData sheetId="42"/>
      <sheetData sheetId="43"/>
      <sheetData sheetId="44"/>
      <sheetData sheetId="45"/>
      <sheetData sheetId="46"/>
      <sheetData sheetId="47"/>
      <sheetData sheetId="48"/>
      <sheetData sheetId="49"/>
      <sheetData sheetId="50"/>
      <sheetData sheetId="51">
        <row r="198">
          <cell r="Y198">
            <v>1304.585</v>
          </cell>
        </row>
      </sheetData>
      <sheetData sheetId="52"/>
      <sheetData sheetId="53"/>
      <sheetData sheetId="54"/>
      <sheetData sheetId="5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4" zoomScale="90" zoomScaleNormal="90" workbookViewId="0">
      <selection activeCell="D15" sqref="D15"/>
    </sheetView>
  </sheetViews>
  <sheetFormatPr defaultColWidth="9.1796875" defaultRowHeight="14.5" x14ac:dyDescent="0.35"/>
  <cols>
    <col min="1" max="1" width="15.54296875" style="19" customWidth="1"/>
    <col min="2" max="3" width="30.7265625" style="19" customWidth="1"/>
    <col min="4" max="4" width="42.54296875" style="19" customWidth="1"/>
    <col min="5" max="5" width="15.54296875" style="19" customWidth="1"/>
    <col min="6" max="6" width="24.7265625" style="19" customWidth="1"/>
    <col min="7" max="16384" width="9.1796875" style="19"/>
  </cols>
  <sheetData>
    <row r="1" spans="1:5" ht="9" customHeight="1" x14ac:dyDescent="0.35"/>
    <row r="2" spans="1:5" ht="9" customHeight="1" x14ac:dyDescent="0.35"/>
    <row r="3" spans="1:5" ht="9" customHeight="1" x14ac:dyDescent="0.35"/>
    <row r="4" spans="1:5" ht="9" customHeight="1" x14ac:dyDescent="0.35"/>
    <row r="8" spans="1:5" ht="9" customHeight="1" x14ac:dyDescent="0.35"/>
    <row r="9" spans="1:5" ht="9" customHeight="1" x14ac:dyDescent="0.35"/>
    <row r="10" spans="1:5" ht="9" customHeight="1" x14ac:dyDescent="0.35"/>
    <row r="11" spans="1:5" ht="45" customHeight="1" x14ac:dyDescent="0.35">
      <c r="A11" s="23"/>
      <c r="B11" s="23"/>
      <c r="C11" s="18" t="s">
        <v>143</v>
      </c>
      <c r="D11" s="23"/>
      <c r="E11" s="23"/>
    </row>
    <row r="12" spans="1:5" x14ac:dyDescent="0.35">
      <c r="A12" s="23"/>
      <c r="B12" s="23"/>
      <c r="C12" s="23"/>
      <c r="D12" s="23"/>
      <c r="E12" s="23"/>
    </row>
    <row r="13" spans="1:5" ht="45" customHeight="1" x14ac:dyDescent="0.35">
      <c r="A13" s="141" t="s">
        <v>144</v>
      </c>
      <c r="B13" s="141"/>
      <c r="C13" s="141"/>
      <c r="D13" s="141"/>
      <c r="E13" s="141"/>
    </row>
    <row r="14" spans="1:5" ht="15" customHeight="1" thickBot="1" x14ac:dyDescent="0.4">
      <c r="A14" s="23"/>
      <c r="B14" s="24"/>
      <c r="C14" s="24"/>
      <c r="D14" s="24"/>
      <c r="E14" s="24"/>
    </row>
    <row r="15" spans="1:5" ht="21" customHeight="1" thickBot="1" x14ac:dyDescent="0.4">
      <c r="A15" s="23"/>
      <c r="B15" s="23"/>
      <c r="C15" s="49" t="s">
        <v>32</v>
      </c>
      <c r="D15" s="53" t="s">
        <v>47</v>
      </c>
      <c r="E15" s="25"/>
    </row>
    <row r="16" spans="1:5" ht="9" customHeight="1" x14ac:dyDescent="0.35">
      <c r="A16" s="23"/>
      <c r="B16" s="24"/>
      <c r="C16" s="24"/>
      <c r="D16" s="24"/>
      <c r="E16" s="24"/>
    </row>
    <row r="17" spans="1:5" ht="21" customHeight="1" x14ac:dyDescent="0.35">
      <c r="A17" s="26" t="s">
        <v>33</v>
      </c>
      <c r="B17" s="24"/>
      <c r="C17" s="23"/>
      <c r="D17" s="24"/>
      <c r="E17" s="24"/>
    </row>
    <row r="18" spans="1:5" ht="15" customHeight="1" thickBot="1" x14ac:dyDescent="0.4">
      <c r="A18" s="23"/>
      <c r="B18" s="24"/>
      <c r="C18" s="26"/>
      <c r="D18" s="24"/>
      <c r="E18" s="24"/>
    </row>
    <row r="19" spans="1:5" ht="21" customHeight="1" thickBot="1" x14ac:dyDescent="0.4">
      <c r="A19" s="23"/>
      <c r="B19" s="27" t="s">
        <v>34</v>
      </c>
      <c r="C19" s="142"/>
      <c r="D19" s="143"/>
      <c r="E19" s="23"/>
    </row>
    <row r="20" spans="1:5" ht="15" customHeight="1" thickBot="1" x14ac:dyDescent="0.4">
      <c r="A20" s="23"/>
      <c r="B20" s="27"/>
      <c r="C20" s="24"/>
      <c r="D20" s="24"/>
      <c r="E20" s="23"/>
    </row>
    <row r="21" spans="1:5" ht="21" customHeight="1" thickBot="1" x14ac:dyDescent="0.4">
      <c r="A21" s="23"/>
      <c r="B21" s="27" t="s">
        <v>35</v>
      </c>
      <c r="C21" s="142"/>
      <c r="D21" s="143"/>
      <c r="E21" s="23"/>
    </row>
    <row r="22" spans="1:5" ht="15" customHeight="1" thickBot="1" x14ac:dyDescent="0.4">
      <c r="A22" s="23"/>
      <c r="B22" s="27"/>
      <c r="C22" s="24"/>
      <c r="D22" s="24"/>
      <c r="E22" s="23"/>
    </row>
    <row r="23" spans="1:5" ht="21" customHeight="1" thickBot="1" x14ac:dyDescent="0.4">
      <c r="A23" s="23"/>
      <c r="B23" s="27" t="s">
        <v>36</v>
      </c>
      <c r="C23" s="142"/>
      <c r="D23" s="143"/>
      <c r="E23" s="23"/>
    </row>
    <row r="24" spans="1:5" ht="21" customHeight="1" x14ac:dyDescent="0.35">
      <c r="A24" s="23"/>
      <c r="B24" s="24"/>
      <c r="C24" s="24"/>
      <c r="D24" s="23"/>
      <c r="E24" s="23"/>
    </row>
    <row r="25" spans="1:5" ht="30" customHeight="1" x14ac:dyDescent="0.35">
      <c r="A25" s="23"/>
      <c r="B25" s="29"/>
      <c r="C25" s="29"/>
      <c r="D25" s="29"/>
      <c r="E25" s="23"/>
    </row>
    <row r="26" spans="1:5" ht="12" customHeight="1" x14ac:dyDescent="0.35">
      <c r="A26" s="23"/>
      <c r="B26" s="29"/>
      <c r="C26" s="29"/>
      <c r="D26" s="29"/>
      <c r="E26" s="23"/>
    </row>
    <row r="27" spans="1:5" ht="12" customHeight="1" x14ac:dyDescent="0.35">
      <c r="A27" s="23"/>
      <c r="B27" s="29"/>
      <c r="C27" s="29"/>
      <c r="D27" s="29"/>
      <c r="E27" s="23"/>
    </row>
    <row r="28" spans="1:5" ht="30" customHeight="1" x14ac:dyDescent="0.35">
      <c r="A28" s="23"/>
      <c r="B28" s="28"/>
      <c r="C28" s="29"/>
      <c r="D28" s="30"/>
      <c r="E28" s="23"/>
    </row>
    <row r="29" spans="1:5" ht="12" customHeight="1" x14ac:dyDescent="0.35">
      <c r="A29" s="23"/>
      <c r="B29" s="29"/>
      <c r="C29" s="29"/>
      <c r="D29" s="29"/>
      <c r="E29" s="23"/>
    </row>
    <row r="30" spans="1:5" ht="12" customHeight="1" x14ac:dyDescent="0.35">
      <c r="A30" s="23"/>
      <c r="B30" s="29"/>
      <c r="C30" s="29"/>
      <c r="D30" s="29"/>
      <c r="E30" s="23"/>
    </row>
    <row r="31" spans="1:5" ht="30" customHeight="1" x14ac:dyDescent="0.35">
      <c r="A31" s="23"/>
      <c r="B31" s="29"/>
      <c r="C31" s="29"/>
      <c r="D31" s="29"/>
      <c r="E31" s="23"/>
    </row>
    <row r="32" spans="1:5" ht="12" customHeight="1" x14ac:dyDescent="0.35">
      <c r="A32" s="23"/>
      <c r="B32" s="29"/>
      <c r="C32" s="29"/>
      <c r="D32" s="29"/>
      <c r="E32" s="23"/>
    </row>
    <row r="33" spans="1:5" ht="12" customHeight="1" x14ac:dyDescent="0.35">
      <c r="A33" s="23"/>
      <c r="B33" s="29"/>
      <c r="C33" s="29"/>
      <c r="D33" s="29"/>
      <c r="E33" s="23"/>
    </row>
    <row r="34" spans="1:5" ht="24" customHeight="1" x14ac:dyDescent="0.35">
      <c r="A34" s="23"/>
      <c r="B34" s="29"/>
      <c r="C34" s="29"/>
      <c r="D34" s="29"/>
      <c r="E34" s="22"/>
    </row>
    <row r="35" spans="1:5" ht="12" customHeight="1" x14ac:dyDescent="0.35">
      <c r="A35" s="23"/>
      <c r="B35" s="29"/>
      <c r="C35" s="29"/>
      <c r="D35" s="29"/>
      <c r="E35" s="23"/>
    </row>
    <row r="36" spans="1:5" ht="21" customHeight="1" x14ac:dyDescent="0.35">
      <c r="A36" s="23"/>
      <c r="B36" s="23"/>
      <c r="C36" s="24"/>
      <c r="D36" s="24"/>
      <c r="E36" s="23"/>
    </row>
    <row r="37" spans="1:5" ht="45" customHeight="1" x14ac:dyDescent="0.35">
      <c r="A37" s="140" t="s">
        <v>142</v>
      </c>
      <c r="B37" s="140"/>
      <c r="C37" s="140"/>
      <c r="D37" s="140"/>
      <c r="E37" s="140"/>
    </row>
    <row r="38" spans="1:5" ht="15" customHeight="1" x14ac:dyDescent="0.35">
      <c r="A38" s="50"/>
      <c r="B38" s="50"/>
      <c r="C38" s="50"/>
      <c r="D38" s="50"/>
      <c r="E38" s="50"/>
    </row>
    <row r="39" spans="1:5" ht="21" customHeight="1" x14ac:dyDescent="0.35">
      <c r="A39" s="140" t="s">
        <v>39</v>
      </c>
      <c r="B39" s="140"/>
      <c r="C39" s="140"/>
      <c r="D39" s="140"/>
      <c r="E39" s="140"/>
    </row>
    <row r="40" spans="1:5" ht="45" customHeight="1" x14ac:dyDescent="0.35">
      <c r="A40" s="140" t="s">
        <v>148</v>
      </c>
      <c r="B40" s="140"/>
      <c r="C40" s="140"/>
      <c r="D40" s="140"/>
      <c r="E40" s="140"/>
    </row>
    <row r="41" spans="1:5" ht="21" customHeight="1" x14ac:dyDescent="0.35">
      <c r="A41" s="50"/>
      <c r="B41" s="49" t="s">
        <v>34</v>
      </c>
      <c r="C41" s="51" t="s">
        <v>40</v>
      </c>
      <c r="D41" s="51"/>
      <c r="E41" s="51"/>
    </row>
    <row r="42" spans="1:5" ht="21" customHeight="1" x14ac:dyDescent="0.35">
      <c r="A42" s="50"/>
      <c r="B42" s="49" t="s">
        <v>37</v>
      </c>
      <c r="C42" s="139" t="s">
        <v>314</v>
      </c>
      <c r="D42" s="51"/>
      <c r="E42" s="51"/>
    </row>
    <row r="43" spans="1:5" ht="21" customHeight="1" x14ac:dyDescent="0.35">
      <c r="A43" s="50"/>
      <c r="B43" s="49" t="s">
        <v>38</v>
      </c>
      <c r="C43" s="52" t="s">
        <v>41</v>
      </c>
      <c r="D43" s="51"/>
      <c r="E43" s="51"/>
    </row>
    <row r="44" spans="1:5" ht="21" customHeight="1" x14ac:dyDescent="0.3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146050</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127000</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146050</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12700</xdr:rowOff>
                  </from>
                  <to>
                    <xdr:col>2</xdr:col>
                    <xdr:colOff>1936750</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127000</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127000</xdr:rowOff>
                  </from>
                  <to>
                    <xdr:col>2</xdr:col>
                    <xdr:colOff>1936750</xdr:colOff>
                    <xdr:row>34</xdr:row>
                    <xdr:rowOff>107950</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12700</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12700</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146050</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127000</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69850</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165100</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heetViews>
  <sheetFormatPr defaultColWidth="9.1796875" defaultRowHeight="14.5" x14ac:dyDescent="0.35"/>
  <cols>
    <col min="1" max="1" width="3.7265625" style="19" customWidth="1"/>
    <col min="2" max="2" width="48.7265625" style="19" customWidth="1"/>
    <col min="3" max="3" width="148.7265625" style="19" customWidth="1"/>
    <col min="4" max="4" width="3.7265625" style="19" customWidth="1"/>
    <col min="5" max="16384" width="9.1796875" style="19"/>
  </cols>
  <sheetData>
    <row r="1" spans="2:3" ht="9" customHeight="1" x14ac:dyDescent="0.35"/>
    <row r="2" spans="2:3" ht="39" customHeight="1" x14ac:dyDescent="0.35">
      <c r="B2" s="144" t="s">
        <v>145</v>
      </c>
      <c r="C2" s="145"/>
    </row>
    <row r="3" spans="2:3" ht="9.75" customHeight="1" x14ac:dyDescent="0.35">
      <c r="B3" s="60"/>
      <c r="C3" s="61"/>
    </row>
    <row r="4" spans="2:3" ht="36" customHeight="1" x14ac:dyDescent="0.35">
      <c r="B4" s="146" t="s">
        <v>82</v>
      </c>
      <c r="C4" s="62" t="s">
        <v>83</v>
      </c>
    </row>
    <row r="5" spans="2:3" ht="36" customHeight="1" x14ac:dyDescent="0.35">
      <c r="B5" s="147"/>
      <c r="C5" s="63" t="s">
        <v>134</v>
      </c>
    </row>
    <row r="6" spans="2:3" ht="36" customHeight="1" x14ac:dyDescent="0.35">
      <c r="B6" s="147"/>
      <c r="C6" s="63" t="s">
        <v>146</v>
      </c>
    </row>
    <row r="7" spans="2:3" ht="45" customHeight="1" x14ac:dyDescent="0.35">
      <c r="B7" s="148"/>
      <c r="C7" s="64" t="s">
        <v>84</v>
      </c>
    </row>
    <row r="8" spans="2:3" ht="9.75" customHeight="1" x14ac:dyDescent="0.35">
      <c r="B8" s="65"/>
      <c r="C8" s="66"/>
    </row>
    <row r="9" spans="2:3" ht="30" customHeight="1" x14ac:dyDescent="0.35">
      <c r="B9" s="67" t="s">
        <v>112</v>
      </c>
      <c r="C9" s="68"/>
    </row>
    <row r="10" spans="2:3" ht="9" customHeight="1" x14ac:dyDescent="0.35">
      <c r="B10" s="69"/>
      <c r="C10" s="63"/>
    </row>
    <row r="11" spans="2:3" ht="30" customHeight="1" x14ac:dyDescent="0.35">
      <c r="B11" s="70" t="s">
        <v>13</v>
      </c>
      <c r="C11" s="63" t="s">
        <v>147</v>
      </c>
    </row>
    <row r="12" spans="2:3" ht="15" customHeight="1" x14ac:dyDescent="0.35">
      <c r="B12" s="69"/>
      <c r="C12" s="63"/>
    </row>
    <row r="13" spans="2:3" ht="60" customHeight="1" x14ac:dyDescent="0.35">
      <c r="B13" s="70" t="s">
        <v>15</v>
      </c>
      <c r="C13" s="63" t="s">
        <v>136</v>
      </c>
    </row>
    <row r="14" spans="2:3" ht="15" customHeight="1" x14ac:dyDescent="0.35">
      <c r="B14" s="69"/>
      <c r="C14" s="63"/>
    </row>
    <row r="15" spans="2:3" ht="45" customHeight="1" x14ac:dyDescent="0.35">
      <c r="B15" s="149" t="s">
        <v>29</v>
      </c>
      <c r="C15" s="63" t="s">
        <v>312</v>
      </c>
    </row>
    <row r="16" spans="2:3" ht="63" customHeight="1" x14ac:dyDescent="0.35">
      <c r="B16" s="150"/>
      <c r="C16" s="63" t="s">
        <v>310</v>
      </c>
    </row>
    <row r="17" spans="2:3" ht="30" hidden="1" customHeight="1" x14ac:dyDescent="0.35">
      <c r="B17" s="69"/>
      <c r="C17" s="63" t="s">
        <v>120</v>
      </c>
    </row>
    <row r="18" spans="2:3" ht="63" hidden="1" customHeight="1" x14ac:dyDescent="0.35">
      <c r="B18" s="69"/>
      <c r="C18" s="63" t="s">
        <v>121</v>
      </c>
    </row>
    <row r="19" spans="2:3" ht="135" hidden="1" customHeight="1" x14ac:dyDescent="0.35">
      <c r="B19" s="69"/>
      <c r="C19" s="63" t="s">
        <v>122</v>
      </c>
    </row>
    <row r="20" spans="2:3" ht="60" hidden="1" customHeight="1" x14ac:dyDescent="0.35">
      <c r="B20" s="69"/>
      <c r="C20" s="63" t="s">
        <v>123</v>
      </c>
    </row>
    <row r="21" spans="2:3" ht="15" customHeight="1" x14ac:dyDescent="0.35">
      <c r="B21" s="69"/>
      <c r="C21" s="63"/>
    </row>
    <row r="22" spans="2:3" ht="30" customHeight="1" x14ac:dyDescent="0.35">
      <c r="B22" s="70" t="s">
        <v>156</v>
      </c>
      <c r="C22" s="63" t="s">
        <v>309</v>
      </c>
    </row>
    <row r="23" spans="2:3" ht="15" customHeight="1" x14ac:dyDescent="0.35">
      <c r="B23" s="69"/>
      <c r="C23" s="63"/>
    </row>
    <row r="24" spans="2:3" ht="75" customHeight="1" x14ac:dyDescent="0.35">
      <c r="B24" s="70" t="s">
        <v>110</v>
      </c>
      <c r="C24" s="63" t="s">
        <v>313</v>
      </c>
    </row>
    <row r="25" spans="2:3" ht="9" customHeight="1" x14ac:dyDescent="0.35">
      <c r="B25" s="71"/>
      <c r="C25" s="63"/>
    </row>
    <row r="26" spans="2:3" ht="15" customHeight="1" x14ac:dyDescent="0.35">
      <c r="B26" s="72" t="s">
        <v>124</v>
      </c>
      <c r="C26" s="63"/>
    </row>
    <row r="27" spans="2:3" ht="60" customHeight="1" x14ac:dyDescent="0.35">
      <c r="B27" s="69" t="s">
        <v>113</v>
      </c>
      <c r="C27" s="63" t="s">
        <v>308</v>
      </c>
    </row>
    <row r="28" spans="2:3" ht="9" customHeight="1" x14ac:dyDescent="0.35">
      <c r="B28" s="69"/>
      <c r="C28" s="63"/>
    </row>
    <row r="29" spans="2:3" ht="30" customHeight="1" x14ac:dyDescent="0.35">
      <c r="B29" s="69" t="s">
        <v>114</v>
      </c>
      <c r="C29" s="63" t="s">
        <v>137</v>
      </c>
    </row>
    <row r="30" spans="2:3" ht="9" customHeight="1" x14ac:dyDescent="0.35">
      <c r="B30" s="69"/>
      <c r="C30" s="63"/>
    </row>
    <row r="31" spans="2:3" ht="105" customHeight="1" x14ac:dyDescent="0.35">
      <c r="B31" s="151" t="s">
        <v>115</v>
      </c>
      <c r="C31" s="63" t="s">
        <v>311</v>
      </c>
    </row>
    <row r="32" spans="2:3" ht="105" customHeight="1" x14ac:dyDescent="0.35">
      <c r="B32" s="152"/>
      <c r="C32" s="63" t="s">
        <v>119</v>
      </c>
    </row>
    <row r="33" spans="1:3" ht="15" customHeight="1" x14ac:dyDescent="0.35">
      <c r="B33" s="69"/>
      <c r="C33" s="63"/>
    </row>
    <row r="34" spans="1:3" ht="30" customHeight="1" x14ac:dyDescent="0.35">
      <c r="B34" s="72" t="s">
        <v>129</v>
      </c>
      <c r="C34" s="63" t="s">
        <v>130</v>
      </c>
    </row>
    <row r="35" spans="1:3" ht="15" customHeight="1" x14ac:dyDescent="0.35">
      <c r="B35" s="69"/>
      <c r="C35" s="63"/>
    </row>
    <row r="36" spans="1:3" ht="18" customHeight="1" x14ac:dyDescent="0.35">
      <c r="B36" s="70" t="s">
        <v>111</v>
      </c>
      <c r="C36" s="63" t="s">
        <v>125</v>
      </c>
    </row>
    <row r="37" spans="1:3" ht="9" customHeight="1" x14ac:dyDescent="0.35">
      <c r="B37" s="71"/>
      <c r="C37" s="63"/>
    </row>
    <row r="38" spans="1:3" ht="15" customHeight="1" x14ac:dyDescent="0.35">
      <c r="B38" s="72" t="s">
        <v>124</v>
      </c>
      <c r="C38" s="63"/>
    </row>
    <row r="39" spans="1:3" ht="30" customHeight="1" x14ac:dyDescent="0.35">
      <c r="B39" s="69" t="s">
        <v>116</v>
      </c>
      <c r="C39" s="63" t="s">
        <v>126</v>
      </c>
    </row>
    <row r="40" spans="1:3" ht="9" customHeight="1" x14ac:dyDescent="0.35">
      <c r="B40" s="69"/>
      <c r="C40" s="63"/>
    </row>
    <row r="41" spans="1:3" ht="30" customHeight="1" x14ac:dyDescent="0.35">
      <c r="B41" s="151" t="s">
        <v>117</v>
      </c>
      <c r="C41" s="63" t="s">
        <v>127</v>
      </c>
    </row>
    <row r="42" spans="1:3" ht="59.25" customHeight="1" x14ac:dyDescent="0.35">
      <c r="B42" s="152"/>
      <c r="C42" s="63" t="s">
        <v>172</v>
      </c>
    </row>
    <row r="43" spans="1:3" ht="9" customHeight="1" x14ac:dyDescent="0.35">
      <c r="A43" s="43"/>
      <c r="B43" s="69"/>
      <c r="C43" s="63"/>
    </row>
    <row r="44" spans="1:3" ht="90" customHeight="1" x14ac:dyDescent="0.35">
      <c r="B44" s="69" t="s">
        <v>118</v>
      </c>
      <c r="C44" s="63" t="s">
        <v>128</v>
      </c>
    </row>
    <row r="45" spans="1:3" ht="14.25" customHeight="1" x14ac:dyDescent="0.35">
      <c r="B45" s="69"/>
      <c r="C45" s="63"/>
    </row>
    <row r="46" spans="1:3" ht="42" customHeight="1" x14ac:dyDescent="0.35">
      <c r="B46" s="69" t="s">
        <v>184</v>
      </c>
      <c r="C46" s="63" t="s">
        <v>186</v>
      </c>
    </row>
    <row r="47" spans="1:3" ht="15" customHeight="1" x14ac:dyDescent="0.35">
      <c r="B47" s="69"/>
      <c r="C47" s="63"/>
    </row>
    <row r="48" spans="1:3" ht="30" customHeight="1" x14ac:dyDescent="0.35">
      <c r="B48" s="72" t="s">
        <v>129</v>
      </c>
      <c r="C48" s="63" t="s">
        <v>131</v>
      </c>
    </row>
    <row r="49" spans="2:3" ht="18" customHeight="1" x14ac:dyDescent="0.35">
      <c r="B49" s="73"/>
      <c r="C49" s="64"/>
    </row>
    <row r="50" spans="2:3" ht="9" customHeight="1" x14ac:dyDescent="0.35">
      <c r="B50" s="74"/>
      <c r="C50" s="74"/>
    </row>
    <row r="51" spans="2:3" ht="36" customHeight="1" x14ac:dyDescent="0.35">
      <c r="B51" s="75" t="s">
        <v>85</v>
      </c>
      <c r="C51" s="68"/>
    </row>
    <row r="52" spans="2:3" ht="24" customHeight="1" x14ac:dyDescent="0.35">
      <c r="B52" s="76" t="s">
        <v>86</v>
      </c>
      <c r="C52" s="63"/>
    </row>
    <row r="53" spans="2:3" ht="12" customHeight="1" x14ac:dyDescent="0.35">
      <c r="B53" s="77"/>
      <c r="C53" s="63"/>
    </row>
    <row r="54" spans="2:3" x14ac:dyDescent="0.35">
      <c r="B54" s="71" t="s">
        <v>93</v>
      </c>
      <c r="C54" s="63" t="s">
        <v>87</v>
      </c>
    </row>
    <row r="55" spans="2:3" ht="12" customHeight="1" x14ac:dyDescent="0.35">
      <c r="B55" s="77"/>
      <c r="C55" s="63"/>
    </row>
    <row r="56" spans="2:3" x14ac:dyDescent="0.35">
      <c r="B56" s="71" t="s">
        <v>94</v>
      </c>
      <c r="C56" s="63" t="s">
        <v>180</v>
      </c>
    </row>
    <row r="57" spans="2:3" x14ac:dyDescent="0.35">
      <c r="B57" s="77"/>
      <c r="C57" s="63" t="s">
        <v>88</v>
      </c>
    </row>
    <row r="58" spans="2:3" ht="12" customHeight="1" x14ac:dyDescent="0.35">
      <c r="B58" s="77"/>
      <c r="C58" s="63"/>
    </row>
    <row r="59" spans="2:3" x14ac:dyDescent="0.35">
      <c r="B59" s="71" t="s">
        <v>95</v>
      </c>
      <c r="C59" s="63" t="s">
        <v>181</v>
      </c>
    </row>
    <row r="60" spans="2:3" x14ac:dyDescent="0.35">
      <c r="B60" s="77"/>
      <c r="C60" s="63" t="s">
        <v>89</v>
      </c>
    </row>
    <row r="61" spans="2:3" ht="12" customHeight="1" x14ac:dyDescent="0.35">
      <c r="B61" s="77"/>
      <c r="C61" s="63"/>
    </row>
    <row r="62" spans="2:3" x14ac:dyDescent="0.35">
      <c r="B62" s="71" t="s">
        <v>96</v>
      </c>
      <c r="C62" s="63" t="s">
        <v>182</v>
      </c>
    </row>
    <row r="63" spans="2:3" ht="18" customHeight="1" x14ac:dyDescent="0.35">
      <c r="B63" s="77"/>
      <c r="C63" s="63" t="s">
        <v>90</v>
      </c>
    </row>
    <row r="64" spans="2:3" ht="12" customHeight="1" x14ac:dyDescent="0.35">
      <c r="B64" s="77"/>
      <c r="C64" s="63"/>
    </row>
    <row r="65" spans="2:3" x14ac:dyDescent="0.35">
      <c r="B65" s="71" t="s">
        <v>97</v>
      </c>
      <c r="C65" s="63" t="s">
        <v>99</v>
      </c>
    </row>
    <row r="66" spans="2:3" ht="12" customHeight="1" x14ac:dyDescent="0.35">
      <c r="B66" s="77"/>
      <c r="C66" s="63"/>
    </row>
    <row r="67" spans="2:3" ht="29" x14ac:dyDescent="0.35">
      <c r="B67" s="71" t="s">
        <v>98</v>
      </c>
      <c r="C67" s="63" t="s">
        <v>91</v>
      </c>
    </row>
    <row r="68" spans="2:3" ht="12" customHeight="1" x14ac:dyDescent="0.35">
      <c r="B68" s="77"/>
      <c r="C68" s="63"/>
    </row>
    <row r="69" spans="2:3" ht="12" customHeight="1" x14ac:dyDescent="0.35">
      <c r="B69" s="77"/>
      <c r="C69" s="63"/>
    </row>
    <row r="70" spans="2:3" ht="43.5" x14ac:dyDescent="0.35">
      <c r="B70" s="78" t="s">
        <v>5</v>
      </c>
      <c r="C70" s="64" t="s">
        <v>92</v>
      </c>
    </row>
    <row r="71" spans="2:3" ht="9" customHeight="1" x14ac:dyDescent="0.35">
      <c r="B71" s="74"/>
      <c r="C71" s="74"/>
    </row>
    <row r="72" spans="2:3" ht="29" x14ac:dyDescent="0.35">
      <c r="B72" s="87" t="s">
        <v>135</v>
      </c>
      <c r="C72" s="79" t="s">
        <v>183</v>
      </c>
    </row>
    <row r="73" spans="2:3" ht="9" customHeight="1" x14ac:dyDescent="0.35">
      <c r="B73" s="74"/>
      <c r="C73" s="74"/>
    </row>
    <row r="74" spans="2:3" ht="24" customHeight="1" x14ac:dyDescent="0.35">
      <c r="B74" s="80" t="s">
        <v>100</v>
      </c>
      <c r="C74" s="81"/>
    </row>
    <row r="75" spans="2:3" ht="12" customHeight="1" x14ac:dyDescent="0.35">
      <c r="B75" s="82"/>
      <c r="C75" s="83"/>
    </row>
    <row r="76" spans="2:3" x14ac:dyDescent="0.35">
      <c r="B76" s="84" t="s">
        <v>102</v>
      </c>
      <c r="C76" s="83" t="s">
        <v>101</v>
      </c>
    </row>
    <row r="77" spans="2:3" x14ac:dyDescent="0.35">
      <c r="B77" s="84" t="s">
        <v>103</v>
      </c>
      <c r="C77" s="83" t="s">
        <v>109</v>
      </c>
    </row>
    <row r="78" spans="2:3" x14ac:dyDescent="0.35">
      <c r="B78" s="84" t="s">
        <v>132</v>
      </c>
      <c r="C78" s="83" t="s">
        <v>133</v>
      </c>
    </row>
    <row r="79" spans="2:3" x14ac:dyDescent="0.35">
      <c r="B79" s="84" t="s">
        <v>16</v>
      </c>
      <c r="C79" s="83" t="s">
        <v>106</v>
      </c>
    </row>
    <row r="80" spans="2:3" x14ac:dyDescent="0.35">
      <c r="B80" s="84" t="s">
        <v>107</v>
      </c>
      <c r="C80" s="83" t="s">
        <v>104</v>
      </c>
    </row>
    <row r="81" spans="2:3" x14ac:dyDescent="0.35">
      <c r="B81" s="85" t="s">
        <v>108</v>
      </c>
      <c r="C81" s="86" t="s">
        <v>105</v>
      </c>
    </row>
    <row r="82" spans="2:3" ht="24" customHeight="1" x14ac:dyDescent="0.3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8261350</xdr:colOff>
                    <xdr:row>1</xdr:row>
                    <xdr:rowOff>12700</xdr:rowOff>
                  </from>
                  <to>
                    <xdr:col>2</xdr:col>
                    <xdr:colOff>9906000</xdr:colOff>
                    <xdr:row>1</xdr:row>
                    <xdr:rowOff>488950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K9" sqref="K9"/>
    </sheetView>
  </sheetViews>
  <sheetFormatPr defaultColWidth="9.1796875" defaultRowHeight="12" x14ac:dyDescent="0.3"/>
  <cols>
    <col min="1" max="1" width="9.1796875" style="4"/>
    <col min="2" max="2" width="54.7265625" style="4" customWidth="1"/>
    <col min="3" max="3" width="10.7265625" style="4" customWidth="1"/>
    <col min="4" max="4" width="15.7265625" style="13" customWidth="1"/>
    <col min="5" max="15" width="15.7265625" style="4" customWidth="1"/>
    <col min="16" max="122" width="9.1796875" style="4"/>
    <col min="123" max="134" width="0" style="4" hidden="1" customWidth="1"/>
    <col min="135" max="16384" width="9.1796875" style="4"/>
  </cols>
  <sheetData>
    <row r="1" spans="1:134" ht="24" customHeight="1" x14ac:dyDescent="0.3">
      <c r="A1" s="153" t="s">
        <v>0</v>
      </c>
      <c r="B1" s="154"/>
      <c r="C1" s="20"/>
      <c r="D1" s="1"/>
      <c r="E1" s="2"/>
      <c r="F1" s="2"/>
      <c r="G1" s="2"/>
      <c r="H1" s="2"/>
      <c r="I1" s="2"/>
      <c r="J1" s="2"/>
      <c r="K1" s="2"/>
      <c r="L1" s="2"/>
      <c r="M1" s="2"/>
      <c r="N1" s="2"/>
      <c r="O1" s="2"/>
    </row>
    <row r="2" spans="1:134" ht="18" customHeight="1" x14ac:dyDescent="0.35">
      <c r="A2" s="155"/>
      <c r="B2" s="156"/>
      <c r="C2" s="1"/>
      <c r="D2" s="1"/>
      <c r="E2" s="5"/>
      <c r="F2" s="3"/>
      <c r="G2" s="3"/>
      <c r="H2" s="3"/>
      <c r="I2" s="3"/>
      <c r="J2" s="3"/>
      <c r="K2" s="3"/>
      <c r="L2" s="3"/>
      <c r="M2" s="3"/>
      <c r="N2" s="3"/>
      <c r="O2" s="3"/>
    </row>
    <row r="3" spans="1:134" ht="18" customHeight="1" x14ac:dyDescent="0.45">
      <c r="A3" s="157" t="s">
        <v>12</v>
      </c>
      <c r="B3" s="158"/>
      <c r="C3" s="1"/>
      <c r="D3" s="1"/>
      <c r="E3" s="5"/>
      <c r="F3" s="3"/>
      <c r="G3" s="3"/>
      <c r="H3" s="3"/>
      <c r="I3" s="3"/>
      <c r="J3" s="3"/>
      <c r="K3" s="3"/>
      <c r="L3" s="3"/>
      <c r="M3" s="3"/>
      <c r="N3" s="3"/>
      <c r="O3" s="3"/>
      <c r="DS3" s="4" t="s">
        <v>229</v>
      </c>
    </row>
    <row r="4" spans="1:134" ht="18" customHeight="1" x14ac:dyDescent="0.35">
      <c r="A4" s="159"/>
      <c r="B4" s="156"/>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35">
      <c r="A5" s="160" t="s">
        <v>3</v>
      </c>
      <c r="B5" s="161"/>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63"/>
      <c r="C6" s="46"/>
      <c r="D6" s="47"/>
      <c r="E6" s="48"/>
      <c r="F6" s="48"/>
      <c r="G6" s="48"/>
      <c r="H6" s="48"/>
      <c r="I6" s="48"/>
      <c r="J6" s="48"/>
      <c r="K6" s="48"/>
      <c r="L6" s="48"/>
      <c r="M6" s="48"/>
      <c r="N6" s="48"/>
      <c r="O6" s="48"/>
      <c r="DS6" s="4" t="str">
        <f>VLOOKUP(Cover!$D$15, Country_list!$B$3:$C$44, 2, 0)</f>
        <v>AT</v>
      </c>
      <c r="DV6" s="4" t="s">
        <v>298</v>
      </c>
    </row>
    <row r="7" spans="1:134" ht="24" customHeight="1" x14ac:dyDescent="0.25">
      <c r="A7" s="165" t="s">
        <v>15</v>
      </c>
      <c r="B7" s="166"/>
      <c r="C7" s="44"/>
      <c r="D7" s="15"/>
      <c r="E7" s="45"/>
      <c r="F7" s="45"/>
      <c r="G7" s="45"/>
      <c r="H7" s="45"/>
      <c r="I7" s="45"/>
      <c r="J7" s="45"/>
      <c r="K7" s="45"/>
      <c r="L7" s="45"/>
      <c r="M7" s="45"/>
      <c r="N7" s="45"/>
      <c r="O7" s="45"/>
    </row>
    <row r="8" spans="1:134" ht="24" customHeight="1" x14ac:dyDescent="0.25">
      <c r="A8" s="165" t="s">
        <v>29</v>
      </c>
      <c r="B8" s="166"/>
      <c r="C8" s="44"/>
      <c r="D8" s="15"/>
      <c r="E8" s="45"/>
      <c r="F8" s="45"/>
      <c r="G8" s="45"/>
      <c r="H8" s="45"/>
      <c r="I8" s="45"/>
      <c r="J8" s="45"/>
      <c r="K8" s="45"/>
      <c r="L8" s="45"/>
      <c r="M8" s="45"/>
      <c r="N8" s="45"/>
      <c r="O8" s="45"/>
    </row>
    <row r="9" spans="1:134" ht="24" customHeight="1" x14ac:dyDescent="0.25">
      <c r="A9" s="165" t="s">
        <v>156</v>
      </c>
      <c r="B9" s="166"/>
      <c r="C9" s="9" t="s">
        <v>132</v>
      </c>
      <c r="D9" s="88">
        <f>[4]KOHLE!AP$222/('1a_SpaceHeating'!D9+'1c_WaterHeating'!D9+'1d_Cooking'!D9)*1000</f>
        <v>25530.49401287943</v>
      </c>
      <c r="E9" s="88">
        <f>[4]KOHLE!AQ$222/('1a_SpaceHeating'!E9+'1c_WaterHeating'!E9+'1d_Cooking'!E9)*1000</f>
        <v>25448.410555656854</v>
      </c>
      <c r="F9" s="88">
        <f>[4]KOHLE!AR$222/('1a_SpaceHeating'!F9+'1c_WaterHeating'!F9+'1d_Cooking'!F9)*1000</f>
        <v>25740.551774345055</v>
      </c>
      <c r="G9" s="88">
        <f>[4]KOHLE!AS$222/('1a_SpaceHeating'!G9+'1c_WaterHeating'!G9+'1d_Cooking'!G9)*1000</f>
        <v>25240.691120520623</v>
      </c>
      <c r="H9" s="88">
        <f>[4]KOHLE!AT$222/('1a_SpaceHeating'!H9+'1c_WaterHeating'!H9+'1d_Cooking'!H9)*1000</f>
        <v>25690.324355907836</v>
      </c>
      <c r="I9" s="88">
        <f>[4]KOHLE!AU$222/('1a_SpaceHeating'!I9+'1c_WaterHeating'!I9+'1d_Cooking'!I9)*1000</f>
        <v>25015.236568837321</v>
      </c>
      <c r="J9" s="88">
        <f>[4]KOHLE!AV$222/('1a_SpaceHeating'!J9+'1c_WaterHeating'!J9+'1d_Cooking'!J9)*1000</f>
        <v>25745.578006984128</v>
      </c>
      <c r="K9" s="88">
        <f>[4]KOHLE!AW$222/('1a_SpaceHeating'!K9+'1c_WaterHeating'!K9+'1d_Cooking'!K9)*1000</f>
        <v>24827.256868444896</v>
      </c>
      <c r="L9" s="88">
        <f>[4]KOHLE!AX$222/('1a_SpaceHeating'!L9+'1c_WaterHeating'!L9+'1d_Cooking'!L9)*1000</f>
        <v>24723.934766008177</v>
      </c>
      <c r="M9" s="89"/>
      <c r="N9" s="89"/>
      <c r="O9" s="89"/>
      <c r="DT9" s="4" t="s">
        <v>279</v>
      </c>
      <c r="EB9" s="4" t="s">
        <v>300</v>
      </c>
      <c r="ED9" s="4" t="s">
        <v>301</v>
      </c>
    </row>
    <row r="10" spans="1:134" ht="24" customHeight="1" x14ac:dyDescent="0.25">
      <c r="A10" s="165" t="s">
        <v>20</v>
      </c>
      <c r="B10" s="166"/>
      <c r="C10" s="9" t="s">
        <v>132</v>
      </c>
      <c r="D10" s="88">
        <f>[4]ÖL!AP$222/('1a_SpaceHeating'!D10+'1c_WaterHeating'!D10+'1d_Cooking'!D10)*1000</f>
        <v>42834.014709336952</v>
      </c>
      <c r="E10" s="88">
        <f>[4]ÖL!AQ$222/('1a_SpaceHeating'!E10+'1c_WaterHeating'!E10+'1d_Cooking'!E10)*1000</f>
        <v>42840.547767529824</v>
      </c>
      <c r="F10" s="88">
        <f>[4]ÖL!AR$222/('1a_SpaceHeating'!F10+'1c_WaterHeating'!F10+'1d_Cooking'!F10)*1000</f>
        <v>42851.062838769205</v>
      </c>
      <c r="G10" s="88">
        <f>[4]ÖL!AS$222/('1a_SpaceHeating'!G10+'1c_WaterHeating'!G10+'1d_Cooking'!G10)*1000</f>
        <v>42858.826326667142</v>
      </c>
      <c r="H10" s="88">
        <f>[4]ÖL!AT$222/('1a_SpaceHeating'!H10+'1c_WaterHeating'!H10+'1d_Cooking'!H10)*1000</f>
        <v>43013.656004165052</v>
      </c>
      <c r="I10" s="88">
        <f>[4]ÖL!AU$222/('1a_SpaceHeating'!I10+'1c_WaterHeating'!I10+'1d_Cooking'!I10)*1000</f>
        <v>43011.415534536063</v>
      </c>
      <c r="J10" s="88">
        <f>[4]ÖL!AV$222/('1a_SpaceHeating'!J10+'1c_WaterHeating'!J10+'1d_Cooking'!J10)*1000</f>
        <v>42877.582365850787</v>
      </c>
      <c r="K10" s="88">
        <f>[4]ÖL!AW$222/('1a_SpaceHeating'!K10+'1c_WaterHeating'!K10+'1d_Cooking'!K10)*1000</f>
        <v>42892.369604753185</v>
      </c>
      <c r="L10" s="88">
        <f>[4]ÖL!AX$222/('1a_SpaceHeating'!L10+'1c_WaterHeating'!L10+'1d_Cooking'!L10)*1000</f>
        <v>42895.121659525117</v>
      </c>
      <c r="M10" s="89"/>
      <c r="N10" s="89"/>
      <c r="O10" s="89"/>
      <c r="DT10" s="4" t="s">
        <v>280</v>
      </c>
      <c r="EB10" s="4" t="s">
        <v>300</v>
      </c>
      <c r="ED10" s="4" t="s">
        <v>301</v>
      </c>
    </row>
    <row r="11" spans="1:134" s="13" customFormat="1" ht="15" customHeight="1" x14ac:dyDescent="0.3">
      <c r="A11" s="164" t="s">
        <v>18</v>
      </c>
      <c r="B11" s="102" t="s">
        <v>21</v>
      </c>
      <c r="C11" s="103" t="s">
        <v>132</v>
      </c>
      <c r="D11" s="107">
        <f>[5]LPG!Y$32</f>
        <v>46000</v>
      </c>
      <c r="E11" s="107">
        <f>[5]LPG!Z$32</f>
        <v>46000</v>
      </c>
      <c r="F11" s="107">
        <f>[5]LPG!AA$32</f>
        <v>46120</v>
      </c>
      <c r="G11" s="107">
        <f>[5]LPG!AB$32</f>
        <v>46000</v>
      </c>
      <c r="H11" s="107">
        <f>[5]LPG!AC$32</f>
        <v>46120</v>
      </c>
      <c r="I11" s="107">
        <f>[5]LPG!AD$32</f>
        <v>46120</v>
      </c>
      <c r="J11" s="107">
        <f>[5]LPG!AE$32</f>
        <v>46120</v>
      </c>
      <c r="K11" s="107">
        <f>[5]LPG!AF$32</f>
        <v>46120</v>
      </c>
      <c r="L11" s="107">
        <f>[5]LPG!AG$32</f>
        <v>46120</v>
      </c>
      <c r="M11" s="108"/>
      <c r="N11" s="108"/>
      <c r="O11" s="108"/>
      <c r="DT11" s="13" t="s">
        <v>281</v>
      </c>
      <c r="EB11" s="13" t="s">
        <v>300</v>
      </c>
      <c r="ED11" s="13" t="s">
        <v>301</v>
      </c>
    </row>
    <row r="12" spans="1:134" s="13" customFormat="1" ht="15" customHeight="1" x14ac:dyDescent="0.3">
      <c r="A12" s="164"/>
      <c r="B12" s="102" t="s">
        <v>22</v>
      </c>
      <c r="C12" s="103" t="s">
        <v>132</v>
      </c>
      <c r="D12" s="107"/>
      <c r="E12" s="107"/>
      <c r="F12" s="107"/>
      <c r="G12" s="107"/>
      <c r="H12" s="107"/>
      <c r="I12" s="107"/>
      <c r="J12" s="107"/>
      <c r="K12" s="107"/>
      <c r="L12" s="107"/>
      <c r="M12" s="107"/>
      <c r="N12" s="107"/>
      <c r="O12" s="107"/>
      <c r="DT12" s="13" t="s">
        <v>282</v>
      </c>
      <c r="EB12" s="13" t="s">
        <v>300</v>
      </c>
      <c r="ED12" s="13" t="s">
        <v>301</v>
      </c>
    </row>
    <row r="13" spans="1:134" s="13" customFormat="1" ht="15" customHeight="1" x14ac:dyDescent="0.3">
      <c r="A13" s="164"/>
      <c r="B13" s="102" t="s">
        <v>23</v>
      </c>
      <c r="C13" s="103" t="s">
        <v>132</v>
      </c>
      <c r="D13" s="107">
        <f>'[5]Heating and other gasoil'!Y$32</f>
        <v>42800</v>
      </c>
      <c r="E13" s="107">
        <f>'[5]Heating and other gasoil'!Z$32</f>
        <v>42800</v>
      </c>
      <c r="F13" s="107">
        <f>'[5]Heating and other gasoil'!AA$32</f>
        <v>42790.445</v>
      </c>
      <c r="G13" s="107">
        <f>'[5]Heating and other gasoil'!AB$32</f>
        <v>42788</v>
      </c>
      <c r="H13" s="107">
        <f>'[5]Heating and other gasoil'!AC$32</f>
        <v>42940</v>
      </c>
      <c r="I13" s="107">
        <f>'[5]Heating and other gasoil'!AD$32</f>
        <v>42940.004999999997</v>
      </c>
      <c r="J13" s="107">
        <f>'[5]Heating and other gasoil'!AE$32</f>
        <v>42803.993000000002</v>
      </c>
      <c r="K13" s="107">
        <f>'[5]Heating and other gasoil'!AF$32</f>
        <v>42804</v>
      </c>
      <c r="L13" s="107">
        <f>'[5]Heating and other gasoil'!AG$32</f>
        <v>42804</v>
      </c>
      <c r="M13" s="107"/>
      <c r="N13" s="107"/>
      <c r="O13" s="107"/>
      <c r="DT13" s="13" t="s">
        <v>283</v>
      </c>
      <c r="EB13" s="13" t="s">
        <v>300</v>
      </c>
      <c r="ED13" s="13" t="s">
        <v>301</v>
      </c>
    </row>
    <row r="14" spans="1:134" ht="24" customHeight="1" x14ac:dyDescent="0.25">
      <c r="A14" s="165" t="s">
        <v>24</v>
      </c>
      <c r="B14" s="166"/>
      <c r="C14" s="44"/>
      <c r="D14" s="15"/>
      <c r="E14" s="45"/>
      <c r="F14" s="45"/>
      <c r="G14" s="45"/>
      <c r="H14" s="45"/>
      <c r="I14" s="45"/>
      <c r="J14" s="45"/>
      <c r="K14" s="45"/>
      <c r="L14" s="45"/>
      <c r="M14" s="45"/>
      <c r="N14" s="45"/>
      <c r="O14" s="45"/>
    </row>
    <row r="15" spans="1:134" s="13" customFormat="1" ht="15" customHeight="1" x14ac:dyDescent="0.3">
      <c r="A15" s="164" t="s">
        <v>18</v>
      </c>
      <c r="B15" s="102" t="s">
        <v>26</v>
      </c>
      <c r="C15" s="14"/>
      <c r="D15" s="15"/>
      <c r="E15" s="12"/>
      <c r="F15" s="12"/>
      <c r="G15" s="12"/>
      <c r="H15" s="12"/>
      <c r="I15" s="12"/>
      <c r="J15" s="12"/>
      <c r="K15" s="12"/>
      <c r="L15" s="12"/>
      <c r="M15" s="12"/>
      <c r="N15" s="12"/>
      <c r="O15" s="12"/>
    </row>
    <row r="16" spans="1:134" s="13" customFormat="1" ht="15" customHeight="1" x14ac:dyDescent="0.3">
      <c r="A16" s="164"/>
      <c r="B16" s="102" t="s">
        <v>27</v>
      </c>
      <c r="C16" s="14"/>
      <c r="D16" s="15"/>
      <c r="E16" s="12"/>
      <c r="F16" s="12"/>
      <c r="G16" s="12"/>
      <c r="H16" s="12"/>
      <c r="I16" s="12"/>
      <c r="J16" s="12"/>
      <c r="K16" s="12"/>
      <c r="L16" s="12"/>
      <c r="M16" s="12"/>
      <c r="N16" s="12"/>
      <c r="O16" s="12"/>
    </row>
    <row r="17" spans="1:15" s="13" customFormat="1" ht="15" customHeight="1" x14ac:dyDescent="0.3">
      <c r="A17" s="164"/>
      <c r="B17" s="102" t="s">
        <v>28</v>
      </c>
      <c r="C17" s="14"/>
      <c r="D17" s="15"/>
      <c r="E17" s="12"/>
      <c r="F17" s="12"/>
      <c r="G17" s="12"/>
      <c r="H17" s="12"/>
      <c r="I17" s="12"/>
      <c r="J17" s="12"/>
      <c r="K17" s="12"/>
      <c r="L17" s="12"/>
      <c r="M17" s="12"/>
      <c r="N17" s="12"/>
      <c r="O17" s="12"/>
    </row>
    <row r="18" spans="1:15" s="13" customFormat="1" ht="15" customHeight="1" x14ac:dyDescent="0.3">
      <c r="A18" s="164"/>
      <c r="B18" s="102" t="s">
        <v>184</v>
      </c>
      <c r="C18" s="14"/>
      <c r="D18" s="15"/>
      <c r="E18" s="12"/>
      <c r="F18" s="12"/>
      <c r="G18" s="12"/>
      <c r="H18" s="12"/>
      <c r="I18" s="12"/>
      <c r="J18" s="12"/>
      <c r="K18" s="12"/>
      <c r="L18" s="12"/>
      <c r="M18" s="12"/>
      <c r="N18" s="12"/>
      <c r="O18" s="12"/>
    </row>
    <row r="19" spans="1:15" ht="21" customHeight="1" x14ac:dyDescent="0.3">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31750</xdr:rowOff>
                  </from>
                  <to>
                    <xdr:col>1</xdr:col>
                    <xdr:colOff>1028700</xdr:colOff>
                    <xdr:row>21</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5" sqref="D15:D18"/>
    </sheetView>
  </sheetViews>
  <sheetFormatPr defaultColWidth="15.7265625" defaultRowHeight="12" x14ac:dyDescent="0.35"/>
  <cols>
    <col min="1" max="1" width="9.1796875" style="32" customWidth="1"/>
    <col min="2" max="2" width="54.7265625" style="32" customWidth="1"/>
    <col min="3" max="3" width="15" style="32" customWidth="1"/>
    <col min="4" max="4" width="18.7265625" style="37" customWidth="1"/>
    <col min="5" max="10" width="15.7265625" style="32" customWidth="1"/>
    <col min="11" max="11" width="12.7265625" style="33" customWidth="1"/>
    <col min="12" max="12" width="9.1796875" style="32" customWidth="1"/>
    <col min="13" max="16384" width="15.7265625" style="32"/>
  </cols>
  <sheetData>
    <row r="1" spans="1:11" ht="24" customHeight="1" x14ac:dyDescent="0.35">
      <c r="A1" s="153" t="s">
        <v>0</v>
      </c>
      <c r="B1" s="172"/>
      <c r="C1" s="20"/>
      <c r="D1" s="1"/>
      <c r="E1" s="2"/>
      <c r="F1" s="2"/>
      <c r="G1" s="2"/>
      <c r="H1" s="2"/>
      <c r="I1" s="2"/>
      <c r="J1" s="2"/>
      <c r="K1" s="3"/>
    </row>
    <row r="2" spans="1:11" ht="18" customHeight="1" x14ac:dyDescent="0.35">
      <c r="A2" s="173" t="s">
        <v>1</v>
      </c>
      <c r="B2" s="174"/>
      <c r="C2" s="1" t="str">
        <f>Cover!D15</f>
        <v>Austria</v>
      </c>
      <c r="D2" s="1"/>
      <c r="E2" s="5"/>
      <c r="F2" s="3"/>
      <c r="G2" s="3"/>
      <c r="H2" s="3"/>
      <c r="I2" s="3"/>
      <c r="J2" s="3"/>
      <c r="K2" s="3"/>
    </row>
    <row r="3" spans="1:11" ht="18" customHeight="1" x14ac:dyDescent="0.35">
      <c r="A3" s="173" t="s">
        <v>2</v>
      </c>
      <c r="B3" s="175"/>
      <c r="C3" s="106">
        <v>2018</v>
      </c>
      <c r="D3" s="1"/>
      <c r="E3" s="5"/>
      <c r="F3" s="3"/>
      <c r="G3" s="3"/>
      <c r="H3" s="3"/>
      <c r="I3" s="3"/>
      <c r="J3" s="3"/>
      <c r="K3" s="3"/>
    </row>
    <row r="4" spans="1:11" ht="18" customHeight="1" x14ac:dyDescent="0.35">
      <c r="A4" s="176"/>
      <c r="B4" s="177"/>
      <c r="C4" s="20"/>
      <c r="D4" s="1"/>
      <c r="E4" s="5"/>
      <c r="F4" s="3"/>
      <c r="G4" s="3"/>
      <c r="H4" s="3"/>
      <c r="I4" s="3"/>
      <c r="J4" s="3"/>
      <c r="K4" s="3"/>
    </row>
    <row r="5" spans="1:11" ht="37.5" customHeight="1" x14ac:dyDescent="0.35">
      <c r="A5" s="160" t="s">
        <v>3</v>
      </c>
      <c r="B5" s="178"/>
      <c r="C5" s="6" t="s">
        <v>4</v>
      </c>
      <c r="D5" s="7" t="s">
        <v>5</v>
      </c>
      <c r="E5" s="6" t="s">
        <v>6</v>
      </c>
      <c r="F5" s="6" t="s">
        <v>7</v>
      </c>
      <c r="G5" s="6" t="s">
        <v>8</v>
      </c>
      <c r="H5" s="6" t="s">
        <v>9</v>
      </c>
      <c r="I5" s="6" t="s">
        <v>10</v>
      </c>
      <c r="J5" s="6" t="s">
        <v>11</v>
      </c>
      <c r="K5" s="7" t="s">
        <v>12</v>
      </c>
    </row>
    <row r="6" spans="1:11" ht="24" customHeight="1" x14ac:dyDescent="0.35">
      <c r="A6" s="170" t="s">
        <v>13</v>
      </c>
      <c r="B6" s="171"/>
      <c r="C6" s="100" t="s">
        <v>14</v>
      </c>
      <c r="D6" s="109">
        <f ca="1">SUM(E6:J6)</f>
        <v>17711.332999999999</v>
      </c>
      <c r="E6" s="110">
        <f ca="1">INDIRECT(ADDRESS(ROW(K6),$C$3 -2010 + 4,,,"1a_SpaceHeating"))</f>
        <v>2482.3922438501731</v>
      </c>
      <c r="F6" s="110">
        <f ca="1">INDIRECT(ADDRESS(ROW(K6),$C$3-2010+4,,,"1b_SpaceCooling"))</f>
        <v>7.8544352710320142</v>
      </c>
      <c r="G6" s="110">
        <f ca="1">INDIRECT(ADDRESS(ROW(K6),$C$3-2010+4,,,"1c_WaterHeating"))</f>
        <v>3197.7796171153959</v>
      </c>
      <c r="H6" s="110">
        <f ca="1">INDIRECT(ADDRESS(ROW(K6),$C$3-2010+4,,,"1d_Cooking"))</f>
        <v>1826.9433169354204</v>
      </c>
      <c r="I6" s="110">
        <f ca="1">INDIRECT(ADDRESS(ROW(K6),$C$3-2010+4,,,"1e_LightingAndAppliances"))</f>
        <v>7815.5858674405663</v>
      </c>
      <c r="J6" s="110">
        <f ca="1">INDIRECT(ADDRESS(ROW(K6),$C$3-2010+4,,,"1f_OtherEndUses"))</f>
        <v>2380.7775193874131</v>
      </c>
      <c r="K6" s="111"/>
    </row>
    <row r="7" spans="1:11" ht="24" customHeight="1" x14ac:dyDescent="0.35">
      <c r="A7" s="168" t="s">
        <v>15</v>
      </c>
      <c r="B7" s="169"/>
      <c r="C7" s="101" t="s">
        <v>16</v>
      </c>
      <c r="D7" s="112">
        <f t="shared" ref="D7:D16" ca="1" si="0">SUM(E7:J7)</f>
        <v>32007.09</v>
      </c>
      <c r="E7" s="113">
        <f t="shared" ref="E7:E16" ca="1" si="1">INDIRECT(ADDRESS(ROW(K7),$C$3 -2010 + 4,,,"1a_SpaceHeating"))</f>
        <v>27262.293173621027</v>
      </c>
      <c r="F7" s="114"/>
      <c r="G7" s="113">
        <f t="shared" ref="G7:G16" ca="1" si="2">INDIRECT(ADDRESS(ROW(K7),$C$3-2010+4,,,"1c_WaterHeating"))</f>
        <v>4744.7968263789735</v>
      </c>
      <c r="H7" s="113">
        <f t="shared" ref="H7:H16" ca="1" si="3">INDIRECT(ADDRESS(ROW(K7),$C$3-2010+4,,,"1d_Cooking"))</f>
        <v>0</v>
      </c>
      <c r="I7" s="114"/>
      <c r="J7" s="113">
        <f t="shared" ref="J7:J17" ca="1" si="4">INDIRECT(ADDRESS(ROW(K7),$C$3-2010+4,,,"1f_OtherEndUses"))</f>
        <v>0</v>
      </c>
      <c r="K7" s="114"/>
    </row>
    <row r="8" spans="1:11" ht="24" customHeight="1" x14ac:dyDescent="0.35">
      <c r="A8" s="168" t="s">
        <v>29</v>
      </c>
      <c r="B8" s="169"/>
      <c r="C8" s="101" t="s">
        <v>17</v>
      </c>
      <c r="D8" s="112">
        <f t="shared" ca="1" si="0"/>
        <v>62861.21</v>
      </c>
      <c r="E8" s="113">
        <f t="shared" ca="1" si="1"/>
        <v>54592.958170043246</v>
      </c>
      <c r="F8" s="114"/>
      <c r="G8" s="113">
        <f t="shared" ca="1" si="2"/>
        <v>7883.5077343834118</v>
      </c>
      <c r="H8" s="113">
        <f t="shared" ca="1" si="3"/>
        <v>384.74409557333883</v>
      </c>
      <c r="I8" s="114"/>
      <c r="J8" s="113">
        <f t="shared" ca="1" si="4"/>
        <v>0</v>
      </c>
      <c r="K8" s="114"/>
    </row>
    <row r="9" spans="1:11" ht="24" customHeight="1" x14ac:dyDescent="0.35">
      <c r="A9" s="168" t="s">
        <v>156</v>
      </c>
      <c r="B9" s="169"/>
      <c r="C9" s="101" t="s">
        <v>19</v>
      </c>
      <c r="D9" s="112">
        <f t="shared" ca="1" si="0"/>
        <v>33.491999999999997</v>
      </c>
      <c r="E9" s="113">
        <f t="shared" ca="1" si="1"/>
        <v>31.461918592742599</v>
      </c>
      <c r="F9" s="114"/>
      <c r="G9" s="113">
        <f t="shared" ca="1" si="2"/>
        <v>1.9333860176175934</v>
      </c>
      <c r="H9" s="113">
        <f t="shared" ca="1" si="3"/>
        <v>9.6695389639806839E-2</v>
      </c>
      <c r="I9" s="114"/>
      <c r="J9" s="113">
        <f t="shared" ca="1" si="4"/>
        <v>0</v>
      </c>
      <c r="K9" s="115">
        <f ca="1">INDIRECT(ADDRESS(ROW(K9),$C$3-2010+4,,,"Calorific_Values"))</f>
        <v>24723.934766008177</v>
      </c>
    </row>
    <row r="10" spans="1:11" ht="24" customHeight="1" x14ac:dyDescent="0.35">
      <c r="A10" s="168" t="s">
        <v>42</v>
      </c>
      <c r="B10" s="169"/>
      <c r="C10" s="101" t="s">
        <v>19</v>
      </c>
      <c r="D10" s="112">
        <f t="shared" ca="1" si="0"/>
        <v>910.99400000000003</v>
      </c>
      <c r="E10" s="113">
        <f t="shared" ca="1" si="1"/>
        <v>813.62975832968903</v>
      </c>
      <c r="F10" s="114"/>
      <c r="G10" s="113">
        <f t="shared" ca="1" si="2"/>
        <v>96.903150274493768</v>
      </c>
      <c r="H10" s="113">
        <f t="shared" ca="1" si="3"/>
        <v>0.46109139581716546</v>
      </c>
      <c r="I10" s="114"/>
      <c r="J10" s="113">
        <f t="shared" ca="1" si="4"/>
        <v>0</v>
      </c>
      <c r="K10" s="115">
        <f ca="1">INDIRECT(ADDRESS(ROW(K10),$C$3-2010+4,,,"Calorific_Values"))</f>
        <v>42895.121659525117</v>
      </c>
    </row>
    <row r="11" spans="1:11" s="33" customFormat="1" ht="15" customHeight="1" x14ac:dyDescent="0.35">
      <c r="A11" s="167" t="s">
        <v>18</v>
      </c>
      <c r="B11" s="10" t="s">
        <v>21</v>
      </c>
      <c r="C11" s="11" t="s">
        <v>19</v>
      </c>
      <c r="D11" s="116">
        <f t="shared" ca="1" si="0"/>
        <v>26.742000000000001</v>
      </c>
      <c r="E11" s="117">
        <f t="shared" ca="1" si="1"/>
        <v>23.547105230456399</v>
      </c>
      <c r="F11" s="118"/>
      <c r="G11" s="117">
        <f t="shared" ca="1" si="2"/>
        <v>2.7338033737264364</v>
      </c>
      <c r="H11" s="117">
        <f t="shared" ca="1" si="3"/>
        <v>0.46109139581716546</v>
      </c>
      <c r="I11" s="118"/>
      <c r="J11" s="117">
        <f t="shared" ca="1" si="4"/>
        <v>0</v>
      </c>
      <c r="K11" s="119">
        <f t="shared" ref="K11:K13" ca="1" si="5">INDIRECT(ADDRESS(ROW(K11),$C$3-2010+4,,,"Calorific_Values"))</f>
        <v>46120</v>
      </c>
    </row>
    <row r="12" spans="1:11" s="33" customFormat="1" ht="15" customHeight="1" x14ac:dyDescent="0.35">
      <c r="A12" s="167"/>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35">
      <c r="A13" s="167"/>
      <c r="B13" s="10" t="s">
        <v>23</v>
      </c>
      <c r="C13" s="11" t="s">
        <v>19</v>
      </c>
      <c r="D13" s="116">
        <f t="shared" ca="1" si="0"/>
        <v>884.11400000000003</v>
      </c>
      <c r="E13" s="117">
        <f t="shared" ca="1" si="1"/>
        <v>789.94465309923271</v>
      </c>
      <c r="F13" s="118"/>
      <c r="G13" s="117">
        <f t="shared" ca="1" si="2"/>
        <v>94.169346900767337</v>
      </c>
      <c r="H13" s="117">
        <f t="shared" ca="1" si="3"/>
        <v>0</v>
      </c>
      <c r="I13" s="118"/>
      <c r="J13" s="117">
        <f t="shared" ca="1" si="4"/>
        <v>0</v>
      </c>
      <c r="K13" s="119">
        <f t="shared" ca="1" si="5"/>
        <v>42804</v>
      </c>
    </row>
    <row r="14" spans="1:11" ht="24" customHeight="1" x14ac:dyDescent="0.35">
      <c r="A14" s="168" t="s">
        <v>43</v>
      </c>
      <c r="B14" s="169"/>
      <c r="C14" s="101" t="s">
        <v>16</v>
      </c>
      <c r="D14" s="112">
        <f t="shared" ca="1" si="0"/>
        <v>79862.842834606665</v>
      </c>
      <c r="E14" s="113">
        <f t="shared" ca="1" si="1"/>
        <v>66742.353799731252</v>
      </c>
      <c r="F14" s="114"/>
      <c r="G14" s="113">
        <f t="shared" ca="1" si="2"/>
        <v>12836.266543231068</v>
      </c>
      <c r="H14" s="113">
        <f t="shared" ca="1" si="3"/>
        <v>284.2224916443418</v>
      </c>
      <c r="I14" s="114"/>
      <c r="J14" s="113">
        <f t="shared" ca="1" si="4"/>
        <v>0</v>
      </c>
      <c r="K14" s="114"/>
    </row>
    <row r="15" spans="1:11" s="33" customFormat="1" ht="15" customHeight="1" x14ac:dyDescent="0.35">
      <c r="A15" s="167" t="s">
        <v>18</v>
      </c>
      <c r="B15" s="10" t="s">
        <v>26</v>
      </c>
      <c r="C15" s="11" t="s">
        <v>16</v>
      </c>
      <c r="D15" s="116">
        <f t="shared" ca="1" si="0"/>
        <v>4643.0010000000002</v>
      </c>
      <c r="E15" s="117">
        <f t="shared" ca="1" si="1"/>
        <v>1326.8851030472388</v>
      </c>
      <c r="F15" s="118"/>
      <c r="G15" s="117">
        <f t="shared" ca="1" si="2"/>
        <v>3316.1158969527614</v>
      </c>
      <c r="H15" s="117">
        <f t="shared" ca="1" si="3"/>
        <v>0</v>
      </c>
      <c r="I15" s="118"/>
      <c r="J15" s="117">
        <f t="shared" ca="1" si="4"/>
        <v>0</v>
      </c>
      <c r="K15" s="118"/>
    </row>
    <row r="16" spans="1:11" s="33" customFormat="1" ht="15" customHeight="1" x14ac:dyDescent="0.35">
      <c r="A16" s="167"/>
      <c r="B16" s="10" t="s">
        <v>27</v>
      </c>
      <c r="C16" s="11" t="s">
        <v>16</v>
      </c>
      <c r="D16" s="116">
        <f t="shared" ca="1" si="0"/>
        <v>67689.259000000005</v>
      </c>
      <c r="E16" s="117">
        <f t="shared" ca="1" si="1"/>
        <v>61157.969240686092</v>
      </c>
      <c r="F16" s="118"/>
      <c r="G16" s="117">
        <f t="shared" ca="1" si="2"/>
        <v>6248.0622214761597</v>
      </c>
      <c r="H16" s="117">
        <f t="shared" ca="1" si="3"/>
        <v>283.22753783775102</v>
      </c>
      <c r="I16" s="118"/>
      <c r="J16" s="117">
        <f t="shared" ca="1" si="4"/>
        <v>0</v>
      </c>
      <c r="K16" s="118"/>
    </row>
    <row r="17" spans="1:11" s="33" customFormat="1" ht="15" customHeight="1" x14ac:dyDescent="0.35">
      <c r="A17" s="167"/>
      <c r="B17" s="10" t="s">
        <v>28</v>
      </c>
      <c r="C17" s="11" t="s">
        <v>16</v>
      </c>
      <c r="D17" s="116">
        <f t="shared" ref="D17" ca="1" si="6">SUM(E17:J17)</f>
        <v>162.56</v>
      </c>
      <c r="E17" s="117">
        <f t="shared" ref="E17" ca="1" si="7">INDIRECT(ADDRESS(ROW(K17),$C$3 -2010 + 4,,,"1a_SpaceHeating"))</f>
        <v>141.17818095009991</v>
      </c>
      <c r="F17" s="118"/>
      <c r="G17" s="117">
        <f t="shared" ref="G17" ca="1" si="8">INDIRECT(ADDRESS(ROW(K17),$C$3-2010+4,,,"1c_WaterHeating"))</f>
        <v>20.386865243309305</v>
      </c>
      <c r="H17" s="117">
        <f t="shared" ref="H17" ca="1" si="9">INDIRECT(ADDRESS(ROW(K17),$C$3-2010+4,,,"1d_Cooking"))</f>
        <v>0.99495380659077282</v>
      </c>
      <c r="I17" s="118"/>
      <c r="J17" s="117">
        <f t="shared" ca="1" si="4"/>
        <v>0</v>
      </c>
      <c r="K17" s="118"/>
    </row>
    <row r="18" spans="1:11" s="33" customFormat="1" ht="15" customHeight="1" x14ac:dyDescent="0.35">
      <c r="A18" s="167"/>
      <c r="B18" s="33" t="s">
        <v>184</v>
      </c>
      <c r="C18" s="11" t="s">
        <v>16</v>
      </c>
      <c r="D18" s="116">
        <f ca="1">SUM(E18:J18)</f>
        <v>7115.8010000000004</v>
      </c>
      <c r="E18" s="117">
        <f ca="1">INDIRECT(ADDRESS(ROW(K18),$C$3 -2010 + 4,,,"1a_SpaceHeating"))</f>
        <v>3864.0994404411631</v>
      </c>
      <c r="F18" s="118"/>
      <c r="G18" s="117">
        <f ca="1">INDIRECT(ADDRESS(ROW(K18),$C$3-2010+4,,,"1c_WaterHeating"))</f>
        <v>3251.7015595588373</v>
      </c>
      <c r="H18" s="117">
        <f ca="1">INDIRECT(ADDRESS(ROW(K18),$C$3-2010+4,,,"1d_Cooking"))</f>
        <v>0</v>
      </c>
      <c r="I18" s="118"/>
      <c r="J18" s="117">
        <f ca="1">INDIRECT(ADDRESS(ROW(K18),$C$3-2010+4,,,"1f_OtherEndUses"))</f>
        <v>0</v>
      </c>
      <c r="K18" s="118"/>
    </row>
    <row r="19" spans="1:11" ht="21" customHeight="1" x14ac:dyDescent="0.3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31750</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3" sqref="E23"/>
    </sheetView>
  </sheetViews>
  <sheetFormatPr defaultColWidth="15.7265625" defaultRowHeight="12" x14ac:dyDescent="0.35"/>
  <cols>
    <col min="1" max="1" width="9.1796875" style="32" customWidth="1"/>
    <col min="2" max="2" width="54.7265625" style="32" customWidth="1"/>
    <col min="3" max="3" width="15" style="32" customWidth="1"/>
    <col min="4" max="4" width="18.7265625" style="37" customWidth="1"/>
    <col min="5" max="10" width="15.7265625" style="32" customWidth="1"/>
    <col min="11" max="11" width="12.7265625" style="33" customWidth="1"/>
    <col min="12" max="12" width="9.1796875" style="32" customWidth="1"/>
    <col min="13" max="16384" width="15.7265625" style="32"/>
  </cols>
  <sheetData>
    <row r="1" spans="1:11" ht="24" customHeight="1" x14ac:dyDescent="0.35">
      <c r="A1" s="153" t="s">
        <v>0</v>
      </c>
      <c r="B1" s="172"/>
      <c r="C1" s="20"/>
      <c r="D1" s="1"/>
      <c r="E1" s="2"/>
      <c r="F1" s="2"/>
      <c r="G1" s="2"/>
      <c r="H1" s="2"/>
      <c r="I1" s="2"/>
      <c r="J1" s="2"/>
      <c r="K1" s="3"/>
    </row>
    <row r="2" spans="1:11" ht="18" customHeight="1" x14ac:dyDescent="0.35">
      <c r="A2" s="173" t="s">
        <v>1</v>
      </c>
      <c r="B2" s="174"/>
      <c r="C2" s="1" t="str">
        <f>Cover!D15</f>
        <v>Austria</v>
      </c>
      <c r="D2" s="1"/>
      <c r="E2" s="5"/>
      <c r="F2" s="3"/>
      <c r="G2" s="3"/>
      <c r="H2" s="3"/>
      <c r="I2" s="3"/>
      <c r="J2" s="3"/>
      <c r="K2" s="3"/>
    </row>
    <row r="3" spans="1:11" ht="18" customHeight="1" x14ac:dyDescent="0.35">
      <c r="A3" s="173" t="s">
        <v>2</v>
      </c>
      <c r="B3" s="174"/>
      <c r="C3" s="1">
        <f>Table1_Totals!C3</f>
        <v>2018</v>
      </c>
      <c r="D3" s="1"/>
      <c r="E3" s="5"/>
      <c r="F3" s="3"/>
      <c r="G3" s="3"/>
      <c r="H3" s="3"/>
      <c r="I3" s="3"/>
      <c r="J3" s="3"/>
      <c r="K3" s="3"/>
    </row>
    <row r="4" spans="1:11" ht="18" customHeight="1" x14ac:dyDescent="0.35">
      <c r="A4" s="176"/>
      <c r="B4" s="177"/>
      <c r="C4" s="20"/>
      <c r="D4" s="1"/>
      <c r="E4" s="5"/>
      <c r="F4" s="3"/>
      <c r="G4" s="3"/>
      <c r="H4" s="3"/>
      <c r="I4" s="3"/>
      <c r="J4" s="3"/>
      <c r="K4" s="3"/>
    </row>
    <row r="5" spans="1:11" ht="37.5" customHeight="1" x14ac:dyDescent="0.35">
      <c r="A5" s="160" t="s">
        <v>3</v>
      </c>
      <c r="B5" s="178"/>
      <c r="C5" s="6" t="s">
        <v>4</v>
      </c>
      <c r="D5" s="7" t="s">
        <v>5</v>
      </c>
      <c r="E5" s="6" t="s">
        <v>6</v>
      </c>
      <c r="F5" s="6" t="s">
        <v>7</v>
      </c>
      <c r="G5" s="6" t="s">
        <v>8</v>
      </c>
      <c r="H5" s="6" t="s">
        <v>9</v>
      </c>
      <c r="I5" s="6" t="s">
        <v>10</v>
      </c>
      <c r="J5" s="6" t="s">
        <v>11</v>
      </c>
      <c r="K5" s="7" t="s">
        <v>12</v>
      </c>
    </row>
    <row r="6" spans="1:11" ht="24" customHeight="1" x14ac:dyDescent="0.35">
      <c r="A6" s="170" t="s">
        <v>13</v>
      </c>
      <c r="B6" s="171"/>
      <c r="C6" s="100" t="s">
        <v>16</v>
      </c>
      <c r="D6" s="109">
        <f ca="1">SUM(E6:J6)</f>
        <v>63760.798800000004</v>
      </c>
      <c r="E6" s="110">
        <f ca="1">Table1_Totals!E6*3.6</f>
        <v>8936.6120778606237</v>
      </c>
      <c r="F6" s="110">
        <f ca="1">Table1_Totals!F6*3.6</f>
        <v>28.275966975715253</v>
      </c>
      <c r="G6" s="110">
        <f ca="1">Table1_Totals!G6*3.6</f>
        <v>11512.006621615426</v>
      </c>
      <c r="H6" s="110">
        <f ca="1">Table1_Totals!H6*3.6</f>
        <v>6576.9959409675139</v>
      </c>
      <c r="I6" s="110">
        <f ca="1">Table1_Totals!I6*3.6</f>
        <v>28136.109122786038</v>
      </c>
      <c r="J6" s="110">
        <f ca="1">Table1_Totals!J6*3.6</f>
        <v>8570.799069794688</v>
      </c>
      <c r="K6" s="111"/>
    </row>
    <row r="7" spans="1:11" ht="24" customHeight="1" x14ac:dyDescent="0.35">
      <c r="A7" s="168" t="s">
        <v>15</v>
      </c>
      <c r="B7" s="169"/>
      <c r="C7" s="101" t="s">
        <v>16</v>
      </c>
      <c r="D7" s="112">
        <f t="shared" ref="D7:D18" ca="1" si="0">SUM(E7:J7)</f>
        <v>32007.09</v>
      </c>
      <c r="E7" s="113">
        <f ca="1">Table1_Totals!E7</f>
        <v>27262.293173621027</v>
      </c>
      <c r="F7" s="114"/>
      <c r="G7" s="113">
        <f ca="1">Table1_Totals!G7</f>
        <v>4744.7968263789735</v>
      </c>
      <c r="H7" s="113">
        <f ca="1">Table1_Totals!H7</f>
        <v>0</v>
      </c>
      <c r="I7" s="114"/>
      <c r="J7" s="113">
        <f ca="1">Table1_Totals!J7</f>
        <v>0</v>
      </c>
      <c r="K7" s="114"/>
    </row>
    <row r="8" spans="1:11" ht="24" customHeight="1" x14ac:dyDescent="0.35">
      <c r="A8" s="168" t="s">
        <v>29</v>
      </c>
      <c r="B8" s="169"/>
      <c r="C8" s="101" t="s">
        <v>16</v>
      </c>
      <c r="D8" s="112">
        <f t="shared" ca="1" si="0"/>
        <v>56575.089000000007</v>
      </c>
      <c r="E8" s="113">
        <f ca="1">Table1_Totals!E8*0.9</f>
        <v>49133.662353038926</v>
      </c>
      <c r="F8" s="114"/>
      <c r="G8" s="113">
        <f ca="1">Table1_Totals!G8*0.9</f>
        <v>7095.1569609450708</v>
      </c>
      <c r="H8" s="113">
        <f ca="1">Table1_Totals!H8*0.9</f>
        <v>346.26968601600493</v>
      </c>
      <c r="I8" s="114"/>
      <c r="J8" s="113">
        <f ca="1">Table1_Totals!J8*0.9</f>
        <v>0</v>
      </c>
      <c r="K8" s="114"/>
    </row>
    <row r="9" spans="1:11" ht="24" customHeight="1" x14ac:dyDescent="0.35">
      <c r="A9" s="168" t="s">
        <v>156</v>
      </c>
      <c r="B9" s="169"/>
      <c r="C9" s="101" t="s">
        <v>16</v>
      </c>
      <c r="D9" s="112">
        <f t="shared" ca="1" si="0"/>
        <v>828.05402318314589</v>
      </c>
      <c r="E9" s="113">
        <f ca="1">IF(Table1_Totals!E9&lt;&gt;0,IF(Table1_Totals!$K9&lt;&gt;0,Table1_Totals!E9*Table1_Totals!$K9/1000,"Please check CV"),"0,000")</f>
        <v>777.86242290042787</v>
      </c>
      <c r="F9" s="114"/>
      <c r="G9" s="113">
        <f ca="1">IF(Table1_Totals!G9&lt;&gt;0,IF(Table1_Totals!$K9&lt;&gt;0,Table1_Totals!G9*Table1_Totals!$K$9/1000,"Please check CV"),"0,000")</f>
        <v>47.800909777089714</v>
      </c>
      <c r="H9" s="113">
        <f ca="1">IF(Table1_Totals!H9&lt;&gt;0,IF(Table1_Totals!$K9&lt;&gt;0,Table1_Totals!H9*Table1_Totals!$K$9/1000,"Please check CV"),"0,000")</f>
        <v>2.390690505628327</v>
      </c>
      <c r="I9" s="114"/>
      <c r="J9" s="113" t="str">
        <f ca="1">IF(Table1_Totals!J9&lt;&gt;0,IF(Table1_Totals!$K9&lt;&gt;0,Table1_Totals!J9*Table1_Totals!$K$9/1000,"Please check CV"),"0,000")</f>
        <v>0,000</v>
      </c>
      <c r="K9" s="115">
        <f ca="1">Table1_Totals!K9</f>
        <v>24723.934766008177</v>
      </c>
    </row>
    <row r="10" spans="1:11" ht="24" customHeight="1" x14ac:dyDescent="0.35">
      <c r="A10" s="168" t="s">
        <v>42</v>
      </c>
      <c r="B10" s="169"/>
      <c r="C10" s="101" t="s">
        <v>16</v>
      </c>
      <c r="D10" s="112">
        <f t="shared" ca="1" si="0"/>
        <v>39077.198461097425</v>
      </c>
      <c r="E10" s="113">
        <f ca="1">IF(Table1_Totals!E10&lt;&gt;0,IF(Table1_Totals!$K10&lt;&gt;0,Table1_Totals!E10*Table1_Totals!$K10/1000,"Please check CV"),"0,000")</f>
        <v>34900.747469362032</v>
      </c>
      <c r="F10" s="114"/>
      <c r="G10" s="113">
        <f ca="1">IF(Table1_Totals!G10&lt;&gt;0,IF(Table1_Totals!$K10&lt;&gt;0,Table1_Totals!G10*Table1_Totals!$K10/1000,"Please check CV"),"0,000")</f>
        <v>4156.6724202156547</v>
      </c>
      <c r="H10" s="113">
        <f ca="1">IF(Table1_Totals!H10&lt;&gt;0,IF(Table1_Totals!$K10&lt;&gt;0,Table1_Totals!H10*Table1_Totals!$K10/1000,"Please check CV"),"0,000")</f>
        <v>19.778571519737564</v>
      </c>
      <c r="I10" s="114"/>
      <c r="J10" s="113" t="str">
        <f ca="1">IF(Table1_Totals!J10&lt;&gt;0,IF(Table1_Totals!$K10&lt;&gt;0,Table1_Totals!J10*Table1_Totals!$K10/1000,"Please check CV"),"0,000")</f>
        <v>0,000</v>
      </c>
      <c r="K10" s="115">
        <f ca="1">Table1_Totals!K10</f>
        <v>42895.121659525117</v>
      </c>
    </row>
    <row r="11" spans="1:11" s="33" customFormat="1" ht="15" customHeight="1" x14ac:dyDescent="0.35">
      <c r="A11" s="167" t="s">
        <v>18</v>
      </c>
      <c r="B11" s="10" t="s">
        <v>21</v>
      </c>
      <c r="C11" s="11" t="s">
        <v>16</v>
      </c>
      <c r="D11" s="116">
        <f t="shared" ca="1" si="0"/>
        <v>1233.34104</v>
      </c>
      <c r="E11" s="117">
        <f ca="1">IF(Table1_Totals!E11&lt;&gt;0,IF(Table1_Totals!$K11&lt;&gt;0,Table1_Totals!E11*Table1_Totals!$K11/1000,"Please check CV"),"0,000")</f>
        <v>1085.992493228649</v>
      </c>
      <c r="F11" s="118"/>
      <c r="G11" s="117">
        <f ca="1">IF(Table1_Totals!G11&lt;&gt;0,IF(Table1_Totals!$K11&lt;&gt;0,Table1_Totals!G11*Table1_Totals!$K11/1000,"Please check CV"),"0,000")</f>
        <v>126.08301159626326</v>
      </c>
      <c r="H11" s="117">
        <f ca="1">IF(Table1_Totals!H11&lt;&gt;0,IF(Table1_Totals!$K11&lt;&gt;0,Table1_Totals!H11*Table1_Totals!$K11/1000,"Please check CV"),"0,000")</f>
        <v>21.265535175087674</v>
      </c>
      <c r="I11" s="118"/>
      <c r="J11" s="117" t="str">
        <f ca="1">IF(Table1_Totals!J11&lt;&gt;0,IF(Table1_Totals!$K11&lt;&gt;0,Table1_Totals!J11*Table1_Totals!$K11/1000,"Please check CV"),"0,000")</f>
        <v>0,000</v>
      </c>
      <c r="K11" s="119">
        <f ca="1">Table1_Totals!K11</f>
        <v>46120</v>
      </c>
    </row>
    <row r="12" spans="1:11" s="33" customFormat="1" ht="15" customHeight="1" x14ac:dyDescent="0.35">
      <c r="A12" s="167"/>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35">
      <c r="A13" s="167"/>
      <c r="B13" s="10" t="s">
        <v>23</v>
      </c>
      <c r="C13" s="11" t="s">
        <v>16</v>
      </c>
      <c r="D13" s="116">
        <f t="shared" ca="1" si="0"/>
        <v>37843.615656000002</v>
      </c>
      <c r="E13" s="117">
        <f ca="1">IF(Table1_Totals!E13&lt;&gt;0,IF(Table1_Totals!$K13&lt;&gt;0,Table1_Totals!E13*Table1_Totals!$K13/1000,"Please check CV"),"0,000")</f>
        <v>33812.790931259558</v>
      </c>
      <c r="F13" s="118"/>
      <c r="G13" s="117">
        <f ca="1">IF(Table1_Totals!G13&lt;&gt;0,IF(Table1_Totals!$K13&lt;&gt;0,Table1_Totals!G13*Table1_Totals!$K13/1000,"Please check CV"),"0,000")</f>
        <v>4030.8247247404452</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42804</v>
      </c>
    </row>
    <row r="14" spans="1:11" ht="24" customHeight="1" x14ac:dyDescent="0.35">
      <c r="A14" s="168" t="s">
        <v>43</v>
      </c>
      <c r="B14" s="169"/>
      <c r="C14" s="101" t="s">
        <v>16</v>
      </c>
      <c r="D14" s="112">
        <f t="shared" ca="1" si="0"/>
        <v>79862.842834606665</v>
      </c>
      <c r="E14" s="113">
        <f ca="1">Table1_Totals!E14</f>
        <v>66742.353799731252</v>
      </c>
      <c r="F14" s="114"/>
      <c r="G14" s="113">
        <f ca="1">Table1_Totals!G14</f>
        <v>12836.266543231068</v>
      </c>
      <c r="H14" s="113">
        <f ca="1">Table1_Totals!H14</f>
        <v>284.2224916443418</v>
      </c>
      <c r="I14" s="114"/>
      <c r="J14" s="113">
        <f ca="1">Table1_Totals!J14</f>
        <v>0</v>
      </c>
      <c r="K14" s="114"/>
    </row>
    <row r="15" spans="1:11" s="33" customFormat="1" ht="15" customHeight="1" x14ac:dyDescent="0.35">
      <c r="A15" s="167" t="s">
        <v>18</v>
      </c>
      <c r="B15" s="10" t="s">
        <v>26</v>
      </c>
      <c r="C15" s="11" t="s">
        <v>16</v>
      </c>
      <c r="D15" s="116">
        <f t="shared" ca="1" si="0"/>
        <v>4643.0010000000002</v>
      </c>
      <c r="E15" s="117">
        <f ca="1">Table1_Totals!E15</f>
        <v>1326.8851030472388</v>
      </c>
      <c r="F15" s="118"/>
      <c r="G15" s="117">
        <f ca="1">Table1_Totals!G15</f>
        <v>3316.1158969527614</v>
      </c>
      <c r="H15" s="117">
        <f ca="1">Table1_Totals!H15</f>
        <v>0</v>
      </c>
      <c r="I15" s="118"/>
      <c r="J15" s="117">
        <f ca="1">Table1_Totals!J15</f>
        <v>0</v>
      </c>
      <c r="K15" s="118"/>
    </row>
    <row r="16" spans="1:11" s="33" customFormat="1" ht="15" customHeight="1" x14ac:dyDescent="0.35">
      <c r="A16" s="167"/>
      <c r="B16" s="10" t="s">
        <v>27</v>
      </c>
      <c r="C16" s="11" t="s">
        <v>16</v>
      </c>
      <c r="D16" s="116">
        <f t="shared" ca="1" si="0"/>
        <v>67689.259000000005</v>
      </c>
      <c r="E16" s="117">
        <f ca="1">Table1_Totals!E16</f>
        <v>61157.969240686092</v>
      </c>
      <c r="F16" s="118"/>
      <c r="G16" s="117">
        <f ca="1">Table1_Totals!G16</f>
        <v>6248.0622214761597</v>
      </c>
      <c r="H16" s="117">
        <f ca="1">Table1_Totals!H16</f>
        <v>283.22753783775102</v>
      </c>
      <c r="I16" s="118"/>
      <c r="J16" s="117">
        <f ca="1">Table1_Totals!J16</f>
        <v>0</v>
      </c>
      <c r="K16" s="118"/>
    </row>
    <row r="17" spans="1:11" s="33" customFormat="1" ht="15" customHeight="1" x14ac:dyDescent="0.35">
      <c r="A17" s="167"/>
      <c r="B17" s="10" t="s">
        <v>28</v>
      </c>
      <c r="C17" s="11"/>
      <c r="D17" s="116">
        <f t="shared" ref="D17" ca="1" si="1">SUM(E17:J17)</f>
        <v>162.56</v>
      </c>
      <c r="E17" s="117">
        <f ca="1">Table1_Totals!E17</f>
        <v>141.17818095009991</v>
      </c>
      <c r="F17" s="118"/>
      <c r="G17" s="117">
        <f ca="1">Table1_Totals!G17</f>
        <v>20.386865243309305</v>
      </c>
      <c r="H17" s="117">
        <f ca="1">Table1_Totals!H17</f>
        <v>0.99495380659077282</v>
      </c>
      <c r="I17" s="118"/>
      <c r="J17" s="117">
        <f ca="1">Table1_Totals!J17</f>
        <v>0</v>
      </c>
      <c r="K17" s="118"/>
    </row>
    <row r="18" spans="1:11" s="33" customFormat="1" ht="15" customHeight="1" x14ac:dyDescent="0.35">
      <c r="A18" s="167"/>
      <c r="B18" s="33" t="s">
        <v>184</v>
      </c>
      <c r="C18" s="11" t="s">
        <v>16</v>
      </c>
      <c r="D18" s="116">
        <f t="shared" ca="1" si="0"/>
        <v>7115.8010000000004</v>
      </c>
      <c r="E18" s="117">
        <f ca="1">Table1_Totals!E18</f>
        <v>3864.0994404411631</v>
      </c>
      <c r="F18" s="118"/>
      <c r="G18" s="117">
        <f ca="1">Table1_Totals!G18</f>
        <v>3251.7015595588373</v>
      </c>
      <c r="H18" s="117">
        <f ca="1">Table1_Totals!H18</f>
        <v>0</v>
      </c>
      <c r="I18" s="118"/>
      <c r="J18" s="117">
        <f ca="1">Table1_Totals!J18</f>
        <v>0</v>
      </c>
      <c r="K18" s="118"/>
    </row>
    <row r="19" spans="1:11" ht="24" customHeight="1" x14ac:dyDescent="0.35">
      <c r="A19" s="168" t="s">
        <v>171</v>
      </c>
      <c r="B19" s="169"/>
      <c r="C19" s="101" t="s">
        <v>16</v>
      </c>
      <c r="D19" s="112">
        <f t="shared" ref="D19" ca="1" si="2">SUM(E19:J19)</f>
        <v>272111.07311888726</v>
      </c>
      <c r="E19" s="113">
        <f ca="1">SUM(E6:E10,E14)</f>
        <v>187753.53129651429</v>
      </c>
      <c r="F19" s="113">
        <f t="shared" ref="F19:J19" ca="1" si="3">SUM(F6:F10,F14)</f>
        <v>28.275966975715253</v>
      </c>
      <c r="G19" s="113">
        <f t="shared" ca="1" si="3"/>
        <v>40392.700282163278</v>
      </c>
      <c r="H19" s="113">
        <f t="shared" ca="1" si="3"/>
        <v>7229.6573806532269</v>
      </c>
      <c r="I19" s="113">
        <f t="shared" ca="1" si="3"/>
        <v>28136.109122786038</v>
      </c>
      <c r="J19" s="113">
        <f t="shared" ca="1" si="3"/>
        <v>8570.799069794688</v>
      </c>
      <c r="K19" s="114"/>
    </row>
    <row r="20" spans="1:11" ht="21" customHeight="1" x14ac:dyDescent="0.3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35">
      <c r="D21" s="94"/>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31750</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defaultColWidth="9.1796875" defaultRowHeight="12" x14ac:dyDescent="0.35"/>
  <cols>
    <col min="1" max="1" width="9.1796875" style="32"/>
    <col min="2" max="2" width="54.7265625" style="32" customWidth="1"/>
    <col min="3" max="3" width="10.81640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30</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5">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81"/>
      <c r="C6" s="8" t="s">
        <v>14</v>
      </c>
      <c r="D6" s="55">
        <v>2529.7366621561141</v>
      </c>
      <c r="E6" s="55">
        <v>2539.5118149777413</v>
      </c>
      <c r="F6" s="55">
        <v>2737.033000271555</v>
      </c>
      <c r="G6" s="55">
        <v>2739.9758252527636</v>
      </c>
      <c r="H6" s="55">
        <v>2580.3229463294479</v>
      </c>
      <c r="I6" s="55">
        <v>2550.4001262529587</v>
      </c>
      <c r="J6" s="55">
        <v>2506.1336766483587</v>
      </c>
      <c r="K6" s="56">
        <v>2520.1605900022141</v>
      </c>
      <c r="L6" s="56">
        <v>2482.3922438501731</v>
      </c>
      <c r="M6" s="56"/>
      <c r="N6" s="56"/>
      <c r="O6" s="56"/>
      <c r="DS6" s="4" t="str">
        <f>VLOOKUP(Cover!$D$15, Country_list!$B$3:$C$44, 2, 0)</f>
        <v>AT</v>
      </c>
      <c r="DT6" s="32" t="s">
        <v>289</v>
      </c>
      <c r="DV6" s="32" t="s">
        <v>302</v>
      </c>
      <c r="EB6" s="32" t="s">
        <v>291</v>
      </c>
      <c r="ED6" s="32" t="s">
        <v>294</v>
      </c>
    </row>
    <row r="7" spans="1:134" ht="24" customHeight="1" x14ac:dyDescent="0.35">
      <c r="A7" s="165" t="s">
        <v>15</v>
      </c>
      <c r="B7" s="182"/>
      <c r="C7" s="9" t="s">
        <v>25</v>
      </c>
      <c r="D7" s="54">
        <v>21046.300657838914</v>
      </c>
      <c r="E7" s="54">
        <v>20528.251150310371</v>
      </c>
      <c r="F7" s="54">
        <v>23273.463528518208</v>
      </c>
      <c r="G7" s="54">
        <v>26785.59262532858</v>
      </c>
      <c r="H7" s="54">
        <v>24213.602603678119</v>
      </c>
      <c r="I7" s="54">
        <v>26753.890437285387</v>
      </c>
      <c r="J7" s="54">
        <v>27805.407322905619</v>
      </c>
      <c r="K7" s="54">
        <v>29707.645805816621</v>
      </c>
      <c r="L7" s="54">
        <v>27262.293173621027</v>
      </c>
      <c r="M7" s="54"/>
      <c r="N7" s="54"/>
      <c r="O7" s="54"/>
      <c r="DT7" s="32" t="s">
        <v>290</v>
      </c>
      <c r="EB7" s="32" t="s">
        <v>291</v>
      </c>
      <c r="ED7" s="32" t="s">
        <v>295</v>
      </c>
    </row>
    <row r="8" spans="1:134" ht="24" customHeight="1" x14ac:dyDescent="0.35">
      <c r="A8" s="165" t="s">
        <v>29</v>
      </c>
      <c r="B8" s="182"/>
      <c r="C8" s="9" t="s">
        <v>17</v>
      </c>
      <c r="D8" s="54">
        <v>63852.363884944971</v>
      </c>
      <c r="E8" s="54">
        <v>55330.242170185687</v>
      </c>
      <c r="F8" s="54">
        <v>56628.514683531444</v>
      </c>
      <c r="G8" s="54">
        <v>57626.651447365744</v>
      </c>
      <c r="H8" s="54">
        <v>48525.737788527666</v>
      </c>
      <c r="I8" s="54">
        <v>54067.522584923412</v>
      </c>
      <c r="J8" s="54">
        <v>60842.998692528148</v>
      </c>
      <c r="K8" s="54">
        <v>59883.098747951553</v>
      </c>
      <c r="L8" s="54">
        <v>54592.958170043246</v>
      </c>
      <c r="M8" s="54"/>
      <c r="N8" s="54"/>
      <c r="O8" s="54"/>
      <c r="DT8" s="32" t="s">
        <v>231</v>
      </c>
      <c r="EB8" s="32" t="s">
        <v>291</v>
      </c>
      <c r="ED8" s="32" t="s">
        <v>296</v>
      </c>
    </row>
    <row r="9" spans="1:134" ht="24" customHeight="1" x14ac:dyDescent="0.35">
      <c r="A9" s="165" t="s">
        <v>156</v>
      </c>
      <c r="B9" s="182"/>
      <c r="C9" s="9" t="s">
        <v>19</v>
      </c>
      <c r="D9" s="54">
        <v>93.544390760943458</v>
      </c>
      <c r="E9" s="54">
        <v>60.028708501149829</v>
      </c>
      <c r="F9" s="54">
        <v>64.532085961254751</v>
      </c>
      <c r="G9" s="54">
        <v>49.147375039331664</v>
      </c>
      <c r="H9" s="54">
        <v>40.255475000733881</v>
      </c>
      <c r="I9" s="54">
        <v>32.827601764442669</v>
      </c>
      <c r="J9" s="54">
        <v>31.362230740132425</v>
      </c>
      <c r="K9" s="54">
        <v>35.118009216263268</v>
      </c>
      <c r="L9" s="54">
        <v>31.461918592742599</v>
      </c>
      <c r="M9" s="54"/>
      <c r="N9" s="54"/>
      <c r="O9" s="54"/>
      <c r="DT9" s="32" t="s">
        <v>279</v>
      </c>
      <c r="EB9" s="32" t="s">
        <v>292</v>
      </c>
      <c r="ED9" s="32" t="s">
        <v>293</v>
      </c>
    </row>
    <row r="10" spans="1:134" ht="24" customHeight="1" x14ac:dyDescent="0.35">
      <c r="A10" s="165" t="s">
        <v>20</v>
      </c>
      <c r="B10" s="182"/>
      <c r="C10" s="9" t="s">
        <v>19</v>
      </c>
      <c r="D10" s="54">
        <v>1159.3608203059821</v>
      </c>
      <c r="E10" s="54">
        <v>989.53987366651211</v>
      </c>
      <c r="F10" s="54">
        <v>909.87703149296919</v>
      </c>
      <c r="G10" s="54">
        <v>981.88229883233657</v>
      </c>
      <c r="H10" s="54">
        <v>845.27404314433147</v>
      </c>
      <c r="I10" s="54">
        <v>891.52113011255244</v>
      </c>
      <c r="J10" s="54">
        <v>891.72454228384515</v>
      </c>
      <c r="K10" s="54">
        <v>903.11358613974687</v>
      </c>
      <c r="L10" s="54">
        <v>813.62975832968903</v>
      </c>
      <c r="M10" s="54"/>
      <c r="N10" s="54"/>
      <c r="O10" s="54"/>
      <c r="DT10" s="32" t="s">
        <v>280</v>
      </c>
      <c r="EB10" s="32" t="s">
        <v>292</v>
      </c>
      <c r="ED10" s="32" t="s">
        <v>293</v>
      </c>
    </row>
    <row r="11" spans="1:134" s="33" customFormat="1" ht="15" customHeight="1" x14ac:dyDescent="0.35">
      <c r="A11" s="164" t="s">
        <v>18</v>
      </c>
      <c r="B11" s="102" t="s">
        <v>21</v>
      </c>
      <c r="C11" s="103" t="s">
        <v>19</v>
      </c>
      <c r="D11" s="105">
        <v>28.89367480624799</v>
      </c>
      <c r="E11" s="105">
        <v>19.1195692130776</v>
      </c>
      <c r="F11" s="105">
        <v>20.339837299321552</v>
      </c>
      <c r="G11" s="105">
        <v>24.709041276193652</v>
      </c>
      <c r="H11" s="105">
        <v>20.387895093149275</v>
      </c>
      <c r="I11" s="105">
        <v>20.526764883150271</v>
      </c>
      <c r="J11" s="105">
        <v>21.136699787209992</v>
      </c>
      <c r="K11" s="105">
        <v>25.599618217226045</v>
      </c>
      <c r="L11" s="105">
        <v>23.547105230456399</v>
      </c>
      <c r="M11" s="105"/>
      <c r="N11" s="105"/>
      <c r="O11" s="105"/>
      <c r="DT11" s="33" t="s">
        <v>281</v>
      </c>
      <c r="EB11" s="33" t="s">
        <v>292</v>
      </c>
      <c r="ED11" s="33" t="s">
        <v>293</v>
      </c>
    </row>
    <row r="12" spans="1:134" s="33" customFormat="1" ht="15" customHeight="1" x14ac:dyDescent="0.35">
      <c r="A12" s="164"/>
      <c r="B12" s="102" t="s">
        <v>22</v>
      </c>
      <c r="C12" s="103" t="s">
        <v>19</v>
      </c>
      <c r="D12" s="104">
        <v>0</v>
      </c>
      <c r="E12" s="104">
        <v>0</v>
      </c>
      <c r="F12" s="104">
        <v>0</v>
      </c>
      <c r="G12" s="104">
        <v>0</v>
      </c>
      <c r="H12" s="104">
        <v>0</v>
      </c>
      <c r="I12" s="104">
        <v>0</v>
      </c>
      <c r="J12" s="104">
        <v>0</v>
      </c>
      <c r="K12" s="104">
        <v>0</v>
      </c>
      <c r="L12" s="104">
        <v>0</v>
      </c>
      <c r="M12" s="105"/>
      <c r="N12" s="105"/>
      <c r="O12" s="105"/>
      <c r="DT12" s="33" t="s">
        <v>282</v>
      </c>
      <c r="EB12" s="33" t="s">
        <v>292</v>
      </c>
      <c r="ED12" s="33" t="s">
        <v>293</v>
      </c>
    </row>
    <row r="13" spans="1:134" s="33" customFormat="1" ht="15" customHeight="1" x14ac:dyDescent="0.35">
      <c r="A13" s="164"/>
      <c r="B13" s="102" t="s">
        <v>23</v>
      </c>
      <c r="C13" s="103" t="s">
        <v>19</v>
      </c>
      <c r="D13" s="105">
        <v>1103.2599817103089</v>
      </c>
      <c r="E13" s="105">
        <v>959.11944601674986</v>
      </c>
      <c r="F13" s="105">
        <v>883.39298299221264</v>
      </c>
      <c r="G13" s="105">
        <v>953.06879751603856</v>
      </c>
      <c r="H13" s="105">
        <v>824.73414805118227</v>
      </c>
      <c r="I13" s="105">
        <v>870.8503652294022</v>
      </c>
      <c r="J13" s="105">
        <v>870.42484249663516</v>
      </c>
      <c r="K13" s="105">
        <v>877.33396792252097</v>
      </c>
      <c r="L13" s="105">
        <v>789.94465309923271</v>
      </c>
      <c r="M13" s="105"/>
      <c r="N13" s="105"/>
      <c r="O13" s="105"/>
      <c r="DT13" s="33" t="s">
        <v>283</v>
      </c>
      <c r="EB13" s="33" t="s">
        <v>292</v>
      </c>
      <c r="ED13" s="33" t="s">
        <v>293</v>
      </c>
    </row>
    <row r="14" spans="1:134" ht="24" customHeight="1" x14ac:dyDescent="0.35">
      <c r="A14" s="165" t="s">
        <v>24</v>
      </c>
      <c r="B14" s="182"/>
      <c r="C14" s="9" t="s">
        <v>25</v>
      </c>
      <c r="D14" s="57">
        <v>71047.204663209661</v>
      </c>
      <c r="E14" s="57">
        <v>66733.084576823327</v>
      </c>
      <c r="F14" s="57">
        <v>70655.734167572096</v>
      </c>
      <c r="G14" s="57">
        <v>74122.584334347252</v>
      </c>
      <c r="H14" s="57">
        <v>63979.73369049438</v>
      </c>
      <c r="I14" s="57">
        <v>69014.412157011015</v>
      </c>
      <c r="J14" s="57">
        <v>71549.226511052533</v>
      </c>
      <c r="K14" s="57">
        <v>72452.637726366913</v>
      </c>
      <c r="L14" s="57">
        <v>66742.353799731252</v>
      </c>
      <c r="M14" s="54"/>
      <c r="N14" s="54"/>
      <c r="O14" s="54"/>
      <c r="DT14" s="32" t="s">
        <v>284</v>
      </c>
      <c r="EB14" s="32" t="s">
        <v>291</v>
      </c>
      <c r="ED14" s="32" t="s">
        <v>295</v>
      </c>
    </row>
    <row r="15" spans="1:134" s="33" customFormat="1" ht="15" customHeight="1" x14ac:dyDescent="0.35">
      <c r="A15" s="164" t="s">
        <v>18</v>
      </c>
      <c r="B15" s="102" t="s">
        <v>26</v>
      </c>
      <c r="C15" s="103" t="s">
        <v>25</v>
      </c>
      <c r="D15" s="105">
        <v>1484.458098151435</v>
      </c>
      <c r="E15" s="105">
        <v>1275.6445687431888</v>
      </c>
      <c r="F15" s="105">
        <v>1208.9476791437169</v>
      </c>
      <c r="G15" s="105">
        <v>1360.387728688464</v>
      </c>
      <c r="H15" s="105">
        <v>1360.0543894680022</v>
      </c>
      <c r="I15" s="105">
        <v>1519.4808635589775</v>
      </c>
      <c r="J15" s="105">
        <v>1603.867899497116</v>
      </c>
      <c r="K15" s="105">
        <v>1455.3914541651561</v>
      </c>
      <c r="L15" s="105">
        <v>1326.8851030472388</v>
      </c>
      <c r="M15" s="105"/>
      <c r="N15" s="105"/>
      <c r="O15" s="105"/>
      <c r="DT15" s="33" t="s">
        <v>285</v>
      </c>
      <c r="EB15" s="33" t="s">
        <v>291</v>
      </c>
      <c r="ED15" s="33" t="s">
        <v>295</v>
      </c>
    </row>
    <row r="16" spans="1:134" s="33" customFormat="1" ht="15" customHeight="1" x14ac:dyDescent="0.35">
      <c r="A16" s="164"/>
      <c r="B16" s="102" t="s">
        <v>27</v>
      </c>
      <c r="C16" s="103" t="s">
        <v>25</v>
      </c>
      <c r="D16" s="105">
        <v>67449.309028846881</v>
      </c>
      <c r="E16" s="105">
        <v>63484.899440383866</v>
      </c>
      <c r="F16" s="105">
        <v>67312.035011501517</v>
      </c>
      <c r="G16" s="105">
        <v>70254.906975278733</v>
      </c>
      <c r="H16" s="105">
        <v>60266.761424121221</v>
      </c>
      <c r="I16" s="105">
        <v>64059.712088409273</v>
      </c>
      <c r="J16" s="105">
        <v>66275.693132960951</v>
      </c>
      <c r="K16" s="105">
        <v>67215.190753432122</v>
      </c>
      <c r="L16" s="105">
        <v>61157.969240686092</v>
      </c>
      <c r="M16" s="105"/>
      <c r="N16" s="105"/>
      <c r="O16" s="105"/>
      <c r="DT16" s="33" t="s">
        <v>286</v>
      </c>
      <c r="EB16" s="33" t="s">
        <v>291</v>
      </c>
      <c r="ED16" s="33" t="s">
        <v>295</v>
      </c>
    </row>
    <row r="17" spans="1:134" s="33" customFormat="1" ht="15" customHeight="1" x14ac:dyDescent="0.35">
      <c r="A17" s="164"/>
      <c r="B17" s="102" t="s">
        <v>28</v>
      </c>
      <c r="C17" s="103" t="s">
        <v>25</v>
      </c>
      <c r="D17" s="104">
        <v>5.9063025189659415</v>
      </c>
      <c r="E17" s="104">
        <v>18.767064739195153</v>
      </c>
      <c r="F17" s="104">
        <v>22.885426572379426</v>
      </c>
      <c r="G17" s="104">
        <v>38.14153716134723</v>
      </c>
      <c r="H17" s="104">
        <v>55.935805682637266</v>
      </c>
      <c r="I17" s="104">
        <v>85.605482495418016</v>
      </c>
      <c r="J17" s="104">
        <v>120.49371990600733</v>
      </c>
      <c r="K17" s="104">
        <v>186.63671354435272</v>
      </c>
      <c r="L17" s="104">
        <v>141.17818095009991</v>
      </c>
      <c r="M17" s="104"/>
      <c r="N17" s="104"/>
      <c r="O17" s="104"/>
      <c r="DT17" s="33" t="s">
        <v>287</v>
      </c>
      <c r="EB17" s="33" t="s">
        <v>291</v>
      </c>
      <c r="ED17" s="33" t="s">
        <v>295</v>
      </c>
    </row>
    <row r="18" spans="1:134" s="33" customFormat="1" ht="15" customHeight="1" x14ac:dyDescent="0.35">
      <c r="A18" s="164"/>
      <c r="B18" s="102" t="s">
        <v>184</v>
      </c>
      <c r="C18" s="103" t="s">
        <v>25</v>
      </c>
      <c r="D18" s="104">
        <v>1884.8794688193282</v>
      </c>
      <c r="E18" s="104">
        <v>1746.7875891474157</v>
      </c>
      <c r="F18" s="104">
        <v>1873.6142701153356</v>
      </c>
      <c r="G18" s="104">
        <v>2256.1492224059266</v>
      </c>
      <c r="H18" s="104">
        <v>2096.970989425537</v>
      </c>
      <c r="I18" s="104">
        <v>3095.5315143071393</v>
      </c>
      <c r="J18" s="104">
        <v>3281.1685283412612</v>
      </c>
      <c r="K18" s="104">
        <v>3370.9106802017645</v>
      </c>
      <c r="L18" s="104">
        <v>3864.0994404411631</v>
      </c>
      <c r="M18" s="104"/>
      <c r="N18" s="104"/>
      <c r="O18" s="104"/>
      <c r="DT18" s="33" t="s">
        <v>288</v>
      </c>
      <c r="EB18" s="33" t="s">
        <v>291</v>
      </c>
      <c r="ED18" s="33" t="s">
        <v>295</v>
      </c>
    </row>
    <row r="19" spans="1:134" ht="21" customHeight="1" x14ac:dyDescent="0.3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31750</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6" sqref="L6"/>
    </sheetView>
  </sheetViews>
  <sheetFormatPr defaultColWidth="9.1796875" defaultRowHeight="12" x14ac:dyDescent="0.35"/>
  <cols>
    <col min="1" max="1" width="9.1796875" style="32"/>
    <col min="2" max="2" width="54.7265625" style="32" customWidth="1"/>
    <col min="3" max="3" width="10.81640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31</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5">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62"/>
      <c r="C6" s="8" t="s">
        <v>14</v>
      </c>
      <c r="D6" s="55">
        <v>5.9329568171195559</v>
      </c>
      <c r="E6" s="55">
        <v>6.978583773789123</v>
      </c>
      <c r="F6" s="55">
        <v>9.5040953038952924</v>
      </c>
      <c r="G6" s="55">
        <v>8.6206986325735873</v>
      </c>
      <c r="H6" s="55">
        <v>7.6790847054960478</v>
      </c>
      <c r="I6" s="55">
        <v>7.142887372925685</v>
      </c>
      <c r="J6" s="55">
        <v>6.099657355971039</v>
      </c>
      <c r="K6" s="55">
        <v>7.9739365427911597</v>
      </c>
      <c r="L6" s="56">
        <v>7.8544352710320142</v>
      </c>
      <c r="M6" s="56"/>
      <c r="N6" s="56"/>
      <c r="O6" s="56"/>
      <c r="DS6" s="4" t="str">
        <f>VLOOKUP(Cover!$D$15, Country_list!$B$3:$C$44, 2, 0)</f>
        <v>AT</v>
      </c>
      <c r="DT6" s="32" t="s">
        <v>289</v>
      </c>
      <c r="DV6" s="32" t="s">
        <v>303</v>
      </c>
      <c r="EB6" s="32" t="s">
        <v>291</v>
      </c>
      <c r="ED6" s="32" t="s">
        <v>294</v>
      </c>
    </row>
    <row r="7" spans="1:134" ht="24" customHeight="1" x14ac:dyDescent="0.35">
      <c r="A7" s="183" t="s">
        <v>15</v>
      </c>
      <c r="B7" s="184"/>
      <c r="C7" s="120" t="s">
        <v>25</v>
      </c>
      <c r="D7" s="121"/>
      <c r="E7" s="122"/>
      <c r="F7" s="122"/>
      <c r="G7" s="122"/>
      <c r="H7" s="122"/>
      <c r="I7" s="122"/>
      <c r="J7" s="122"/>
      <c r="K7" s="122"/>
      <c r="L7" s="122"/>
      <c r="M7" s="122"/>
      <c r="N7" s="122"/>
      <c r="O7" s="122"/>
      <c r="DT7" s="32" t="s">
        <v>290</v>
      </c>
      <c r="EB7" s="32" t="s">
        <v>291</v>
      </c>
      <c r="ED7" s="32" t="s">
        <v>295</v>
      </c>
    </row>
    <row r="8" spans="1:134" ht="24" customHeight="1" x14ac:dyDescent="0.35">
      <c r="A8" s="183" t="s">
        <v>29</v>
      </c>
      <c r="B8" s="184"/>
      <c r="C8" s="120" t="s">
        <v>17</v>
      </c>
      <c r="D8" s="121"/>
      <c r="E8" s="122"/>
      <c r="F8" s="122"/>
      <c r="G8" s="122"/>
      <c r="H8" s="122"/>
      <c r="I8" s="122"/>
      <c r="J8" s="122"/>
      <c r="K8" s="122"/>
      <c r="L8" s="122"/>
      <c r="M8" s="122"/>
      <c r="N8" s="122"/>
      <c r="O8" s="122"/>
      <c r="DT8" s="32" t="s">
        <v>231</v>
      </c>
      <c r="EB8" s="32" t="s">
        <v>291</v>
      </c>
      <c r="ED8" s="32" t="s">
        <v>296</v>
      </c>
    </row>
    <row r="9" spans="1:134" ht="24" customHeight="1" x14ac:dyDescent="0.35">
      <c r="A9" s="183" t="s">
        <v>156</v>
      </c>
      <c r="B9" s="184"/>
      <c r="C9" s="120" t="s">
        <v>19</v>
      </c>
      <c r="D9" s="121"/>
      <c r="E9" s="122"/>
      <c r="F9" s="122"/>
      <c r="G9" s="122"/>
      <c r="H9" s="122"/>
      <c r="I9" s="122"/>
      <c r="J9" s="122"/>
      <c r="K9" s="122"/>
      <c r="L9" s="122"/>
      <c r="M9" s="122"/>
      <c r="N9" s="122"/>
      <c r="O9" s="122"/>
      <c r="DT9" s="32" t="s">
        <v>279</v>
      </c>
      <c r="EB9" s="32" t="s">
        <v>292</v>
      </c>
      <c r="ED9" s="32" t="s">
        <v>293</v>
      </c>
    </row>
    <row r="10" spans="1:134" ht="24" customHeight="1" x14ac:dyDescent="0.35">
      <c r="A10" s="183" t="s">
        <v>20</v>
      </c>
      <c r="B10" s="184"/>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5">
      <c r="A11" s="185"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5">
      <c r="A12" s="185"/>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5">
      <c r="A13" s="185"/>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5">
      <c r="A14" s="183" t="s">
        <v>24</v>
      </c>
      <c r="B14" s="184"/>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5">
      <c r="A15" s="185"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5">
      <c r="A16" s="185"/>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5">
      <c r="A17" s="185"/>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5">
      <c r="A18" s="185"/>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18"/>
    </sheetView>
  </sheetViews>
  <sheetFormatPr defaultColWidth="9.1796875" defaultRowHeight="12" x14ac:dyDescent="0.35"/>
  <cols>
    <col min="1" max="1" width="9.1796875" style="32"/>
    <col min="2" max="2" width="54.7265625" style="32" customWidth="1"/>
    <col min="3" max="3" width="10.7265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8</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5">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81"/>
      <c r="C6" s="8" t="s">
        <v>14</v>
      </c>
      <c r="D6" s="55">
        <v>3270.4351051072076</v>
      </c>
      <c r="E6" s="55">
        <v>3183.9281877166063</v>
      </c>
      <c r="F6" s="55">
        <v>3239.3595656142675</v>
      </c>
      <c r="G6" s="55">
        <v>3332.8953357117789</v>
      </c>
      <c r="H6" s="55">
        <v>3182.964397102282</v>
      </c>
      <c r="I6" s="55">
        <v>3191.1135912586001</v>
      </c>
      <c r="J6" s="55">
        <v>3228.3629667335863</v>
      </c>
      <c r="K6" s="56">
        <v>3246.4322213911146</v>
      </c>
      <c r="L6" s="56">
        <v>3197.7796171153959</v>
      </c>
      <c r="M6" s="56"/>
      <c r="N6" s="56"/>
      <c r="O6" s="56"/>
      <c r="DS6" s="4" t="str">
        <f>VLOOKUP(Cover!$D$15, Country_list!$B$3:$C$44, 2, 0)</f>
        <v>AT</v>
      </c>
      <c r="DT6" s="32" t="s">
        <v>289</v>
      </c>
      <c r="DV6" s="32" t="s">
        <v>304</v>
      </c>
      <c r="EB6" s="32" t="s">
        <v>291</v>
      </c>
      <c r="ED6" s="32" t="s">
        <v>294</v>
      </c>
    </row>
    <row r="7" spans="1:134" ht="24" customHeight="1" x14ac:dyDescent="0.35">
      <c r="A7" s="165" t="s">
        <v>15</v>
      </c>
      <c r="B7" s="182"/>
      <c r="C7" s="9" t="s">
        <v>25</v>
      </c>
      <c r="D7" s="57">
        <v>3942.332342161088</v>
      </c>
      <c r="E7" s="57">
        <v>3964.0108496896282</v>
      </c>
      <c r="F7" s="57">
        <v>4121.9364714817912</v>
      </c>
      <c r="G7" s="57">
        <v>4399.7343746714196</v>
      </c>
      <c r="H7" s="57">
        <v>4653.7953963218833</v>
      </c>
      <c r="I7" s="57">
        <v>4722.3635627146159</v>
      </c>
      <c r="J7" s="57">
        <v>4853.2006770943808</v>
      </c>
      <c r="K7" s="54">
        <v>4841.3791941833806</v>
      </c>
      <c r="L7" s="54">
        <v>4744.7968263789735</v>
      </c>
      <c r="M7" s="54"/>
      <c r="N7" s="54"/>
      <c r="O7" s="54"/>
      <c r="DT7" s="32" t="s">
        <v>290</v>
      </c>
      <c r="EB7" s="32" t="s">
        <v>291</v>
      </c>
      <c r="ED7" s="32" t="s">
        <v>295</v>
      </c>
    </row>
    <row r="8" spans="1:134" ht="24" customHeight="1" x14ac:dyDescent="0.35">
      <c r="A8" s="165" t="s">
        <v>29</v>
      </c>
      <c r="B8" s="182"/>
      <c r="C8" s="9" t="s">
        <v>17</v>
      </c>
      <c r="D8" s="57">
        <v>8325.5614518495804</v>
      </c>
      <c r="E8" s="57">
        <v>8705.7653450948364</v>
      </c>
      <c r="F8" s="57">
        <v>8658.9049302220556</v>
      </c>
      <c r="G8" s="57">
        <v>8365.9232690622048</v>
      </c>
      <c r="H8" s="57">
        <v>8684.4194711278778</v>
      </c>
      <c r="I8" s="57">
        <v>8298.6374542954836</v>
      </c>
      <c r="J8" s="57">
        <v>8062.6995199917819</v>
      </c>
      <c r="K8" s="57">
        <v>8043.9799045210284</v>
      </c>
      <c r="L8" s="54">
        <v>7883.5077343834118</v>
      </c>
      <c r="M8" s="54"/>
      <c r="N8" s="54"/>
      <c r="O8" s="54"/>
      <c r="DT8" s="32" t="s">
        <v>231</v>
      </c>
      <c r="EB8" s="32" t="s">
        <v>291</v>
      </c>
      <c r="ED8" s="32" t="s">
        <v>296</v>
      </c>
    </row>
    <row r="9" spans="1:134" ht="24" customHeight="1" x14ac:dyDescent="0.35">
      <c r="A9" s="165" t="s">
        <v>156</v>
      </c>
      <c r="B9" s="182"/>
      <c r="C9" s="9" t="s">
        <v>19</v>
      </c>
      <c r="D9" s="54">
        <v>6.9262929044005617</v>
      </c>
      <c r="E9" s="54">
        <v>5.3457645016549833</v>
      </c>
      <c r="F9" s="54">
        <v>3.4574202433968226</v>
      </c>
      <c r="G9" s="54">
        <v>3.4600688074722972</v>
      </c>
      <c r="H9" s="54">
        <v>3.8066162847736509</v>
      </c>
      <c r="I9" s="54">
        <v>2.8749827528370169</v>
      </c>
      <c r="J9" s="54">
        <v>1.9449508236037989</v>
      </c>
      <c r="K9" s="54">
        <v>2.1580587269382576</v>
      </c>
      <c r="L9" s="54">
        <v>1.9333860176175934</v>
      </c>
      <c r="M9" s="54"/>
      <c r="N9" s="54"/>
      <c r="O9" s="54"/>
      <c r="DT9" s="32" t="s">
        <v>279</v>
      </c>
      <c r="EB9" s="32" t="s">
        <v>292</v>
      </c>
      <c r="ED9" s="32" t="s">
        <v>293</v>
      </c>
    </row>
    <row r="10" spans="1:134" ht="24" customHeight="1" x14ac:dyDescent="0.35">
      <c r="A10" s="165" t="s">
        <v>20</v>
      </c>
      <c r="B10" s="182"/>
      <c r="C10" s="9" t="s">
        <v>19</v>
      </c>
      <c r="D10" s="57">
        <v>144.69610089529345</v>
      </c>
      <c r="E10" s="54">
        <v>138.33794361994376</v>
      </c>
      <c r="F10" s="54">
        <v>116.77309207760729</v>
      </c>
      <c r="G10" s="54">
        <v>122.13593290659068</v>
      </c>
      <c r="H10" s="54">
        <v>118.40315427526751</v>
      </c>
      <c r="I10" s="54">
        <v>112.38582630474913</v>
      </c>
      <c r="J10" s="54">
        <v>107.10395264037172</v>
      </c>
      <c r="K10" s="54">
        <v>107.55913085409823</v>
      </c>
      <c r="L10" s="54">
        <v>96.903150274493768</v>
      </c>
      <c r="M10" s="54"/>
      <c r="N10" s="54"/>
      <c r="O10" s="54"/>
      <c r="DT10" s="32" t="s">
        <v>280</v>
      </c>
      <c r="EB10" s="32" t="s">
        <v>292</v>
      </c>
      <c r="ED10" s="32" t="s">
        <v>293</v>
      </c>
    </row>
    <row r="11" spans="1:134" s="33" customFormat="1" ht="15" customHeight="1" x14ac:dyDescent="0.35">
      <c r="A11" s="164" t="s">
        <v>18</v>
      </c>
      <c r="B11" s="102" t="s">
        <v>21</v>
      </c>
      <c r="C11" s="103" t="s">
        <v>19</v>
      </c>
      <c r="D11" s="105">
        <v>3.5932463950275686</v>
      </c>
      <c r="E11" s="105">
        <v>4.1302480733781701</v>
      </c>
      <c r="F11" s="105">
        <v>3.9792862712549231</v>
      </c>
      <c r="G11" s="105">
        <v>2.9651904627337164</v>
      </c>
      <c r="H11" s="105">
        <v>3.1533023264497038</v>
      </c>
      <c r="I11" s="105">
        <v>3.1531915341513561</v>
      </c>
      <c r="J11" s="105">
        <v>2.4817951370068942</v>
      </c>
      <c r="K11" s="105">
        <v>2.9720987766191267</v>
      </c>
      <c r="L11" s="105">
        <v>2.7338033737264364</v>
      </c>
      <c r="M11" s="105"/>
      <c r="N11" s="105"/>
      <c r="O11" s="105"/>
      <c r="DT11" s="33" t="s">
        <v>281</v>
      </c>
      <c r="EB11" s="33" t="s">
        <v>292</v>
      </c>
      <c r="ED11" s="33" t="s">
        <v>293</v>
      </c>
    </row>
    <row r="12" spans="1:134" s="33" customFormat="1" ht="15" customHeight="1" x14ac:dyDescent="0.35">
      <c r="A12" s="164"/>
      <c r="B12" s="102" t="s">
        <v>22</v>
      </c>
      <c r="C12" s="103" t="s">
        <v>19</v>
      </c>
      <c r="D12" s="104">
        <v>0</v>
      </c>
      <c r="E12" s="104">
        <v>0</v>
      </c>
      <c r="F12" s="104">
        <v>0</v>
      </c>
      <c r="G12" s="104">
        <v>0</v>
      </c>
      <c r="H12" s="104">
        <v>0</v>
      </c>
      <c r="I12" s="104">
        <v>0</v>
      </c>
      <c r="J12" s="104">
        <v>0</v>
      </c>
      <c r="K12" s="104">
        <v>0</v>
      </c>
      <c r="L12" s="104">
        <v>0</v>
      </c>
      <c r="M12" s="105"/>
      <c r="N12" s="105"/>
      <c r="O12" s="105"/>
      <c r="DT12" s="33" t="s">
        <v>282</v>
      </c>
      <c r="EB12" s="33" t="s">
        <v>292</v>
      </c>
      <c r="ED12" s="33" t="s">
        <v>293</v>
      </c>
    </row>
    <row r="13" spans="1:134" s="33" customFormat="1" ht="15" customHeight="1" x14ac:dyDescent="0.35">
      <c r="A13" s="164"/>
      <c r="B13" s="102" t="s">
        <v>23</v>
      </c>
      <c r="C13" s="103" t="s">
        <v>19</v>
      </c>
      <c r="D13" s="105">
        <v>137.72801828969119</v>
      </c>
      <c r="E13" s="105">
        <v>132.69355398325021</v>
      </c>
      <c r="F13" s="105">
        <v>112.20701700778737</v>
      </c>
      <c r="G13" s="105">
        <v>118.70820248396153</v>
      </c>
      <c r="H13" s="105">
        <v>115.24985194881781</v>
      </c>
      <c r="I13" s="105">
        <v>109.23263477059777</v>
      </c>
      <c r="J13" s="105">
        <v>104.62215750336482</v>
      </c>
      <c r="K13" s="105">
        <v>104.58703207747911</v>
      </c>
      <c r="L13" s="105">
        <v>94.169346900767337</v>
      </c>
      <c r="M13" s="105"/>
      <c r="N13" s="105"/>
      <c r="O13" s="105"/>
      <c r="DT13" s="33" t="s">
        <v>283</v>
      </c>
      <c r="EB13" s="33" t="s">
        <v>292</v>
      </c>
      <c r="ED13" s="33" t="s">
        <v>293</v>
      </c>
    </row>
    <row r="14" spans="1:134" ht="24" customHeight="1" x14ac:dyDescent="0.35">
      <c r="A14" s="165" t="s">
        <v>24</v>
      </c>
      <c r="B14" s="182"/>
      <c r="C14" s="9" t="s">
        <v>25</v>
      </c>
      <c r="D14" s="57">
        <v>12114.425802451209</v>
      </c>
      <c r="E14" s="57">
        <v>12568.289399959918</v>
      </c>
      <c r="F14" s="57">
        <v>13183.405726740348</v>
      </c>
      <c r="G14" s="57">
        <v>13347.578789680529</v>
      </c>
      <c r="H14" s="57">
        <v>13945.064371203664</v>
      </c>
      <c r="I14" s="57">
        <v>13902.648843372805</v>
      </c>
      <c r="J14" s="57">
        <v>13546.136565696797</v>
      </c>
      <c r="K14" s="57">
        <v>13365.905633937784</v>
      </c>
      <c r="L14" s="57">
        <v>12836.266543231068</v>
      </c>
      <c r="M14" s="54"/>
      <c r="N14" s="54"/>
      <c r="O14" s="54"/>
      <c r="DT14" s="32" t="s">
        <v>284</v>
      </c>
      <c r="EB14" s="32" t="s">
        <v>291</v>
      </c>
      <c r="ED14" s="32" t="s">
        <v>295</v>
      </c>
    </row>
    <row r="15" spans="1:134" s="33" customFormat="1" ht="15" customHeight="1" x14ac:dyDescent="0.35">
      <c r="A15" s="164" t="s">
        <v>18</v>
      </c>
      <c r="B15" s="102" t="s">
        <v>26</v>
      </c>
      <c r="C15" s="103" t="s">
        <v>25</v>
      </c>
      <c r="D15" s="104">
        <v>3106.8839018485646</v>
      </c>
      <c r="E15" s="105">
        <v>3041.7164312568111</v>
      </c>
      <c r="F15" s="105">
        <v>3308.4503208562833</v>
      </c>
      <c r="G15" s="105">
        <v>3631.1582713115363</v>
      </c>
      <c r="H15" s="105">
        <v>3541.8136105319982</v>
      </c>
      <c r="I15" s="105">
        <v>3815.6571364410224</v>
      </c>
      <c r="J15" s="105">
        <v>3885.8931005028844</v>
      </c>
      <c r="K15" s="105">
        <v>3637.2755458348443</v>
      </c>
      <c r="L15" s="105">
        <v>3316.1158969527614</v>
      </c>
      <c r="M15" s="105"/>
      <c r="N15" s="105"/>
      <c r="O15" s="105"/>
      <c r="DT15" s="33" t="s">
        <v>285</v>
      </c>
      <c r="EB15" s="33" t="s">
        <v>291</v>
      </c>
      <c r="ED15" s="33" t="s">
        <v>295</v>
      </c>
    </row>
    <row r="16" spans="1:134" s="33" customFormat="1" ht="15" customHeight="1" x14ac:dyDescent="0.35">
      <c r="A16" s="164"/>
      <c r="B16" s="102" t="s">
        <v>27</v>
      </c>
      <c r="C16" s="103" t="s">
        <v>25</v>
      </c>
      <c r="D16" s="104">
        <v>7328.8752603518769</v>
      </c>
      <c r="E16" s="105">
        <v>7607.700712256009</v>
      </c>
      <c r="F16" s="105">
        <v>7811.1813305886089</v>
      </c>
      <c r="G16" s="105">
        <v>7795.4875602301281</v>
      </c>
      <c r="H16" s="105">
        <v>8106.9921861750117</v>
      </c>
      <c r="I16" s="105">
        <v>7441.9119311556069</v>
      </c>
      <c r="J16" s="105">
        <v>6863.0775909001104</v>
      </c>
      <c r="K16" s="105">
        <v>6866.8842224480895</v>
      </c>
      <c r="L16" s="105">
        <v>6248.0622214761597</v>
      </c>
      <c r="M16" s="105"/>
      <c r="N16" s="105"/>
      <c r="O16" s="105"/>
      <c r="DT16" s="33" t="s">
        <v>286</v>
      </c>
      <c r="EB16" s="33" t="s">
        <v>291</v>
      </c>
      <c r="ED16" s="33" t="s">
        <v>295</v>
      </c>
    </row>
    <row r="17" spans="1:134" s="33" customFormat="1" ht="15" customHeight="1" x14ac:dyDescent="0.35">
      <c r="A17" s="164"/>
      <c r="B17" s="102" t="s">
        <v>28</v>
      </c>
      <c r="C17" s="103" t="s">
        <v>25</v>
      </c>
      <c r="D17" s="104">
        <v>0.77010907009597696</v>
      </c>
      <c r="E17" s="104">
        <v>2.952845594514196</v>
      </c>
      <c r="F17" s="104">
        <v>3.4993454107924928</v>
      </c>
      <c r="G17" s="104">
        <v>5.5371805447929079</v>
      </c>
      <c r="H17" s="104">
        <v>10.010563922190691</v>
      </c>
      <c r="I17" s="104">
        <v>13.139290083315339</v>
      </c>
      <c r="J17" s="104">
        <v>15.967402635062685</v>
      </c>
      <c r="K17" s="104">
        <v>25.070545856613279</v>
      </c>
      <c r="L17" s="104">
        <v>20.386865243309305</v>
      </c>
      <c r="M17" s="104"/>
      <c r="N17" s="104"/>
      <c r="O17" s="104"/>
      <c r="DT17" s="33" t="s">
        <v>287</v>
      </c>
      <c r="EB17" s="33" t="s">
        <v>291</v>
      </c>
      <c r="ED17" s="33" t="s">
        <v>295</v>
      </c>
    </row>
    <row r="18" spans="1:134" s="33" customFormat="1" ht="15" customHeight="1" x14ac:dyDescent="0.35">
      <c r="A18" s="164"/>
      <c r="B18" s="102" t="s">
        <v>185</v>
      </c>
      <c r="C18" s="103" t="s">
        <v>25</v>
      </c>
      <c r="D18" s="104">
        <v>1677.8965311806714</v>
      </c>
      <c r="E18" s="104">
        <v>1915.9194108525837</v>
      </c>
      <c r="F18" s="104">
        <v>2060.2747298846652</v>
      </c>
      <c r="G18" s="104">
        <v>1915.395777594073</v>
      </c>
      <c r="H18" s="104">
        <v>2286.248010574463</v>
      </c>
      <c r="I18" s="104">
        <v>2631.94048569286</v>
      </c>
      <c r="J18" s="104">
        <v>2781.1984716587394</v>
      </c>
      <c r="K18" s="104">
        <v>2836.6753197982357</v>
      </c>
      <c r="L18" s="104">
        <v>3251.7015595588373</v>
      </c>
      <c r="M18" s="105"/>
      <c r="N18" s="105"/>
      <c r="O18" s="105"/>
      <c r="DT18" s="33" t="s">
        <v>288</v>
      </c>
      <c r="EB18" s="33" t="s">
        <v>291</v>
      </c>
      <c r="ED18" s="33" t="s">
        <v>295</v>
      </c>
    </row>
    <row r="19" spans="1:134" ht="21" customHeight="1" x14ac:dyDescent="0.3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FF0000"/>
    <pageSetUpPr fitToPage="1"/>
  </sheetPr>
  <dimension ref="A1:ED19"/>
  <sheetViews>
    <sheetView showGridLines="0" zoomScale="90" zoomScaleNormal="90" workbookViewId="0">
      <pane xSplit="3" topLeftCell="K1" activePane="topRight" state="frozen"/>
      <selection activeCell="DS1" sqref="DS1:ED1048576"/>
      <selection pane="topRight" activeCell="C6" sqref="C6"/>
    </sheetView>
  </sheetViews>
  <sheetFormatPr defaultColWidth="9.1796875" defaultRowHeight="12" x14ac:dyDescent="0.35"/>
  <cols>
    <col min="1" max="1" width="9.1796875" style="32"/>
    <col min="2" max="2" width="54.7265625" style="32" customWidth="1"/>
    <col min="3" max="3" width="10.7265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9</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5">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81"/>
      <c r="C6" s="8" t="s">
        <v>14</v>
      </c>
      <c r="D6" s="55">
        <v>1699.0959413130765</v>
      </c>
      <c r="E6" s="56">
        <v>1658.5584974486494</v>
      </c>
      <c r="F6" s="56">
        <v>1696.2408775890756</v>
      </c>
      <c r="G6" s="56">
        <v>1798.071984243991</v>
      </c>
      <c r="H6" s="56">
        <v>1742.4657570887593</v>
      </c>
      <c r="I6" s="56">
        <v>1772.3007664299009</v>
      </c>
      <c r="J6" s="56">
        <v>1844.4160801913365</v>
      </c>
      <c r="K6" s="56">
        <v>1854.7393381988268</v>
      </c>
      <c r="L6" s="56">
        <v>1826.9433169354204</v>
      </c>
      <c r="M6" s="56"/>
      <c r="N6" s="56"/>
      <c r="O6" s="56"/>
      <c r="DS6" s="4" t="str">
        <f>VLOOKUP(Cover!$D$15, Country_list!$B$3:$C$44, 2, 0)</f>
        <v>AT</v>
      </c>
      <c r="DT6" s="32" t="s">
        <v>289</v>
      </c>
      <c r="DV6" s="32" t="s">
        <v>305</v>
      </c>
      <c r="EB6" s="32" t="s">
        <v>291</v>
      </c>
      <c r="ED6" s="32" t="s">
        <v>294</v>
      </c>
    </row>
    <row r="7" spans="1:134" ht="24" customHeight="1" x14ac:dyDescent="0.35">
      <c r="A7" s="165" t="s">
        <v>15</v>
      </c>
      <c r="B7" s="182"/>
      <c r="C7" s="9" t="s">
        <v>25</v>
      </c>
      <c r="D7" s="57">
        <v>0</v>
      </c>
      <c r="E7" s="54">
        <v>0</v>
      </c>
      <c r="F7" s="54">
        <v>0</v>
      </c>
      <c r="G7" s="54">
        <v>0</v>
      </c>
      <c r="H7" s="54">
        <v>0</v>
      </c>
      <c r="I7" s="54">
        <v>0</v>
      </c>
      <c r="J7" s="54">
        <v>0</v>
      </c>
      <c r="K7" s="54">
        <v>0</v>
      </c>
      <c r="L7" s="54">
        <v>0</v>
      </c>
      <c r="M7" s="54"/>
      <c r="N7" s="54"/>
      <c r="O7" s="54"/>
      <c r="DT7" s="32" t="s">
        <v>290</v>
      </c>
      <c r="EB7" s="32" t="s">
        <v>291</v>
      </c>
      <c r="ED7" s="32" t="s">
        <v>295</v>
      </c>
    </row>
    <row r="8" spans="1:134" ht="24" customHeight="1" x14ac:dyDescent="0.35">
      <c r="A8" s="165" t="s">
        <v>29</v>
      </c>
      <c r="B8" s="182"/>
      <c r="C8" s="9" t="s">
        <v>17</v>
      </c>
      <c r="D8" s="57">
        <v>536.09466320545232</v>
      </c>
      <c r="E8" s="57">
        <v>539.79648471947348</v>
      </c>
      <c r="F8" s="57">
        <v>512.77238624649726</v>
      </c>
      <c r="G8" s="57">
        <v>500.52228357204928</v>
      </c>
      <c r="H8" s="57">
        <v>488.96374034445836</v>
      </c>
      <c r="I8" s="57">
        <v>461.20396078110207</v>
      </c>
      <c r="J8" s="57">
        <v>435.70778748007217</v>
      </c>
      <c r="K8" s="54">
        <v>424.406347527413</v>
      </c>
      <c r="L8" s="54">
        <v>384.74409557333883</v>
      </c>
      <c r="M8" s="54"/>
      <c r="N8" s="54"/>
      <c r="O8" s="54"/>
      <c r="DT8" s="32" t="s">
        <v>231</v>
      </c>
      <c r="EB8" s="32" t="s">
        <v>291</v>
      </c>
      <c r="ED8" s="32" t="s">
        <v>296</v>
      </c>
    </row>
    <row r="9" spans="1:134" ht="24" customHeight="1" x14ac:dyDescent="0.35">
      <c r="A9" s="165" t="s">
        <v>156</v>
      </c>
      <c r="B9" s="182"/>
      <c r="C9" s="9" t="s">
        <v>19</v>
      </c>
      <c r="D9" s="54">
        <v>0.22131633465597256</v>
      </c>
      <c r="E9" s="54">
        <v>0.25352699719518662</v>
      </c>
      <c r="F9" s="54">
        <v>0.26849379534841744</v>
      </c>
      <c r="G9" s="54">
        <v>0.14855615319604284</v>
      </c>
      <c r="H9" s="54">
        <v>7.0908714492459224E-2</v>
      </c>
      <c r="I9" s="54">
        <v>8.0415482720320439E-2</v>
      </c>
      <c r="J9" s="54">
        <v>9.6818436263775995E-2</v>
      </c>
      <c r="K9" s="54">
        <v>0.10793205679847544</v>
      </c>
      <c r="L9" s="54">
        <v>9.6695389639806839E-2</v>
      </c>
      <c r="M9" s="54"/>
      <c r="N9" s="54"/>
      <c r="O9" s="54"/>
      <c r="DT9" s="32" t="s">
        <v>279</v>
      </c>
      <c r="EB9" s="32" t="s">
        <v>292</v>
      </c>
      <c r="ED9" s="32" t="s">
        <v>293</v>
      </c>
    </row>
    <row r="10" spans="1:134" ht="24" customHeight="1" x14ac:dyDescent="0.35">
      <c r="A10" s="165" t="s">
        <v>20</v>
      </c>
      <c r="B10" s="182"/>
      <c r="C10" s="9" t="s">
        <v>19</v>
      </c>
      <c r="D10" s="54">
        <v>0.52807879872443864</v>
      </c>
      <c r="E10" s="54">
        <v>0.45618271354422851</v>
      </c>
      <c r="F10" s="54">
        <v>0.2978764294235261</v>
      </c>
      <c r="G10" s="54">
        <v>0.22376826107263145</v>
      </c>
      <c r="H10" s="54">
        <v>0.23980258040102045</v>
      </c>
      <c r="I10" s="54">
        <v>0.35604358269837105</v>
      </c>
      <c r="J10" s="54">
        <v>0.41950507578311491</v>
      </c>
      <c r="K10" s="54">
        <v>0.50128300615482946</v>
      </c>
      <c r="L10" s="54">
        <v>0.46109139581716546</v>
      </c>
      <c r="M10" s="54"/>
      <c r="N10" s="54"/>
      <c r="O10" s="54"/>
      <c r="DT10" s="32" t="s">
        <v>280</v>
      </c>
      <c r="EB10" s="32" t="s">
        <v>292</v>
      </c>
      <c r="ED10" s="32" t="s">
        <v>293</v>
      </c>
    </row>
    <row r="11" spans="1:134" s="33" customFormat="1" ht="15" customHeight="1" x14ac:dyDescent="0.35">
      <c r="A11" s="164" t="s">
        <v>18</v>
      </c>
      <c r="B11" s="102" t="s">
        <v>21</v>
      </c>
      <c r="C11" s="103" t="s">
        <v>19</v>
      </c>
      <c r="D11" s="104">
        <v>0.52807879872443864</v>
      </c>
      <c r="E11" s="105">
        <v>0.45618271354422851</v>
      </c>
      <c r="F11" s="105">
        <v>0.2978764294235261</v>
      </c>
      <c r="G11" s="105">
        <v>0.22376826107263145</v>
      </c>
      <c r="H11" s="105">
        <v>0.23980258040102045</v>
      </c>
      <c r="I11" s="105">
        <v>0.35604358269837105</v>
      </c>
      <c r="J11" s="105">
        <v>0.41950507578311491</v>
      </c>
      <c r="K11" s="105">
        <v>0.50128300615482946</v>
      </c>
      <c r="L11" s="105">
        <v>0.46109139581716546</v>
      </c>
      <c r="M11" s="105"/>
      <c r="N11" s="105"/>
      <c r="O11" s="105"/>
      <c r="DT11" s="33" t="s">
        <v>281</v>
      </c>
      <c r="EB11" s="33" t="s">
        <v>292</v>
      </c>
      <c r="ED11" s="33" t="s">
        <v>293</v>
      </c>
    </row>
    <row r="12" spans="1:134" s="33" customFormat="1" ht="15" customHeight="1" x14ac:dyDescent="0.35">
      <c r="A12" s="164"/>
      <c r="B12" s="102" t="s">
        <v>22</v>
      </c>
      <c r="C12" s="103" t="s">
        <v>19</v>
      </c>
      <c r="D12" s="104">
        <v>0</v>
      </c>
      <c r="E12" s="105">
        <v>0</v>
      </c>
      <c r="F12" s="105">
        <v>0</v>
      </c>
      <c r="G12" s="105">
        <v>0</v>
      </c>
      <c r="H12" s="105">
        <v>0</v>
      </c>
      <c r="I12" s="105">
        <v>0</v>
      </c>
      <c r="J12" s="105">
        <v>0</v>
      </c>
      <c r="K12" s="105">
        <v>0</v>
      </c>
      <c r="L12" s="105">
        <v>0</v>
      </c>
      <c r="M12" s="105"/>
      <c r="N12" s="105"/>
      <c r="O12" s="105"/>
      <c r="DT12" s="33" t="s">
        <v>282</v>
      </c>
      <c r="EB12" s="33" t="s">
        <v>292</v>
      </c>
      <c r="ED12" s="33" t="s">
        <v>293</v>
      </c>
    </row>
    <row r="13" spans="1:134" s="33" customFormat="1" ht="15" customHeight="1" x14ac:dyDescent="0.35">
      <c r="A13" s="164"/>
      <c r="B13" s="102" t="s">
        <v>23</v>
      </c>
      <c r="C13" s="103" t="s">
        <v>19</v>
      </c>
      <c r="D13" s="104">
        <v>0</v>
      </c>
      <c r="E13" s="104">
        <v>0</v>
      </c>
      <c r="F13" s="104">
        <v>0</v>
      </c>
      <c r="G13" s="104">
        <v>0</v>
      </c>
      <c r="H13" s="104">
        <v>0</v>
      </c>
      <c r="I13" s="104">
        <v>0</v>
      </c>
      <c r="J13" s="104">
        <v>0</v>
      </c>
      <c r="K13" s="104">
        <v>0</v>
      </c>
      <c r="L13" s="104">
        <v>0</v>
      </c>
      <c r="M13" s="105"/>
      <c r="N13" s="105"/>
      <c r="O13" s="105"/>
      <c r="DT13" s="33" t="s">
        <v>283</v>
      </c>
      <c r="EB13" s="33" t="s">
        <v>292</v>
      </c>
      <c r="ED13" s="33" t="s">
        <v>293</v>
      </c>
    </row>
    <row r="14" spans="1:134" ht="24" customHeight="1" x14ac:dyDescent="0.35">
      <c r="A14" s="165" t="s">
        <v>24</v>
      </c>
      <c r="B14" s="182"/>
      <c r="C14" s="9" t="s">
        <v>25</v>
      </c>
      <c r="D14" s="57">
        <v>374.24329921216719</v>
      </c>
      <c r="E14" s="54">
        <v>411.63393702642128</v>
      </c>
      <c r="F14" s="54">
        <v>446.30188592670277</v>
      </c>
      <c r="G14" s="54">
        <v>438.72674678498953</v>
      </c>
      <c r="H14" s="54">
        <v>430.00502009894581</v>
      </c>
      <c r="I14" s="54">
        <v>367.08920785638378</v>
      </c>
      <c r="J14" s="54">
        <v>311.47915359787794</v>
      </c>
      <c r="K14" s="54">
        <v>312.6017647188313</v>
      </c>
      <c r="L14" s="54">
        <v>284.2224916443418</v>
      </c>
      <c r="M14" s="54"/>
      <c r="N14" s="54"/>
      <c r="O14" s="54"/>
      <c r="DT14" s="32" t="s">
        <v>284</v>
      </c>
      <c r="EB14" s="32" t="s">
        <v>291</v>
      </c>
      <c r="ED14" s="32" t="s">
        <v>295</v>
      </c>
    </row>
    <row r="15" spans="1:134" s="33" customFormat="1" ht="15" customHeight="1" x14ac:dyDescent="0.3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5">
      <c r="A16" s="187"/>
      <c r="B16" s="102" t="s">
        <v>27</v>
      </c>
      <c r="C16" s="103" t="s">
        <v>25</v>
      </c>
      <c r="D16" s="104">
        <v>374.19371080122909</v>
      </c>
      <c r="E16" s="105">
        <v>411.45084736013064</v>
      </c>
      <c r="F16" s="105">
        <v>446.09465790987468</v>
      </c>
      <c r="G16" s="105">
        <v>438.3954644911297</v>
      </c>
      <c r="H16" s="105">
        <v>429.44138970377378</v>
      </c>
      <c r="I16" s="105">
        <v>366.35898043511713</v>
      </c>
      <c r="J16" s="105">
        <v>310.61627613894797</v>
      </c>
      <c r="K16" s="105">
        <v>311.27902411979727</v>
      </c>
      <c r="L16" s="105">
        <v>283.22753783775102</v>
      </c>
      <c r="M16" s="105"/>
      <c r="N16" s="105"/>
      <c r="O16" s="105"/>
      <c r="DT16" s="33" t="s">
        <v>286</v>
      </c>
      <c r="EB16" s="33" t="s">
        <v>291</v>
      </c>
      <c r="ED16" s="33" t="s">
        <v>295</v>
      </c>
    </row>
    <row r="17" spans="1:134" s="33" customFormat="1" ht="15" customHeight="1" x14ac:dyDescent="0.35">
      <c r="A17" s="187"/>
      <c r="B17" s="102" t="s">
        <v>28</v>
      </c>
      <c r="C17" s="103" t="s">
        <v>25</v>
      </c>
      <c r="D17" s="104">
        <v>4.9588410938081431E-2</v>
      </c>
      <c r="E17" s="105">
        <v>0.18308966629065321</v>
      </c>
      <c r="F17" s="105">
        <v>0.2072280168280794</v>
      </c>
      <c r="G17" s="105">
        <v>0.33128229385985575</v>
      </c>
      <c r="H17" s="105">
        <v>0.56363039517205005</v>
      </c>
      <c r="I17" s="105">
        <v>0.73022742126663354</v>
      </c>
      <c r="J17" s="105">
        <v>0.86287745892999967</v>
      </c>
      <c r="K17" s="105">
        <v>1.3227405990340193</v>
      </c>
      <c r="L17" s="105">
        <v>0.99495380659077282</v>
      </c>
      <c r="M17" s="105"/>
      <c r="N17" s="105"/>
      <c r="O17" s="105"/>
      <c r="DT17" s="33" t="s">
        <v>287</v>
      </c>
      <c r="EB17" s="33" t="s">
        <v>291</v>
      </c>
      <c r="ED17" s="33" t="s">
        <v>295</v>
      </c>
    </row>
    <row r="18" spans="1:134" s="33" customFormat="1" ht="15" customHeight="1" x14ac:dyDescent="0.3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796875" defaultRowHeight="12" x14ac:dyDescent="0.35"/>
  <cols>
    <col min="1" max="1" width="9.1796875" style="32"/>
    <col min="2" max="2" width="54.7265625" style="32" customWidth="1"/>
    <col min="3" max="3" width="10.81640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10</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4">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3">
      <c r="A6" s="189" t="s">
        <v>13</v>
      </c>
      <c r="B6" s="190"/>
      <c r="C6" s="31" t="s">
        <v>14</v>
      </c>
      <c r="D6" s="58">
        <v>8165.6989714098954</v>
      </c>
      <c r="E6" s="59">
        <v>7982.2915911044911</v>
      </c>
      <c r="F6" s="59">
        <v>8186.4015358736197</v>
      </c>
      <c r="G6" s="59">
        <v>8330.6697365064319</v>
      </c>
      <c r="H6" s="59">
        <v>7911.8538747693983</v>
      </c>
      <c r="I6" s="59">
        <v>7887.8882443581297</v>
      </c>
      <c r="J6" s="59">
        <v>7890.3336060825868</v>
      </c>
      <c r="K6" s="59">
        <v>7934.4960651153178</v>
      </c>
      <c r="L6" s="59">
        <v>7815.5858674405663</v>
      </c>
      <c r="M6" s="59"/>
      <c r="N6" s="59"/>
      <c r="O6" s="59"/>
      <c r="DS6" s="4" t="str">
        <f>VLOOKUP(Cover!$D$15, Country_list!$B$3:$C$44, 2, 0)</f>
        <v>AT</v>
      </c>
      <c r="DT6" s="32" t="s">
        <v>289</v>
      </c>
      <c r="DV6" s="138" t="s">
        <v>306</v>
      </c>
      <c r="EB6" s="32" t="s">
        <v>291</v>
      </c>
      <c r="ED6" s="32" t="s">
        <v>294</v>
      </c>
    </row>
    <row r="7" spans="1:134" ht="21" customHeight="1" x14ac:dyDescent="0.3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12700</xdr:colOff>
                    <xdr:row>6</xdr:row>
                    <xdr:rowOff>12700</xdr:rowOff>
                  </from>
                  <to>
                    <xdr:col>1</xdr:col>
                    <xdr:colOff>1022350</xdr:colOff>
                    <xdr:row>9</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zoomScale="90" zoomScaleNormal="90" workbookViewId="0">
      <pane xSplit="3" topLeftCell="J1" activePane="topRight" state="frozen"/>
      <selection activeCell="DS1" sqref="DS1:ED1048576"/>
      <selection pane="topRight" activeCell="D6" sqref="D6:L6"/>
    </sheetView>
  </sheetViews>
  <sheetFormatPr defaultColWidth="9.1796875" defaultRowHeight="12" x14ac:dyDescent="0.35"/>
  <cols>
    <col min="1" max="1" width="9.1796875" style="32"/>
    <col min="2" max="2" width="54.7265625" style="32" customWidth="1"/>
    <col min="3" max="3" width="10.7265625" style="32" customWidth="1"/>
    <col min="4" max="4" width="15.7265625" style="33" customWidth="1"/>
    <col min="5" max="15" width="15.7265625" style="32" customWidth="1"/>
    <col min="16" max="122" width="9.1796875" style="32"/>
    <col min="123" max="134" width="0" style="32" hidden="1" customWidth="1"/>
    <col min="135" max="16384" width="9.1796875" style="32"/>
  </cols>
  <sheetData>
    <row r="1" spans="1:134" ht="24" customHeight="1" x14ac:dyDescent="0.35">
      <c r="A1" s="153" t="s">
        <v>0</v>
      </c>
      <c r="B1" s="179"/>
      <c r="C1" s="20"/>
      <c r="D1" s="1"/>
      <c r="E1" s="2"/>
      <c r="F1" s="2"/>
      <c r="G1" s="2"/>
      <c r="H1" s="2"/>
      <c r="I1" s="2"/>
      <c r="J1" s="2"/>
      <c r="K1" s="2"/>
      <c r="L1" s="2"/>
      <c r="M1" s="2"/>
      <c r="N1" s="2"/>
      <c r="O1" s="2"/>
    </row>
    <row r="2" spans="1:134" ht="18" customHeight="1" x14ac:dyDescent="0.35">
      <c r="A2" s="155"/>
      <c r="B2" s="177"/>
      <c r="C2" s="1"/>
      <c r="D2" s="1"/>
      <c r="E2" s="5"/>
      <c r="F2" s="3"/>
      <c r="G2" s="3"/>
      <c r="H2" s="3"/>
      <c r="I2" s="3"/>
      <c r="J2" s="3"/>
      <c r="K2" s="3"/>
      <c r="L2" s="3"/>
      <c r="M2" s="3"/>
      <c r="N2" s="3"/>
      <c r="O2" s="3"/>
    </row>
    <row r="3" spans="1:134" ht="18" customHeight="1" x14ac:dyDescent="0.35">
      <c r="A3" s="157" t="s">
        <v>11</v>
      </c>
      <c r="B3" s="180"/>
      <c r="C3" s="1"/>
      <c r="D3" s="1"/>
      <c r="E3" s="5"/>
      <c r="F3" s="3"/>
      <c r="G3" s="3"/>
      <c r="H3" s="3"/>
      <c r="I3" s="3"/>
      <c r="J3" s="3"/>
      <c r="K3" s="3"/>
      <c r="L3" s="3"/>
      <c r="M3" s="3"/>
      <c r="N3" s="3"/>
      <c r="O3" s="3"/>
      <c r="DS3" s="32" t="s">
        <v>229</v>
      </c>
    </row>
    <row r="4" spans="1:134" ht="18" customHeight="1" x14ac:dyDescent="0.35">
      <c r="A4" s="176"/>
      <c r="B4" s="177"/>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5">
      <c r="A5" s="160"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5">
      <c r="A6" s="162" t="s">
        <v>13</v>
      </c>
      <c r="B6" s="191"/>
      <c r="C6" s="8" t="s">
        <v>14</v>
      </c>
      <c r="D6" s="55">
        <v>1986.5933631965845</v>
      </c>
      <c r="E6" s="55">
        <v>1902.3703249787213</v>
      </c>
      <c r="F6" s="55">
        <v>1682.3439253475881</v>
      </c>
      <c r="G6" s="55">
        <v>1438.9304196524608</v>
      </c>
      <c r="H6" s="55">
        <v>1279.5379400046168</v>
      </c>
      <c r="I6" s="55">
        <v>1853.6663843274855</v>
      </c>
      <c r="J6" s="55">
        <v>2405.3770129881623</v>
      </c>
      <c r="K6" s="55">
        <v>2416.9998487497342</v>
      </c>
      <c r="L6" s="55">
        <v>2380.7775193874131</v>
      </c>
      <c r="M6" s="56"/>
      <c r="N6" s="56"/>
      <c r="O6" s="56"/>
      <c r="DS6" s="4" t="str">
        <f>VLOOKUP(Cover!$D$15, Country_list!$B$3:$C$44, 2, 0)</f>
        <v>AT</v>
      </c>
      <c r="DT6" s="32" t="s">
        <v>289</v>
      </c>
      <c r="DV6" s="32" t="s">
        <v>307</v>
      </c>
      <c r="EB6" s="32" t="s">
        <v>291</v>
      </c>
      <c r="ED6" s="32" t="s">
        <v>294</v>
      </c>
    </row>
    <row r="7" spans="1:134" ht="24" customHeight="1" x14ac:dyDescent="0.35">
      <c r="A7" s="165" t="s">
        <v>15</v>
      </c>
      <c r="B7" s="192"/>
      <c r="C7" s="9" t="s">
        <v>25</v>
      </c>
      <c r="D7" s="57"/>
      <c r="E7" s="54"/>
      <c r="F7" s="54"/>
      <c r="G7" s="54"/>
      <c r="H7" s="54"/>
      <c r="I7" s="54"/>
      <c r="J7" s="54"/>
      <c r="K7" s="54"/>
      <c r="L7" s="54"/>
      <c r="M7" s="54"/>
      <c r="N7" s="54"/>
      <c r="O7" s="54"/>
      <c r="DT7" s="32" t="s">
        <v>290</v>
      </c>
      <c r="EB7" s="32" t="s">
        <v>291</v>
      </c>
      <c r="ED7" s="32" t="s">
        <v>295</v>
      </c>
    </row>
    <row r="8" spans="1:134" ht="24" customHeight="1" x14ac:dyDescent="0.35">
      <c r="A8" s="165" t="s">
        <v>29</v>
      </c>
      <c r="B8" s="192"/>
      <c r="C8" s="9" t="s">
        <v>17</v>
      </c>
      <c r="D8" s="57"/>
      <c r="E8" s="54"/>
      <c r="F8" s="54"/>
      <c r="G8" s="54"/>
      <c r="H8" s="54"/>
      <c r="I8" s="54"/>
      <c r="J8" s="54"/>
      <c r="K8" s="54"/>
      <c r="L8" s="54"/>
      <c r="M8" s="54"/>
      <c r="N8" s="54"/>
      <c r="O8" s="54"/>
      <c r="DT8" s="32" t="s">
        <v>231</v>
      </c>
      <c r="EB8" s="32" t="s">
        <v>291</v>
      </c>
      <c r="ED8" s="32" t="s">
        <v>296</v>
      </c>
    </row>
    <row r="9" spans="1:134" ht="24" customHeight="1" x14ac:dyDescent="0.35">
      <c r="A9" s="165" t="s">
        <v>156</v>
      </c>
      <c r="B9" s="182"/>
      <c r="C9" s="9" t="s">
        <v>19</v>
      </c>
      <c r="D9" s="57"/>
      <c r="E9" s="54"/>
      <c r="F9" s="54"/>
      <c r="G9" s="54"/>
      <c r="H9" s="54"/>
      <c r="I9" s="54"/>
      <c r="J9" s="54"/>
      <c r="K9" s="54"/>
      <c r="L9" s="54"/>
      <c r="M9" s="54"/>
      <c r="N9" s="54"/>
      <c r="O9" s="54"/>
      <c r="DT9" s="32" t="s">
        <v>279</v>
      </c>
      <c r="EB9" s="32" t="s">
        <v>292</v>
      </c>
      <c r="ED9" s="32" t="s">
        <v>293</v>
      </c>
    </row>
    <row r="10" spans="1:134" ht="24" customHeight="1" x14ac:dyDescent="0.35">
      <c r="A10" s="165" t="s">
        <v>20</v>
      </c>
      <c r="B10" s="182"/>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5">
      <c r="A11" s="164"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5">
      <c r="A12" s="164"/>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5">
      <c r="A13" s="164"/>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5">
      <c r="A14" s="165" t="s">
        <v>24</v>
      </c>
      <c r="B14" s="182"/>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5">
      <c r="A16" s="187"/>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5">
      <c r="A17" s="187"/>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heetViews>
  <sheetFormatPr defaultColWidth="9.1796875" defaultRowHeight="14.5" x14ac:dyDescent="0.35"/>
  <cols>
    <col min="1" max="2" width="2.7265625" style="22" customWidth="1"/>
    <col min="3" max="3" width="96.7265625" style="22" customWidth="1"/>
    <col min="4" max="4" width="2.7265625" style="22" customWidth="1"/>
    <col min="5" max="16384" width="9.1796875" style="22"/>
  </cols>
  <sheetData>
    <row r="2" spans="2:4" ht="15" thickBot="1" x14ac:dyDescent="0.4"/>
    <row r="3" spans="2:4" ht="30" customHeight="1" thickBot="1" x14ac:dyDescent="0.4">
      <c r="B3" s="193" t="s">
        <v>44</v>
      </c>
      <c r="C3" s="194"/>
      <c r="D3" s="195"/>
    </row>
    <row r="4" spans="2:4" ht="15" thickBot="1" x14ac:dyDescent="0.4"/>
    <row r="5" spans="2:4" ht="15" customHeight="1" x14ac:dyDescent="0.35">
      <c r="B5" s="38"/>
      <c r="C5" s="196"/>
      <c r="D5" s="90"/>
    </row>
    <row r="6" spans="2:4" x14ac:dyDescent="0.35">
      <c r="B6" s="39"/>
      <c r="C6" s="197"/>
      <c r="D6" s="40"/>
    </row>
    <row r="7" spans="2:4" x14ac:dyDescent="0.35">
      <c r="B7" s="39"/>
      <c r="C7" s="197"/>
      <c r="D7" s="40"/>
    </row>
    <row r="8" spans="2:4" x14ac:dyDescent="0.35">
      <c r="B8" s="39"/>
      <c r="C8" s="197"/>
      <c r="D8" s="40"/>
    </row>
    <row r="9" spans="2:4" x14ac:dyDescent="0.35">
      <c r="B9" s="39"/>
      <c r="C9" s="197"/>
      <c r="D9" s="40"/>
    </row>
    <row r="10" spans="2:4" x14ac:dyDescent="0.35">
      <c r="B10" s="39"/>
      <c r="C10" s="197"/>
      <c r="D10" s="40"/>
    </row>
    <row r="11" spans="2:4" x14ac:dyDescent="0.35">
      <c r="B11" s="39"/>
      <c r="C11" s="197"/>
      <c r="D11" s="40"/>
    </row>
    <row r="12" spans="2:4" x14ac:dyDescent="0.35">
      <c r="B12" s="39"/>
      <c r="C12" s="197"/>
      <c r="D12" s="40"/>
    </row>
    <row r="13" spans="2:4" x14ac:dyDescent="0.35">
      <c r="B13" s="39"/>
      <c r="C13" s="197"/>
      <c r="D13" s="40"/>
    </row>
    <row r="14" spans="2:4" x14ac:dyDescent="0.35">
      <c r="B14" s="39"/>
      <c r="C14" s="197"/>
      <c r="D14" s="40"/>
    </row>
    <row r="15" spans="2:4" x14ac:dyDescent="0.35">
      <c r="B15" s="39"/>
      <c r="C15" s="197"/>
      <c r="D15" s="40"/>
    </row>
    <row r="16" spans="2:4" x14ac:dyDescent="0.35">
      <c r="B16" s="39"/>
      <c r="C16" s="197"/>
      <c r="D16" s="40"/>
    </row>
    <row r="17" spans="2:4" x14ac:dyDescent="0.35">
      <c r="B17" s="39"/>
      <c r="C17" s="197"/>
      <c r="D17" s="40"/>
    </row>
    <row r="18" spans="2:4" x14ac:dyDescent="0.35">
      <c r="B18" s="39"/>
      <c r="C18" s="197"/>
      <c r="D18" s="40"/>
    </row>
    <row r="19" spans="2:4" x14ac:dyDescent="0.35">
      <c r="B19" s="39"/>
      <c r="C19" s="197"/>
      <c r="D19" s="40"/>
    </row>
    <row r="20" spans="2:4" x14ac:dyDescent="0.35">
      <c r="B20" s="39"/>
      <c r="C20" s="197"/>
      <c r="D20" s="40"/>
    </row>
    <row r="21" spans="2:4" x14ac:dyDescent="0.35">
      <c r="B21" s="39"/>
      <c r="C21" s="197"/>
      <c r="D21" s="40"/>
    </row>
    <row r="22" spans="2:4" x14ac:dyDescent="0.35">
      <c r="B22" s="39"/>
      <c r="C22" s="197"/>
      <c r="D22" s="40"/>
    </row>
    <row r="23" spans="2:4" x14ac:dyDescent="0.35">
      <c r="B23" s="39"/>
      <c r="C23" s="197"/>
      <c r="D23" s="40"/>
    </row>
    <row r="24" spans="2:4" x14ac:dyDescent="0.35">
      <c r="B24" s="39"/>
      <c r="C24" s="197"/>
      <c r="D24" s="40"/>
    </row>
    <row r="25" spans="2:4" x14ac:dyDescent="0.35">
      <c r="B25" s="39"/>
      <c r="C25" s="197"/>
      <c r="D25" s="40"/>
    </row>
    <row r="26" spans="2:4" x14ac:dyDescent="0.35">
      <c r="B26" s="39"/>
      <c r="C26" s="197"/>
      <c r="D26" s="40"/>
    </row>
    <row r="27" spans="2:4" x14ac:dyDescent="0.35">
      <c r="B27" s="39"/>
      <c r="C27" s="197"/>
      <c r="D27" s="40"/>
    </row>
    <row r="28" spans="2:4" x14ac:dyDescent="0.35">
      <c r="B28" s="39"/>
      <c r="C28" s="197"/>
      <c r="D28" s="40"/>
    </row>
    <row r="29" spans="2:4" x14ac:dyDescent="0.35">
      <c r="B29" s="39"/>
      <c r="C29" s="197"/>
      <c r="D29" s="40"/>
    </row>
    <row r="30" spans="2:4" x14ac:dyDescent="0.35">
      <c r="B30" s="39"/>
      <c r="C30" s="197"/>
      <c r="D30" s="40"/>
    </row>
    <row r="31" spans="2:4" x14ac:dyDescent="0.35">
      <c r="B31" s="39"/>
      <c r="C31" s="197"/>
      <c r="D31" s="40"/>
    </row>
    <row r="32" spans="2:4" x14ac:dyDescent="0.35">
      <c r="B32" s="39"/>
      <c r="C32" s="197"/>
      <c r="D32" s="40"/>
    </row>
    <row r="33" spans="2:4" x14ac:dyDescent="0.35">
      <c r="B33" s="39"/>
      <c r="C33" s="197"/>
      <c r="D33" s="40"/>
    </row>
    <row r="34" spans="2:4" x14ac:dyDescent="0.35">
      <c r="B34" s="39"/>
      <c r="C34" s="197"/>
      <c r="D34" s="40"/>
    </row>
    <row r="35" spans="2:4" x14ac:dyDescent="0.35">
      <c r="B35" s="39"/>
      <c r="C35" s="197"/>
      <c r="D35" s="40"/>
    </row>
    <row r="36" spans="2:4" x14ac:dyDescent="0.35">
      <c r="B36" s="39"/>
      <c r="C36" s="197"/>
      <c r="D36" s="40"/>
    </row>
    <row r="37" spans="2:4" x14ac:dyDescent="0.35">
      <c r="B37" s="39"/>
      <c r="C37" s="197"/>
      <c r="D37" s="40"/>
    </row>
    <row r="38" spans="2:4" x14ac:dyDescent="0.35">
      <c r="B38" s="39"/>
      <c r="C38" s="197"/>
      <c r="D38" s="40"/>
    </row>
    <row r="39" spans="2:4" x14ac:dyDescent="0.35">
      <c r="B39" s="39"/>
      <c r="C39" s="197"/>
      <c r="D39" s="40"/>
    </row>
    <row r="40" spans="2:4" x14ac:dyDescent="0.35">
      <c r="B40" s="39"/>
      <c r="C40" s="197"/>
      <c r="D40" s="40"/>
    </row>
    <row r="41" spans="2:4" x14ac:dyDescent="0.35">
      <c r="B41" s="39"/>
      <c r="C41" s="197"/>
      <c r="D41" s="40"/>
    </row>
    <row r="42" spans="2:4" x14ac:dyDescent="0.35">
      <c r="B42" s="39"/>
      <c r="C42" s="197"/>
      <c r="D42" s="40"/>
    </row>
    <row r="43" spans="2:4" ht="15" thickBot="1" x14ac:dyDescent="0.4">
      <c r="B43" s="41"/>
      <c r="C43" s="198"/>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184150</xdr:rowOff>
                  </from>
                  <to>
                    <xdr:col>3</xdr:col>
                    <xdr:colOff>165100</xdr:colOff>
                    <xdr:row>3</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ColWidth="9.1796875" defaultRowHeight="14.5" x14ac:dyDescent="0.35"/>
  <cols>
    <col min="2" max="2" width="61.81640625" bestFit="1" customWidth="1"/>
  </cols>
  <sheetData>
    <row r="2" spans="2:3" x14ac:dyDescent="0.35">
      <c r="B2" s="21" t="s">
        <v>45</v>
      </c>
    </row>
    <row r="3" spans="2:3" x14ac:dyDescent="0.35">
      <c r="B3" t="s">
        <v>46</v>
      </c>
      <c r="C3" t="s">
        <v>237</v>
      </c>
    </row>
    <row r="4" spans="2:3" x14ac:dyDescent="0.35">
      <c r="B4" t="s">
        <v>47</v>
      </c>
      <c r="C4" t="s">
        <v>238</v>
      </c>
    </row>
    <row r="5" spans="2:3" x14ac:dyDescent="0.35">
      <c r="B5" t="s">
        <v>48</v>
      </c>
      <c r="C5" t="s">
        <v>239</v>
      </c>
    </row>
    <row r="6" spans="2:3" x14ac:dyDescent="0.35">
      <c r="B6" t="s">
        <v>73</v>
      </c>
      <c r="C6" t="s">
        <v>240</v>
      </c>
    </row>
    <row r="7" spans="2:3" x14ac:dyDescent="0.35">
      <c r="B7" t="s">
        <v>49</v>
      </c>
      <c r="C7" t="s">
        <v>241</v>
      </c>
    </row>
    <row r="8" spans="2:3" x14ac:dyDescent="0.35">
      <c r="B8" t="s">
        <v>56</v>
      </c>
      <c r="C8" t="s">
        <v>242</v>
      </c>
    </row>
    <row r="9" spans="2:3" x14ac:dyDescent="0.35">
      <c r="B9" t="s">
        <v>58</v>
      </c>
      <c r="C9" t="s">
        <v>243</v>
      </c>
    </row>
    <row r="10" spans="2:3" x14ac:dyDescent="0.35">
      <c r="B10" t="s">
        <v>179</v>
      </c>
      <c r="C10" t="s">
        <v>275</v>
      </c>
    </row>
    <row r="11" spans="2:3" x14ac:dyDescent="0.35">
      <c r="B11" t="s">
        <v>50</v>
      </c>
      <c r="C11" t="s">
        <v>244</v>
      </c>
    </row>
    <row r="12" spans="2:3" x14ac:dyDescent="0.35">
      <c r="B12" t="s">
        <v>51</v>
      </c>
      <c r="C12" t="s">
        <v>245</v>
      </c>
    </row>
    <row r="13" spans="2:3" x14ac:dyDescent="0.35">
      <c r="B13" t="s">
        <v>69</v>
      </c>
      <c r="C13" t="s">
        <v>246</v>
      </c>
    </row>
    <row r="14" spans="2:3" x14ac:dyDescent="0.35">
      <c r="B14" t="s">
        <v>55</v>
      </c>
      <c r="C14" t="s">
        <v>230</v>
      </c>
    </row>
    <row r="15" spans="2:3" x14ac:dyDescent="0.35">
      <c r="B15" t="s">
        <v>141</v>
      </c>
      <c r="C15" t="s">
        <v>247</v>
      </c>
    </row>
    <row r="16" spans="2:3" x14ac:dyDescent="0.35">
      <c r="B16" t="s">
        <v>74</v>
      </c>
      <c r="C16" t="s">
        <v>248</v>
      </c>
    </row>
    <row r="17" spans="2:3" x14ac:dyDescent="0.35">
      <c r="B17" t="s">
        <v>53</v>
      </c>
      <c r="C17" t="s">
        <v>249</v>
      </c>
    </row>
    <row r="18" spans="2:3" x14ac:dyDescent="0.35">
      <c r="B18" t="s">
        <v>62</v>
      </c>
      <c r="C18" t="s">
        <v>250</v>
      </c>
    </row>
    <row r="19" spans="2:3" x14ac:dyDescent="0.35">
      <c r="B19" t="s">
        <v>75</v>
      </c>
      <c r="C19" t="s">
        <v>251</v>
      </c>
    </row>
    <row r="20" spans="2:3" x14ac:dyDescent="0.35">
      <c r="B20" t="s">
        <v>52</v>
      </c>
      <c r="C20" t="s">
        <v>252</v>
      </c>
    </row>
    <row r="21" spans="2:3" x14ac:dyDescent="0.35">
      <c r="B21" t="s">
        <v>57</v>
      </c>
      <c r="C21" t="s">
        <v>253</v>
      </c>
    </row>
    <row r="22" spans="2:3" x14ac:dyDescent="0.35">
      <c r="B22" t="s">
        <v>140</v>
      </c>
      <c r="C22" t="s">
        <v>276</v>
      </c>
    </row>
    <row r="23" spans="2:3" x14ac:dyDescent="0.35">
      <c r="B23" t="s">
        <v>59</v>
      </c>
      <c r="C23" t="s">
        <v>254</v>
      </c>
    </row>
    <row r="24" spans="2:3" x14ac:dyDescent="0.35">
      <c r="B24" t="s">
        <v>76</v>
      </c>
      <c r="C24" t="s">
        <v>255</v>
      </c>
    </row>
    <row r="25" spans="2:3" x14ac:dyDescent="0.35">
      <c r="B25" t="s">
        <v>60</v>
      </c>
      <c r="C25" t="s">
        <v>256</v>
      </c>
    </row>
    <row r="26" spans="2:3" x14ac:dyDescent="0.35">
      <c r="B26" t="s">
        <v>61</v>
      </c>
      <c r="C26" t="s">
        <v>257</v>
      </c>
    </row>
    <row r="27" spans="2:3" x14ac:dyDescent="0.35">
      <c r="B27" t="s">
        <v>63</v>
      </c>
      <c r="C27" t="s">
        <v>258</v>
      </c>
    </row>
    <row r="28" spans="2:3" x14ac:dyDescent="0.35">
      <c r="B28" t="s">
        <v>139</v>
      </c>
      <c r="C28" t="s">
        <v>259</v>
      </c>
    </row>
    <row r="29" spans="2:3" x14ac:dyDescent="0.35">
      <c r="B29" t="s">
        <v>77</v>
      </c>
      <c r="C29" t="s">
        <v>260</v>
      </c>
    </row>
    <row r="30" spans="2:3" x14ac:dyDescent="0.35">
      <c r="B30" t="s">
        <v>64</v>
      </c>
      <c r="C30" t="s">
        <v>261</v>
      </c>
    </row>
    <row r="31" spans="2:3" x14ac:dyDescent="0.35">
      <c r="B31" t="s">
        <v>178</v>
      </c>
      <c r="C31" t="s">
        <v>262</v>
      </c>
    </row>
    <row r="32" spans="2:3" x14ac:dyDescent="0.35">
      <c r="B32" t="s">
        <v>78</v>
      </c>
      <c r="C32" t="s">
        <v>263</v>
      </c>
    </row>
    <row r="33" spans="2:3" x14ac:dyDescent="0.35">
      <c r="B33" t="s">
        <v>65</v>
      </c>
      <c r="C33" t="s">
        <v>264</v>
      </c>
    </row>
    <row r="34" spans="2:3" x14ac:dyDescent="0.35">
      <c r="B34" t="s">
        <v>66</v>
      </c>
      <c r="C34" t="s">
        <v>265</v>
      </c>
    </row>
    <row r="35" spans="2:3" x14ac:dyDescent="0.35">
      <c r="B35" t="s">
        <v>67</v>
      </c>
      <c r="C35" t="s">
        <v>266</v>
      </c>
    </row>
    <row r="36" spans="2:3" x14ac:dyDescent="0.35">
      <c r="B36" t="s">
        <v>79</v>
      </c>
      <c r="C36" t="s">
        <v>267</v>
      </c>
    </row>
    <row r="37" spans="2:3" x14ac:dyDescent="0.35">
      <c r="B37" t="s">
        <v>80</v>
      </c>
      <c r="C37" t="s">
        <v>277</v>
      </c>
    </row>
    <row r="38" spans="2:3" x14ac:dyDescent="0.35">
      <c r="B38" t="s">
        <v>68</v>
      </c>
      <c r="C38" t="s">
        <v>268</v>
      </c>
    </row>
    <row r="39" spans="2:3" x14ac:dyDescent="0.35">
      <c r="B39" t="s">
        <v>54</v>
      </c>
      <c r="C39" t="s">
        <v>269</v>
      </c>
    </row>
    <row r="40" spans="2:3" x14ac:dyDescent="0.35">
      <c r="B40" t="s">
        <v>70</v>
      </c>
      <c r="C40" t="s">
        <v>270</v>
      </c>
    </row>
    <row r="41" spans="2:3" x14ac:dyDescent="0.35">
      <c r="B41" t="s">
        <v>81</v>
      </c>
      <c r="C41" t="s">
        <v>271</v>
      </c>
    </row>
    <row r="42" spans="2:3" x14ac:dyDescent="0.35">
      <c r="B42" t="s">
        <v>72</v>
      </c>
      <c r="C42" t="s">
        <v>272</v>
      </c>
    </row>
    <row r="43" spans="2:3" x14ac:dyDescent="0.35">
      <c r="B43" t="s">
        <v>138</v>
      </c>
      <c r="C43" t="s">
        <v>273</v>
      </c>
    </row>
    <row r="44" spans="2:3" x14ac:dyDescent="0.3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election activeCell="L45" sqref="L45"/>
    </sheetView>
  </sheetViews>
  <sheetFormatPr defaultColWidth="9.1796875" defaultRowHeight="14.5" x14ac:dyDescent="0.35"/>
  <cols>
    <col min="1" max="1" width="18.7265625" customWidth="1"/>
    <col min="2" max="2" width="123.7265625" customWidth="1"/>
    <col min="3" max="14" width="9.1796875" style="91"/>
  </cols>
  <sheetData>
    <row r="1" spans="1:14" ht="15.5" x14ac:dyDescent="0.35">
      <c r="A1" s="97" t="s">
        <v>170</v>
      </c>
    </row>
    <row r="4" spans="1:14" ht="15.5" x14ac:dyDescent="0.35">
      <c r="B4" s="98" t="s">
        <v>149</v>
      </c>
      <c r="C4" s="99" t="b">
        <f>COUNTIF(C7:J46, FALSE) = 0</f>
        <v>1</v>
      </c>
    </row>
    <row r="6" spans="1:14" x14ac:dyDescent="0.3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3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3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3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3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3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3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3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3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3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3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3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3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3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3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3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3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3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3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3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3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3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3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3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3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3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3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3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3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3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3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3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3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3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3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3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35">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35">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35">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3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35">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796875" defaultRowHeight="12.5" x14ac:dyDescent="0.25"/>
  <cols>
    <col min="1" max="1" width="27.1796875" style="128" customWidth="1"/>
    <col min="2" max="2" width="27.81640625" style="128" customWidth="1"/>
    <col min="3" max="3" width="9.1796875" style="128" customWidth="1"/>
    <col min="4" max="52" width="9.1796875" style="128"/>
    <col min="53" max="156" width="9.1796875" style="128" customWidth="1"/>
    <col min="157" max="16384" width="9.1796875" style="128"/>
  </cols>
  <sheetData>
    <row r="1" spans="1:2" x14ac:dyDescent="0.25">
      <c r="A1" s="127" t="s">
        <v>187</v>
      </c>
      <c r="B1" s="127" t="s">
        <v>188</v>
      </c>
    </row>
    <row r="2" spans="1:2" x14ac:dyDescent="0.25">
      <c r="A2" s="129" t="s">
        <v>158</v>
      </c>
      <c r="B2" s="129" t="s">
        <v>189</v>
      </c>
    </row>
    <row r="3" spans="1:2" x14ac:dyDescent="0.25">
      <c r="A3" s="129" t="s">
        <v>152</v>
      </c>
      <c r="B3" s="129" t="s">
        <v>189</v>
      </c>
    </row>
    <row r="4" spans="1:2" x14ac:dyDescent="0.25">
      <c r="A4" s="129" t="s">
        <v>169</v>
      </c>
      <c r="B4" s="129" t="s">
        <v>189</v>
      </c>
    </row>
    <row r="5" spans="1:2" x14ac:dyDescent="0.25">
      <c r="A5" s="129" t="s">
        <v>153</v>
      </c>
      <c r="B5" s="129" t="s">
        <v>189</v>
      </c>
    </row>
    <row r="6" spans="1:2" x14ac:dyDescent="0.25">
      <c r="A6" s="129" t="s">
        <v>154</v>
      </c>
      <c r="B6" s="129" t="s">
        <v>189</v>
      </c>
    </row>
    <row r="7" spans="1:2" x14ac:dyDescent="0.25">
      <c r="A7" s="129" t="s">
        <v>228</v>
      </c>
      <c r="B7" s="129" t="s">
        <v>189</v>
      </c>
    </row>
    <row r="8" spans="1:2" x14ac:dyDescent="0.25">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2.5" x14ac:dyDescent="0.25"/>
  <cols>
    <col min="1" max="1" width="22" style="128" customWidth="1"/>
    <col min="2" max="3" width="9" style="128" customWidth="1"/>
    <col min="4" max="5" width="9" style="128"/>
    <col min="6" max="6" width="25.26953125" style="128" customWidth="1"/>
    <col min="7" max="52" width="9" style="128"/>
    <col min="53" max="156" width="9" style="128" customWidth="1"/>
    <col min="157" max="16384" width="9" style="128"/>
  </cols>
  <sheetData>
    <row r="1" spans="1:7" ht="14.5" x14ac:dyDescent="0.35">
      <c r="A1" s="130" t="s">
        <v>190</v>
      </c>
      <c r="B1" s="130" t="s">
        <v>191</v>
      </c>
      <c r="C1" s="130" t="s">
        <v>192</v>
      </c>
      <c r="D1" s="130" t="s">
        <v>193</v>
      </c>
      <c r="E1" s="131"/>
      <c r="F1" s="130" t="s">
        <v>194</v>
      </c>
      <c r="G1" s="136" t="s">
        <v>233</v>
      </c>
    </row>
    <row r="2" spans="1:7" ht="14.5" x14ac:dyDescent="0.35">
      <c r="A2" s="131" t="s">
        <v>195</v>
      </c>
      <c r="B2" s="131" t="s">
        <v>196</v>
      </c>
      <c r="C2" s="131" t="s">
        <v>197</v>
      </c>
      <c r="D2" s="137" t="s">
        <v>278</v>
      </c>
      <c r="E2" s="131"/>
      <c r="F2" s="130" t="s">
        <v>198</v>
      </c>
      <c r="G2" s="136" t="s">
        <v>234</v>
      </c>
    </row>
    <row r="3" spans="1:7" ht="14.5" x14ac:dyDescent="0.35">
      <c r="A3" s="131" t="s">
        <v>199</v>
      </c>
      <c r="B3" s="131" t="s">
        <v>196</v>
      </c>
      <c r="C3" s="131" t="s">
        <v>197</v>
      </c>
      <c r="D3" s="131" t="s">
        <v>200</v>
      </c>
      <c r="E3" s="131"/>
      <c r="F3" s="130" t="s">
        <v>201</v>
      </c>
      <c r="G3" s="132" t="s">
        <v>202</v>
      </c>
    </row>
    <row r="4" spans="1:7" ht="14.5" x14ac:dyDescent="0.35">
      <c r="A4" s="131" t="s">
        <v>203</v>
      </c>
      <c r="B4" s="131" t="s">
        <v>196</v>
      </c>
      <c r="C4" s="137" t="s">
        <v>235</v>
      </c>
      <c r="D4" s="137" t="s">
        <v>236</v>
      </c>
      <c r="E4" s="131"/>
      <c r="F4" s="130"/>
      <c r="G4" s="133"/>
    </row>
    <row r="5" spans="1:7" ht="14.5" x14ac:dyDescent="0.35">
      <c r="A5" s="131" t="s">
        <v>205</v>
      </c>
      <c r="B5" s="131" t="s">
        <v>196</v>
      </c>
      <c r="C5" s="131" t="s">
        <v>204</v>
      </c>
      <c r="D5" s="131" t="s">
        <v>206</v>
      </c>
      <c r="E5" s="131"/>
      <c r="F5" s="127"/>
      <c r="G5" s="134"/>
    </row>
    <row r="6" spans="1:7" ht="14.5" x14ac:dyDescent="0.35">
      <c r="A6" s="131" t="s">
        <v>207</v>
      </c>
      <c r="B6" s="131" t="s">
        <v>196</v>
      </c>
      <c r="C6" s="137" t="s">
        <v>197</v>
      </c>
      <c r="D6" s="137" t="s">
        <v>297</v>
      </c>
      <c r="E6" s="131"/>
      <c r="F6" s="130"/>
      <c r="G6" s="133"/>
    </row>
    <row r="7" spans="1:7" ht="14.5" x14ac:dyDescent="0.35">
      <c r="A7" s="131" t="s">
        <v>208</v>
      </c>
      <c r="B7" s="131" t="s">
        <v>196</v>
      </c>
      <c r="C7" s="137" t="s">
        <v>235</v>
      </c>
      <c r="D7" s="137" t="s">
        <v>299</v>
      </c>
      <c r="E7" s="131"/>
      <c r="F7" s="130"/>
      <c r="G7" s="133"/>
    </row>
    <row r="8" spans="1:7" ht="14.5" x14ac:dyDescent="0.35">
      <c r="A8" s="131" t="s">
        <v>209</v>
      </c>
      <c r="B8" s="131" t="s">
        <v>196</v>
      </c>
      <c r="C8" s="137" t="s">
        <v>197</v>
      </c>
      <c r="D8" s="137" t="s">
        <v>232</v>
      </c>
      <c r="E8" s="131"/>
      <c r="F8" s="130"/>
      <c r="G8" s="133"/>
    </row>
    <row r="9" spans="1:7" ht="14.5" x14ac:dyDescent="0.35">
      <c r="A9" s="131" t="s">
        <v>210</v>
      </c>
      <c r="B9" s="131" t="s">
        <v>196</v>
      </c>
      <c r="C9" s="137" t="s">
        <v>197</v>
      </c>
      <c r="D9" s="137" t="s">
        <v>232</v>
      </c>
      <c r="E9" s="131"/>
      <c r="F9" s="130"/>
      <c r="G9" s="133"/>
    </row>
    <row r="10" spans="1:7" ht="14.5" x14ac:dyDescent="0.35">
      <c r="A10" s="131" t="s">
        <v>211</v>
      </c>
      <c r="B10" s="131" t="s">
        <v>196</v>
      </c>
      <c r="C10" s="137" t="s">
        <v>197</v>
      </c>
      <c r="D10" s="137" t="s">
        <v>232</v>
      </c>
      <c r="E10" s="131"/>
      <c r="F10" s="130"/>
      <c r="G10" s="133"/>
    </row>
    <row r="11" spans="1:7" ht="14.5" x14ac:dyDescent="0.35">
      <c r="A11" s="131" t="s">
        <v>212</v>
      </c>
      <c r="B11" s="131" t="s">
        <v>196</v>
      </c>
      <c r="C11" s="137" t="s">
        <v>197</v>
      </c>
      <c r="D11" s="137" t="s">
        <v>232</v>
      </c>
      <c r="E11" s="131"/>
      <c r="F11" s="130"/>
      <c r="G11" s="133"/>
    </row>
    <row r="12" spans="1:7" ht="14.5" x14ac:dyDescent="0.35">
      <c r="A12" s="131" t="s">
        <v>213</v>
      </c>
      <c r="B12" s="131" t="s">
        <v>196</v>
      </c>
      <c r="C12" s="137" t="s">
        <v>197</v>
      </c>
      <c r="D12" s="137" t="s">
        <v>232</v>
      </c>
      <c r="E12" s="131"/>
      <c r="F12" s="130"/>
      <c r="G12" s="133"/>
    </row>
    <row r="13" spans="1:7" ht="14.5" x14ac:dyDescent="0.35">
      <c r="A13" s="131" t="s">
        <v>214</v>
      </c>
      <c r="B13" s="131" t="s">
        <v>196</v>
      </c>
      <c r="C13" s="131" t="s">
        <v>204</v>
      </c>
      <c r="D13" s="131" t="s">
        <v>215</v>
      </c>
      <c r="E13" s="131"/>
      <c r="F13" s="130"/>
      <c r="G13" s="133"/>
    </row>
    <row r="14" spans="1:7" ht="14.5" x14ac:dyDescent="0.35">
      <c r="A14" s="131" t="s">
        <v>216</v>
      </c>
      <c r="B14" s="131" t="s">
        <v>196</v>
      </c>
      <c r="C14" s="131" t="s">
        <v>217</v>
      </c>
      <c r="D14" s="131">
        <v>5</v>
      </c>
      <c r="E14" s="131"/>
      <c r="F14" s="130"/>
      <c r="G14" s="133"/>
    </row>
    <row r="15" spans="1:7" ht="14.5" x14ac:dyDescent="0.35">
      <c r="A15" s="131" t="s">
        <v>218</v>
      </c>
      <c r="B15" s="131" t="s">
        <v>196</v>
      </c>
      <c r="C15" s="137" t="s">
        <v>197</v>
      </c>
      <c r="D15" s="137" t="s">
        <v>232</v>
      </c>
      <c r="E15" s="131"/>
      <c r="F15" s="130"/>
      <c r="G15" s="133"/>
    </row>
    <row r="16" spans="1:7" ht="14.5" x14ac:dyDescent="0.35">
      <c r="A16" s="131" t="s">
        <v>219</v>
      </c>
      <c r="B16" s="131" t="s">
        <v>220</v>
      </c>
      <c r="C16" s="131" t="s">
        <v>204</v>
      </c>
      <c r="D16" s="131" t="s">
        <v>221</v>
      </c>
      <c r="E16" s="131"/>
      <c r="F16" s="130"/>
      <c r="G16" s="133"/>
    </row>
    <row r="17" spans="1:7" ht="14.5" x14ac:dyDescent="0.35">
      <c r="A17" s="131" t="s">
        <v>222</v>
      </c>
      <c r="B17" s="131" t="s">
        <v>220</v>
      </c>
      <c r="C17" s="131" t="s">
        <v>223</v>
      </c>
      <c r="D17" s="131"/>
      <c r="E17" s="131"/>
      <c r="F17" s="130"/>
      <c r="G17" s="133"/>
    </row>
    <row r="18" spans="1:7" ht="14.5" x14ac:dyDescent="0.35">
      <c r="A18" s="131" t="s">
        <v>224</v>
      </c>
      <c r="B18" s="131" t="s">
        <v>220</v>
      </c>
      <c r="C18" s="131" t="s">
        <v>223</v>
      </c>
      <c r="D18" s="131"/>
      <c r="E18" s="131"/>
      <c r="F18" s="130"/>
      <c r="G18" s="133"/>
    </row>
    <row r="19" spans="1:7" ht="14.5" x14ac:dyDescent="0.35">
      <c r="A19" s="131" t="s">
        <v>225</v>
      </c>
      <c r="B19" s="131" t="s">
        <v>220</v>
      </c>
      <c r="C19" s="131" t="s">
        <v>223</v>
      </c>
      <c r="D19" s="131"/>
      <c r="E19" s="131"/>
      <c r="F19" s="130"/>
      <c r="G19" s="133"/>
    </row>
    <row r="20" spans="1:7" ht="14.5" x14ac:dyDescent="0.35">
      <c r="A20" s="131" t="s">
        <v>226</v>
      </c>
      <c r="B20" s="131" t="s">
        <v>220</v>
      </c>
      <c r="C20" s="131" t="s">
        <v>223</v>
      </c>
      <c r="D20" s="131"/>
      <c r="E20" s="131"/>
      <c r="F20" s="130"/>
      <c r="G20" s="133"/>
    </row>
    <row r="21" spans="1:7" ht="14.5" x14ac:dyDescent="0.35">
      <c r="A21" s="131" t="s">
        <v>227</v>
      </c>
      <c r="B21" s="131" t="s">
        <v>220</v>
      </c>
      <c r="C21" s="131" t="s">
        <v>223</v>
      </c>
      <c r="D21" s="131"/>
      <c r="E21" s="131"/>
      <c r="F21" s="130"/>
      <c r="G21" s="133"/>
    </row>
    <row r="22" spans="1:7" x14ac:dyDescent="0.25">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Christiane Kobalt</cp:lastModifiedBy>
  <cp:lastPrinted>2017-09-15T13:51:39Z</cp:lastPrinted>
  <dcterms:created xsi:type="dcterms:W3CDTF">2014-09-17T09:30:01Z</dcterms:created>
  <dcterms:modified xsi:type="dcterms:W3CDTF">2023-08-21T15:53:38Z</dcterms:modified>
  <cp:category>Annual questionnaires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-257942347</vt:i4>
  </property>
  <property fmtid="{D5CDD505-2E9C-101B-9397-08002B2CF9AE}" pid="3" name="_NewReviewCycle">
    <vt:lpwstr/>
  </property>
  <property fmtid="{D5CDD505-2E9C-101B-9397-08002B2CF9AE}" pid="4" name="_EmailSubject">
    <vt:lpwstr>Some files sent by EWA for ENERGY are corrupted</vt:lpwstr>
  </property>
  <property fmtid="{D5CDD505-2E9C-101B-9397-08002B2CF9AE}" pid="5" name="_AuthorEmail">
    <vt:lpwstr>energie@statistik.gv.at</vt:lpwstr>
  </property>
  <property fmtid="{D5CDD505-2E9C-101B-9397-08002B2CF9AE}" pid="6" name="_AuthorEmailDisplayName">
    <vt:lpwstr>ENERGIE</vt:lpwstr>
  </property>
  <property fmtid="{D5CDD505-2E9C-101B-9397-08002B2CF9AE}" pid="7" name="_ReviewingToolsShownOnce">
    <vt:lpwstr/>
  </property>
</Properties>
</file>