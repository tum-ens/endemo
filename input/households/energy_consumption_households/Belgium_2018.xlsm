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51196F13-6AD0-C1B8-E2B4-A1F9AE17003E}"/>
  <workbookPr codeName="ThisWorkbook" defaultThemeVersion="124226"/>
  <mc:AlternateContent xmlns:mc="http://schemas.openxmlformats.org/markup-compatibility/2006">
    <mc:Choice Requires="x15">
      <x15ac:absPath xmlns:x15ac="http://schemas.microsoft.com/office/spreadsheetml/2010/11/ac" url="https://tumde-my.sharepoint.com/personal/chris_kobalt_tum_de/Documents/Documents/Master_Semester_1/IDP/endemo2/input/households/energy_consumption_households/"/>
    </mc:Choice>
  </mc:AlternateContent>
  <xr:revisionPtr revIDLastSave="0" documentId="11_B80FC3216338DDCFA97D7AE7B90EDD183D0178B5" xr6:coauthVersionLast="47" xr6:coauthVersionMax="47" xr10:uidLastSave="{00000000-0000-0000-0000-000000000000}"/>
  <bookViews>
    <workbookView xWindow="1560" yWindow="1560" windowWidth="16815" windowHeight="11595" tabRatio="819" firstSheet="7" activeTab="10"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S6" i="7" l="1"/>
  <c r="DS6" i="8"/>
  <c r="DS6" i="9"/>
  <c r="DS6" i="10"/>
  <c r="DS6" i="11"/>
  <c r="DS6" i="6"/>
  <c r="DS6" i="4"/>
  <c r="C24" i="14"/>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C42" i="14"/>
  <c r="C2" i="15"/>
  <c r="D27" i="14"/>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c r="E15" i="14"/>
  <c r="F15" i="14"/>
  <c r="G15" i="14"/>
  <c r="H15" i="14"/>
  <c r="I15" i="14"/>
  <c r="J15" i="14"/>
  <c r="C15" i="14"/>
  <c r="D13" i="14"/>
  <c r="E13" i="14"/>
  <c r="F13" i="14"/>
  <c r="G13" i="14"/>
  <c r="H13" i="14"/>
  <c r="I13" i="14"/>
  <c r="J13" i="14"/>
  <c r="C13" i="14"/>
  <c r="D11" i="14"/>
  <c r="E11" i="14"/>
  <c r="F11" i="14"/>
  <c r="G11" i="14"/>
  <c r="H11" i="14"/>
  <c r="I11" i="14"/>
  <c r="J11" i="14"/>
  <c r="C11" i="14"/>
  <c r="C4" i="14"/>
  <c r="C2" i="5"/>
  <c r="K12" i="5"/>
  <c r="E10" i="5"/>
  <c r="H10" i="5"/>
  <c r="E7" i="5"/>
  <c r="J8" i="5"/>
  <c r="J9" i="5"/>
  <c r="H11" i="5"/>
  <c r="G18" i="5"/>
  <c r="H7" i="5"/>
  <c r="G15" i="5"/>
  <c r="J17" i="5"/>
  <c r="K13" i="5"/>
  <c r="E8" i="5"/>
  <c r="J12" i="5"/>
  <c r="G6" i="5"/>
  <c r="F6" i="5"/>
  <c r="E13" i="5"/>
  <c r="J16" i="5"/>
  <c r="E11" i="5"/>
  <c r="J13" i="5"/>
  <c r="I6" i="5"/>
  <c r="H12" i="5"/>
  <c r="G11" i="5"/>
  <c r="G13" i="5"/>
  <c r="E9" i="5"/>
  <c r="J10" i="5"/>
  <c r="G9" i="5"/>
  <c r="J15" i="5"/>
  <c r="H18" i="5"/>
  <c r="J14" i="5"/>
  <c r="G17" i="5"/>
  <c r="G10" i="5"/>
  <c r="G14" i="5"/>
  <c r="K10" i="5"/>
  <c r="E12" i="5"/>
  <c r="E18" i="5"/>
  <c r="E6" i="5"/>
  <c r="K9" i="5"/>
  <c r="H17" i="5"/>
  <c r="J18" i="5"/>
  <c r="H15" i="5"/>
  <c r="E16" i="5"/>
  <c r="H8" i="5"/>
  <c r="E15" i="5"/>
  <c r="J6" i="5"/>
  <c r="H6" i="5"/>
  <c r="H14" i="5"/>
  <c r="E17" i="5"/>
  <c r="J7" i="5"/>
  <c r="G8" i="5"/>
  <c r="E14" i="5"/>
  <c r="K11" i="5"/>
  <c r="H9" i="5"/>
  <c r="H16" i="5"/>
  <c r="H13" i="5"/>
  <c r="G12" i="5"/>
  <c r="J11" i="5"/>
  <c r="G16" i="5"/>
  <c r="G7" i="5"/>
  <c r="G9" i="15" l="1"/>
  <c r="G7" i="15"/>
  <c r="D6" i="5"/>
  <c r="E6" i="15"/>
  <c r="K13" i="15"/>
  <c r="J17" i="15"/>
  <c r="G15" i="15"/>
  <c r="H7" i="15"/>
  <c r="G18" i="15"/>
  <c r="J9" i="15"/>
  <c r="H14" i="15"/>
  <c r="H8" i="15"/>
  <c r="J14" i="15"/>
  <c r="J10" i="15"/>
  <c r="J12" i="15"/>
  <c r="J11" i="15"/>
  <c r="G12" i="15"/>
  <c r="H16" i="15"/>
  <c r="G14" i="15"/>
  <c r="E14" i="15"/>
  <c r="D14" i="5"/>
  <c r="J7" i="15"/>
  <c r="J8" i="15"/>
  <c r="H6" i="15"/>
  <c r="H19" i="15" s="1"/>
  <c r="H20" i="15" s="1"/>
  <c r="D16" i="5"/>
  <c r="E16" i="15"/>
  <c r="H18" i="15"/>
  <c r="E9" i="15"/>
  <c r="D9" i="5"/>
  <c r="J13" i="15"/>
  <c r="E8" i="15"/>
  <c r="D8" i="5"/>
  <c r="D12" i="5"/>
  <c r="E12" i="15"/>
  <c r="K10" i="15"/>
  <c r="K11" i="15"/>
  <c r="G17" i="15"/>
  <c r="H11" i="15"/>
  <c r="E7" i="15"/>
  <c r="D7" i="5"/>
  <c r="J6" i="15"/>
  <c r="H15" i="15"/>
  <c r="J15" i="15"/>
  <c r="G13" i="15"/>
  <c r="G16" i="15"/>
  <c r="D18" i="5"/>
  <c r="E18" i="15"/>
  <c r="H13" i="15"/>
  <c r="H9" i="15"/>
  <c r="G10" i="15"/>
  <c r="G8" i="15"/>
  <c r="E17" i="15"/>
  <c r="D17" i="5"/>
  <c r="H10" i="15"/>
  <c r="E15" i="15"/>
  <c r="D15" i="5"/>
  <c r="J18" i="15"/>
  <c r="K9" i="15"/>
  <c r="G11" i="15"/>
  <c r="H12" i="15"/>
  <c r="I6" i="15"/>
  <c r="I19" i="15" s="1"/>
  <c r="E11" i="15"/>
  <c r="D11" i="5"/>
  <c r="J16" i="15"/>
  <c r="E13" i="15"/>
  <c r="D13" i="5"/>
  <c r="F6" i="15"/>
  <c r="F19" i="15" s="1"/>
  <c r="F20" i="15" s="1"/>
  <c r="G6" i="15"/>
  <c r="G19" i="15" s="1"/>
  <c r="G20" i="15" s="1"/>
  <c r="D10" i="5"/>
  <c r="E10" i="15"/>
  <c r="D10" i="15" s="1"/>
  <c r="K12" i="15"/>
  <c r="H17" i="15"/>
  <c r="D14" i="15" l="1"/>
  <c r="D9" i="15"/>
  <c r="J19" i="15"/>
  <c r="J20" i="15" s="1"/>
  <c r="D17" i="15"/>
  <c r="D15" i="15"/>
  <c r="D18" i="15"/>
  <c r="D7" i="15"/>
  <c r="D8" i="15"/>
  <c r="D6" i="15"/>
  <c r="E19" i="15"/>
  <c r="D11" i="15"/>
  <c r="D12" i="15"/>
  <c r="D16" i="15"/>
  <c r="D13"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<sst xmlns="http://schemas.openxmlformats.org/spreadsheetml/2006/main" count="953" uniqueCount="316">
  <si>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</si>
  <si>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</si>
  <si>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</si>
  <si>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</si>
  <si>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</si>
  <si>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</si>
  <si>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</si>
  <si>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</si>
  <si>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</si>
  <si>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</si>
  <si>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</si>
  <si>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</si>
  <si>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</si>
  <si>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</si>
  <si>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</si>
  <si>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</si>
  <si>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</si>
  <si>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</si>
  <si>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</si>
  <si>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</si>
  <si>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</si>
  <si>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</si>
  <si>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</si>
  <si>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</si>
  <si>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</si>
  <si>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</si>
  <si>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</si>
  <si>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</si>
  <si>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</si>
  <si>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</si>
  <si>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</si>
  <si>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</si>
  <si>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</si>
  <si>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</si>
  <si>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</si>
  <si>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</si>
  <si>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</si>
  <si>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</si>
  <si>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</si>
  <si>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</si>
  <si>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</si>
  <si>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</si>
  <si>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</si>
  <si>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</si>
  <si>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</si>
  <si>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</si>
  <si>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</si>
  <si>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</si>
  <si>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</si>
  <si>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</si>
  <si>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</si>
  <si>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</si>
  <si>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</si>
  <si>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</si>
  <si>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</si>
  <si>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</si>
  <si>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</si>
  <si>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</si>
  <si>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</si>
  <si>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</si>
  <si>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</si>
  <si>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</si>
  <si>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</si>
  <si>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</si>
  <si>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</si>
  <si>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</si>
  <si>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</si>
  <si>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</si>
  <si>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</si>
  <si>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</si>
  <si>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</si>
  <si>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</si>
  <si>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</si>
  <si>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</si>
  <si>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</si>
  <si>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</si>
  <si>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</si>
  <si>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</si>
  <si>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</si>
  <si>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</si>
  <si>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</si>
  <si>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</si>
  <si>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</si>
  <si>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</si>
  <si>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</si>
  <si>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</si>
  <si>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</si>
  <si>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</si>
  <si>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</si>
  <si>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</si>
  <si>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</si>
  <si>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</si>
  <si>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</si>
  <si>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</si>
  <si>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</si>
  <si>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</si>
  <si>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</si>
  <si>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</si>
  <si>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</si>
  <si>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</si>
  <si>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</si>
  <si>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</si>
  <si>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</si>
  <si>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</si>
  <si>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</si>
  <si>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</si>
  <si>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</si>
  <si>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</si>
  <si>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</si>
  <si>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</si>
  <si>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</si>
  <si>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</si>
  <si>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</si>
  <si>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</si>
  <si>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</si>
  <si>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</si>
  <si>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</si>
  <si>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</si>
  <si>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</si>
  <si>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</si>
  <si>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</si>
  <si>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</si>
  <si>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</si>
  <si>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</si>
  <si>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</si>
  <si>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</si>
  <si>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</si>
  <si>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</si>
  <si>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</si>
  <si>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</si>
  <si>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</si>
  <si>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</si>
  <si>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</si>
  <si>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</si>
  <si>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</si>
  <si>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</si>
  <si>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</si>
  <si>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</si>
  <si>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</si>
  <si>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</si>
  <si>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</si>
  <si>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</si>
  <si>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</si>
  <si>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</si>
  <si>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</si>
  <si>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</si>
  <si>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</si>
  <si>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</si>
  <si>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</si>
  <si>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</si>
  <si>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</si>
  <si>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</si>
  <si>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</si>
  <si>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</si>
  <si>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</si>
  <si>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</si>
  <si>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</si>
  <si>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</si>
  <si>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</si>
  <si>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</si>
  <si>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</si>
  <si>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</si>
  <si>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</si>
  <si>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</si>
  <si>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</si>
  <si>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</si>
  <si>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</si>
  <si>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</si>
  <si>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</si>
  <si>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</si>
  <si>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</si>
  <si>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</si>
  <si>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</si>
  <si>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</si>
  <si>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</si>
  <si>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</si>
  <si>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</si>
  <si>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</si>
  <si>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</si>
  <si>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</si>
  <si>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</si>
  <si>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</si>
  <si>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</si>
  <si>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</si>
  <si>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</si>
  <si>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</si>
  <si>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</si>
  <si>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</si>
  <si>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</si>
  <si>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</si>
  <si>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</si>
  <si>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</si>
  <si>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</si>
  <si>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</si>
  <si>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</si>
  <si>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</si>
  <si>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</si>
  <si>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</si>
  <si>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</si>
  <si>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</si>
  <si>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</si>
  <si>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</si>
  <si>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</si>
  <si>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</si>
  <si>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</si>
  <si>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</si>
  <si>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</si>
  <si>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</si>
  <si>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</si>
  <si>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</si>
  <si>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</si>
  <si>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</si>
  <si>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</si>
  <si>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</si>
  <si>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</si>
  <si>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</si>
  <si>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</si>
  <si>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</si>
  <si>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</si>
  <si>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</si>
  <si>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</si>
  <si>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</si>
  <si>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</si>
  <si>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</si>
  <si>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</si>
  <si>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</si>
  <si>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</si>
  <si>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</si>
  <si>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</si>
  <si>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</si>
  <si>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</si>
  <si>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</si>
  <si>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</si>
  <si>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</si>
  <si>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</si>
  <si>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</si>
  <si>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</si>
  <si>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</si>
  <si>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</si>
  <si>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</si>
  <si>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</si>
  <si>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</si>
  <si>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</si>
  <si>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</si>
  <si>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</si>
  <si>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</si>
  <si>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</si>
  <si>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</si>
  <si>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</si>
  <si>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</si>
  <si>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</si>
  <si>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</si>
  <si>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</si>
  <si>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</si>
  <si>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</si>
  <si>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</si>
  <si>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</si>
  <si>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</si>
  <si>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</si>
  <si>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</si>
  <si>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</si>
  <si>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</si>
  <si>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</si>
  <si>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</si>
  <si>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</si>
  <si>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</si>
  <si>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</si>
  <si>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</si>
  <si>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</si>
  <si>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</si>
  <si>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</si>
  <si>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</si>
  <si>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</si>
  <si>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</si>
  <si>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</si>
  <si>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</si>
  <si>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</si>
  <si>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</si>
  <si>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</si>
  <si>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</si>
  <si>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</si>
  <si>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</si>
  <si>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</si>
  <si>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</si>
  <si>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</si>
  <si>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</si>
  <si>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</si>
  <si>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</si>
  <si>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</si>
  <si>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</si>
  <si>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</si>
  <si>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</si>
  <si>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</si>
  <si>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</si>
  <si>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</si>
  <si>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</si>
  <si>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</si>
  <si>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</si>
  <si>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</si>
  <si>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</si>
  <si>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</si>
  <si>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</si>
  <si>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</si>
  <si>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</si>
  <si>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</si>
  <si>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</si>
  <si>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</si>
  <si>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</si>
  <si>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</si>
  <si>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</si>
  <si>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</si>
  <si>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</si>
  <si>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</si>
  <si>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</si>
  <si>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</si>
  <si>
    <t xml:space="preserve">Please, consider these data as preliminary.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</si>
</sst>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199">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Hyperlink" xfId="2" builtinId="8"/>
    <cellStyle name="Normal" xfId="0" builtinId="0"/>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T"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zoomScale="90" zoomScaleNormal="90" workbookViewId="0">
      <selection activeCell="B21" sqref="B21"/>
    </sheetView>
  </sheetViews>
  <sheetFormatPr defaultColWidth="9.140625" defaultRowHeight="15" x14ac:dyDescent="0.25"/>
  <cols>
    <col min="1" max="1" width="15.5703125" style="19" customWidth="1"/>
    <col min="2" max="3" width="30.7109375" style="19" customWidth="1"/>
    <col min="4" max="4" width="42.5703125" style="19" customWidth="1"/>
    <col min="5" max="5" width="15.5703125" style="19" customWidth="1"/>
    <col min="6" max="6" width="24.7109375" style="19" customWidth="1"/>
    <col min="7" max="16384" width="9.140625" style="19"/>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41" t="s">
        <v>144</v>
      </c>
      <c r="B13" s="141"/>
      <c r="C13" s="141"/>
      <c r="D13" s="141"/>
      <c r="E13" s="141"/>
    </row>
    <row r="14" spans="1:5" ht="15" customHeight="1" thickBot="1" x14ac:dyDescent="0.3">
      <c r="A14" s="23"/>
      <c r="B14" s="24"/>
      <c r="C14" s="24"/>
      <c r="D14" s="24"/>
      <c r="E14" s="24"/>
    </row>
    <row r="15" spans="1:5" ht="21" customHeight="1" thickBot="1" x14ac:dyDescent="0.3">
      <c r="A15" s="23"/>
      <c r="B15" s="23"/>
      <c r="C15" s="49" t="s">
        <v>32</v>
      </c>
      <c r="D15" s="53" t="s">
        <v>48</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42"/>
      <c r="D19" s="143"/>
      <c r="E19" s="23"/>
    </row>
    <row r="20" spans="1:5" ht="15" customHeight="1" thickBot="1" x14ac:dyDescent="0.3">
      <c r="A20" s="23"/>
      <c r="B20" s="27"/>
      <c r="C20" s="24"/>
      <c r="D20" s="24"/>
      <c r="E20" s="23"/>
    </row>
    <row r="21" spans="1:5" ht="21" customHeight="1" thickBot="1" x14ac:dyDescent="0.3">
      <c r="A21" s="23"/>
      <c r="B21" s="27" t="s">
        <v>35</v>
      </c>
      <c r="C21" s="142"/>
      <c r="D21" s="143"/>
      <c r="E21" s="23"/>
    </row>
    <row r="22" spans="1:5" ht="15" customHeight="1" thickBot="1" x14ac:dyDescent="0.3">
      <c r="A22" s="23"/>
      <c r="B22" s="27"/>
      <c r="C22" s="24"/>
      <c r="D22" s="24"/>
      <c r="E22" s="23"/>
    </row>
    <row r="23" spans="1:5" ht="21" customHeight="1" thickBot="1" x14ac:dyDescent="0.3">
      <c r="A23" s="23"/>
      <c r="B23" s="27" t="s">
        <v>36</v>
      </c>
      <c r="C23" s="142"/>
      <c r="D23" s="143"/>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2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40" t="s">
        <v>142</v>
      </c>
      <c r="B37" s="140"/>
      <c r="C37" s="140"/>
      <c r="D37" s="140"/>
      <c r="E37" s="140"/>
    </row>
    <row r="38" spans="1:5" ht="15" customHeight="1" x14ac:dyDescent="0.25">
      <c r="A38" s="50"/>
      <c r="B38" s="50"/>
      <c r="C38" s="50"/>
      <c r="D38" s="50"/>
      <c r="E38" s="50"/>
    </row>
    <row r="39" spans="1:5" ht="21" customHeight="1" x14ac:dyDescent="0.25">
      <c r="A39" s="140" t="s">
        <v>39</v>
      </c>
      <c r="B39" s="140"/>
      <c r="C39" s="140"/>
      <c r="D39" s="140"/>
      <c r="E39" s="140"/>
    </row>
    <row r="40" spans="1:5" ht="45" customHeight="1" x14ac:dyDescent="0.25">
      <c r="A40" s="140" t="s">
        <v>148</v>
      </c>
      <c r="B40" s="140"/>
      <c r="C40" s="140"/>
      <c r="D40" s="140"/>
      <c r="E40" s="140"/>
    </row>
    <row r="41" spans="1:5" ht="21" customHeight="1" x14ac:dyDescent="0.25">
      <c r="A41" s="50"/>
      <c r="B41" s="49" t="s">
        <v>34</v>
      </c>
      <c r="C41" s="51" t="s">
        <v>40</v>
      </c>
      <c r="D41" s="51"/>
      <c r="E41" s="51"/>
    </row>
    <row r="42" spans="1:5" ht="21" customHeight="1" x14ac:dyDescent="0.25">
      <c r="A42" s="50"/>
      <c r="B42" s="49" t="s">
        <v>37</v>
      </c>
      <c r="C42" s="139" t="s">
        <v>314</v>
      </c>
      <c r="D42" s="51"/>
      <c r="E42" s="51"/>
    </row>
    <row r="43" spans="1:5" ht="21" customHeight="1" x14ac:dyDescent="0.25">
      <c r="A43" s="50"/>
      <c r="B43" s="49" t="s">
        <v>38</v>
      </c>
      <c r="C43" s="52" t="s">
        <v>41</v>
      </c>
      <c r="D43" s="51"/>
      <c r="E43" s="51"/>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topLeftCell="C54" zoomScale="90" zoomScaleNormal="90" workbookViewId="0">
      <selection activeCell="C48" sqref="C48"/>
    </sheetView>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44" t="s">
        <v>145</v>
      </c>
      <c r="C2" s="145"/>
    </row>
    <row r="3" spans="2:3" ht="9.75" customHeight="1" x14ac:dyDescent="0.25">
      <c r="B3" s="60"/>
      <c r="C3" s="61"/>
    </row>
    <row r="4" spans="2:3" ht="36" customHeight="1" x14ac:dyDescent="0.25">
      <c r="B4" s="146" t="s">
        <v>82</v>
      </c>
      <c r="C4" s="62" t="s">
        <v>83</v>
      </c>
    </row>
    <row r="5" spans="2:3" ht="36" customHeight="1" x14ac:dyDescent="0.25">
      <c r="B5" s="147"/>
      <c r="C5" s="63" t="s">
        <v>134</v>
      </c>
    </row>
    <row r="6" spans="2:3" ht="36" customHeight="1" x14ac:dyDescent="0.25">
      <c r="B6" s="147"/>
      <c r="C6" s="63" t="s">
        <v>146</v>
      </c>
    </row>
    <row r="7" spans="2:3" ht="45" customHeight="1" x14ac:dyDescent="0.25">
      <c r="B7" s="148"/>
      <c r="C7" s="64" t="s">
        <v>84</v>
      </c>
    </row>
    <row r="8" spans="2:3" ht="9.75" customHeight="1" x14ac:dyDescent="0.25">
      <c r="B8" s="65"/>
      <c r="C8" s="66"/>
    </row>
    <row r="9" spans="2:3" ht="30" customHeight="1" x14ac:dyDescent="0.25">
      <c r="B9" s="67" t="s">
        <v>112</v>
      </c>
      <c r="C9" s="68"/>
    </row>
    <row r="10" spans="2:3" ht="9" customHeight="1" x14ac:dyDescent="0.25">
      <c r="B10" s="69"/>
      <c r="C10" s="63"/>
    </row>
    <row r="11" spans="2:3" ht="30" customHeight="1" x14ac:dyDescent="0.25">
      <c r="B11" s="70" t="s">
        <v>13</v>
      </c>
      <c r="C11" s="63" t="s">
        <v>147</v>
      </c>
    </row>
    <row r="12" spans="2:3" ht="15" customHeight="1" x14ac:dyDescent="0.25">
      <c r="B12" s="69"/>
      <c r="C12" s="63"/>
    </row>
    <row r="13" spans="2:3" ht="60" customHeight="1" x14ac:dyDescent="0.25">
      <c r="B13" s="70" t="s">
        <v>15</v>
      </c>
      <c r="C13" s="63" t="s">
        <v>136</v>
      </c>
    </row>
    <row r="14" spans="2:3" ht="15" customHeight="1" x14ac:dyDescent="0.25">
      <c r="B14" s="69"/>
      <c r="C14" s="63"/>
    </row>
    <row r="15" spans="2:3" ht="45" customHeight="1" x14ac:dyDescent="0.25">
      <c r="B15" s="149" t="s">
        <v>29</v>
      </c>
      <c r="C15" s="63" t="s">
        <v>312</v>
      </c>
    </row>
    <row r="16" spans="2:3" ht="63" customHeight="1" x14ac:dyDescent="0.25">
      <c r="B16" s="150"/>
      <c r="C16" s="63" t="s">
        <v>310</v>
      </c>
    </row>
    <row r="17" spans="2:3" ht="30" hidden="1" customHeight="1" x14ac:dyDescent="0.25">
      <c r="B17" s="69"/>
      <c r="C17" s="63" t="s">
        <v>120</v>
      </c>
    </row>
    <row r="18" spans="2:3" ht="63" hidden="1" customHeight="1" x14ac:dyDescent="0.25">
      <c r="B18" s="69"/>
      <c r="C18" s="63" t="s">
        <v>121</v>
      </c>
    </row>
    <row r="19" spans="2:3" ht="135" hidden="1" customHeight="1" x14ac:dyDescent="0.25">
      <c r="B19" s="69"/>
      <c r="C19" s="63" t="s">
        <v>122</v>
      </c>
    </row>
    <row r="20" spans="2:3" ht="60" hidden="1" customHeight="1" x14ac:dyDescent="0.25">
      <c r="B20" s="69"/>
      <c r="C20" s="63" t="s">
        <v>123</v>
      </c>
    </row>
    <row r="21" spans="2:3" ht="15" customHeight="1" x14ac:dyDescent="0.25">
      <c r="B21" s="69"/>
      <c r="C21" s="63"/>
    </row>
    <row r="22" spans="2:3" ht="30" customHeight="1" x14ac:dyDescent="0.25">
      <c r="B22" s="70" t="s">
        <v>156</v>
      </c>
      <c r="C22" s="63" t="s">
        <v>309</v>
      </c>
    </row>
    <row r="23" spans="2:3" ht="15" customHeight="1" x14ac:dyDescent="0.25">
      <c r="B23" s="69"/>
      <c r="C23" s="63"/>
    </row>
    <row r="24" spans="2:3" ht="75" customHeight="1" x14ac:dyDescent="0.25">
      <c r="B24" s="70" t="s">
        <v>110</v>
      </c>
      <c r="C24" s="63" t="s">
        <v>313</v>
      </c>
    </row>
    <row r="25" spans="2:3" ht="9" customHeight="1" x14ac:dyDescent="0.25">
      <c r="B25" s="71"/>
      <c r="C25" s="63"/>
    </row>
    <row r="26" spans="2:3" ht="15" customHeight="1" x14ac:dyDescent="0.25">
      <c r="B26" s="72" t="s">
        <v>124</v>
      </c>
      <c r="C26" s="63"/>
    </row>
    <row r="27" spans="2:3" ht="60" customHeight="1" x14ac:dyDescent="0.25">
      <c r="B27" s="69" t="s">
        <v>113</v>
      </c>
      <c r="C27" s="63" t="s">
        <v>308</v>
      </c>
    </row>
    <row r="28" spans="2:3" ht="9" customHeight="1" x14ac:dyDescent="0.25">
      <c r="B28" s="69"/>
      <c r="C28" s="63"/>
    </row>
    <row r="29" spans="2:3" ht="30" customHeight="1" x14ac:dyDescent="0.25">
      <c r="B29" s="69" t="s">
        <v>114</v>
      </c>
      <c r="C29" s="63" t="s">
        <v>137</v>
      </c>
    </row>
    <row r="30" spans="2:3" ht="9" customHeight="1" x14ac:dyDescent="0.25">
      <c r="B30" s="69"/>
      <c r="C30" s="63"/>
    </row>
    <row r="31" spans="2:3" ht="105" customHeight="1" x14ac:dyDescent="0.25">
      <c r="B31" s="151" t="s">
        <v>115</v>
      </c>
      <c r="C31" s="63" t="s">
        <v>311</v>
      </c>
    </row>
    <row r="32" spans="2:3" ht="105" customHeight="1" x14ac:dyDescent="0.25">
      <c r="B32" s="152"/>
      <c r="C32" s="63" t="s">
        <v>119</v>
      </c>
    </row>
    <row r="33" spans="1:3" ht="15" customHeight="1" x14ac:dyDescent="0.25">
      <c r="B33" s="69"/>
      <c r="C33" s="63"/>
    </row>
    <row r="34" spans="1:3" ht="30" customHeight="1" x14ac:dyDescent="0.25">
      <c r="B34" s="72" t="s">
        <v>129</v>
      </c>
      <c r="C34" s="63" t="s">
        <v>130</v>
      </c>
    </row>
    <row r="35" spans="1:3" ht="15" customHeight="1" x14ac:dyDescent="0.25">
      <c r="B35" s="69"/>
      <c r="C35" s="63"/>
    </row>
    <row r="36" spans="1:3" ht="18" customHeight="1" x14ac:dyDescent="0.25">
      <c r="B36" s="70" t="s">
        <v>111</v>
      </c>
      <c r="C36" s="63" t="s">
        <v>125</v>
      </c>
    </row>
    <row r="37" spans="1:3" ht="9" customHeight="1" x14ac:dyDescent="0.25">
      <c r="B37" s="71"/>
      <c r="C37" s="63"/>
    </row>
    <row r="38" spans="1:3" ht="15" customHeight="1" x14ac:dyDescent="0.25">
      <c r="B38" s="72" t="s">
        <v>124</v>
      </c>
      <c r="C38" s="63"/>
    </row>
    <row r="39" spans="1:3" ht="30" customHeight="1" x14ac:dyDescent="0.25">
      <c r="B39" s="69" t="s">
        <v>116</v>
      </c>
      <c r="C39" s="63" t="s">
        <v>126</v>
      </c>
    </row>
    <row r="40" spans="1:3" ht="9" customHeight="1" x14ac:dyDescent="0.25">
      <c r="B40" s="69"/>
      <c r="C40" s="63"/>
    </row>
    <row r="41" spans="1:3" ht="30" customHeight="1" x14ac:dyDescent="0.25">
      <c r="B41" s="151" t="s">
        <v>117</v>
      </c>
      <c r="C41" s="63" t="s">
        <v>127</v>
      </c>
    </row>
    <row r="42" spans="1:3" ht="59.25" customHeight="1" x14ac:dyDescent="0.25">
      <c r="B42" s="152"/>
      <c r="C42" s="63" t="s">
        <v>172</v>
      </c>
    </row>
    <row r="43" spans="1:3" ht="9" customHeight="1" x14ac:dyDescent="0.25">
      <c r="A43" s="43"/>
      <c r="B43" s="69"/>
      <c r="C43" s="63"/>
    </row>
    <row r="44" spans="1:3" ht="90" customHeight="1" x14ac:dyDescent="0.25">
      <c r="B44" s="69" t="s">
        <v>118</v>
      </c>
      <c r="C44" s="63" t="s">
        <v>128</v>
      </c>
    </row>
    <row r="45" spans="1:3" ht="14.25" customHeight="1" x14ac:dyDescent="0.25">
      <c r="B45" s="69"/>
      <c r="C45" s="63"/>
    </row>
    <row r="46" spans="1:3" ht="42" customHeight="1" x14ac:dyDescent="0.25">
      <c r="B46" s="69" t="s">
        <v>184</v>
      </c>
      <c r="C46" s="63" t="s">
        <v>186</v>
      </c>
    </row>
    <row r="47" spans="1:3" ht="15" customHeight="1" x14ac:dyDescent="0.25">
      <c r="B47" s="69"/>
      <c r="C47" s="63"/>
    </row>
    <row r="48" spans="1:3" ht="30" customHeight="1" x14ac:dyDescent="0.25">
      <c r="B48" s="72" t="s">
        <v>129</v>
      </c>
      <c r="C48" s="63" t="s">
        <v>131</v>
      </c>
    </row>
    <row r="49" spans="2:3" ht="18" customHeight="1" x14ac:dyDescent="0.25">
      <c r="B49" s="73"/>
      <c r="C49" s="64"/>
    </row>
    <row r="50" spans="2:3" ht="9" customHeight="1" x14ac:dyDescent="0.25">
      <c r="B50" s="74"/>
      <c r="C50" s="74"/>
    </row>
    <row r="51" spans="2:3" ht="36" customHeight="1" x14ac:dyDescent="0.25">
      <c r="B51" s="75" t="s">
        <v>85</v>
      </c>
      <c r="C51" s="68"/>
    </row>
    <row r="52" spans="2:3" ht="24" customHeight="1" x14ac:dyDescent="0.25">
      <c r="B52" s="76" t="s">
        <v>86</v>
      </c>
      <c r="C52" s="63"/>
    </row>
    <row r="53" spans="2:3" ht="12" customHeight="1" x14ac:dyDescent="0.25">
      <c r="B53" s="77"/>
      <c r="C53" s="63"/>
    </row>
    <row r="54" spans="2:3" x14ac:dyDescent="0.25">
      <c r="B54" s="71" t="s">
        <v>93</v>
      </c>
      <c r="C54" s="63" t="s">
        <v>87</v>
      </c>
    </row>
    <row r="55" spans="2:3" ht="12" customHeight="1" x14ac:dyDescent="0.25">
      <c r="B55" s="77"/>
      <c r="C55" s="63"/>
    </row>
    <row r="56" spans="2:3" x14ac:dyDescent="0.25">
      <c r="B56" s="71" t="s">
        <v>94</v>
      </c>
      <c r="C56" s="63" t="s">
        <v>180</v>
      </c>
    </row>
    <row r="57" spans="2:3" ht="30" x14ac:dyDescent="0.25">
      <c r="B57" s="77"/>
      <c r="C57" s="63" t="s">
        <v>88</v>
      </c>
    </row>
    <row r="58" spans="2:3" ht="12" customHeight="1" x14ac:dyDescent="0.25">
      <c r="B58" s="77"/>
      <c r="C58" s="63"/>
    </row>
    <row r="59" spans="2:3" x14ac:dyDescent="0.25">
      <c r="B59" s="71" t="s">
        <v>95</v>
      </c>
      <c r="C59" s="63" t="s">
        <v>181</v>
      </c>
    </row>
    <row r="60" spans="2:3" x14ac:dyDescent="0.25">
      <c r="B60" s="77"/>
      <c r="C60" s="63" t="s">
        <v>89</v>
      </c>
    </row>
    <row r="61" spans="2:3" ht="12" customHeight="1" x14ac:dyDescent="0.25">
      <c r="B61" s="77"/>
      <c r="C61" s="63"/>
    </row>
    <row r="62" spans="2:3" x14ac:dyDescent="0.25">
      <c r="B62" s="71" t="s">
        <v>96</v>
      </c>
      <c r="C62" s="63" t="s">
        <v>182</v>
      </c>
    </row>
    <row r="63" spans="2:3" ht="18" customHeight="1" x14ac:dyDescent="0.25">
      <c r="B63" s="77"/>
      <c r="C63" s="63" t="s">
        <v>90</v>
      </c>
    </row>
    <row r="64" spans="2:3" ht="12" customHeight="1" x14ac:dyDescent="0.25">
      <c r="B64" s="77"/>
      <c r="C64" s="63"/>
    </row>
    <row r="65" spans="2:3" x14ac:dyDescent="0.25">
      <c r="B65" s="71" t="s">
        <v>97</v>
      </c>
      <c r="C65" s="63" t="s">
        <v>99</v>
      </c>
    </row>
    <row r="66" spans="2:3" ht="12" customHeight="1" x14ac:dyDescent="0.25">
      <c r="B66" s="77"/>
      <c r="C66" s="63"/>
    </row>
    <row r="67" spans="2:3" ht="30" x14ac:dyDescent="0.25">
      <c r="B67" s="71" t="s">
        <v>98</v>
      </c>
      <c r="C67" s="63" t="s">
        <v>91</v>
      </c>
    </row>
    <row r="68" spans="2:3" ht="12" customHeight="1" x14ac:dyDescent="0.25">
      <c r="B68" s="77"/>
      <c r="C68" s="63"/>
    </row>
    <row r="69" spans="2:3" ht="12" customHeight="1" x14ac:dyDescent="0.25">
      <c r="B69" s="77"/>
      <c r="C69" s="63"/>
    </row>
    <row r="70" spans="2:3" ht="45" x14ac:dyDescent="0.25">
      <c r="B70" s="78" t="s">
        <v>5</v>
      </c>
      <c r="C70" s="64" t="s">
        <v>92</v>
      </c>
    </row>
    <row r="71" spans="2:3" ht="9" customHeight="1" x14ac:dyDescent="0.25">
      <c r="B71" s="74"/>
      <c r="C71" s="74"/>
    </row>
    <row r="72" spans="2:3" ht="45" x14ac:dyDescent="0.25">
      <c r="B72" s="87" t="s">
        <v>135</v>
      </c>
      <c r="C72" s="79" t="s">
        <v>183</v>
      </c>
    </row>
    <row r="73" spans="2:3" ht="9" customHeight="1" x14ac:dyDescent="0.25">
      <c r="B73" s="74"/>
      <c r="C73" s="74"/>
    </row>
    <row r="74" spans="2:3" ht="24" customHeight="1" x14ac:dyDescent="0.25">
      <c r="B74" s="80" t="s">
        <v>100</v>
      </c>
      <c r="C74" s="81"/>
    </row>
    <row r="75" spans="2:3" ht="12" customHeight="1" x14ac:dyDescent="0.25">
      <c r="B75" s="82"/>
      <c r="C75" s="83"/>
    </row>
    <row r="76" spans="2:3" x14ac:dyDescent="0.25">
      <c r="B76" s="84" t="s">
        <v>102</v>
      </c>
      <c r="C76" s="83" t="s">
        <v>101</v>
      </c>
    </row>
    <row r="77" spans="2:3" x14ac:dyDescent="0.25">
      <c r="B77" s="84" t="s">
        <v>103</v>
      </c>
      <c r="C77" s="83" t="s">
        <v>109</v>
      </c>
    </row>
    <row r="78" spans="2:3" x14ac:dyDescent="0.25">
      <c r="B78" s="84" t="s">
        <v>132</v>
      </c>
      <c r="C78" s="83" t="s">
        <v>133</v>
      </c>
    </row>
    <row r="79" spans="2:3" x14ac:dyDescent="0.25">
      <c r="B79" s="84" t="s">
        <v>16</v>
      </c>
      <c r="C79" s="83" t="s">
        <v>106</v>
      </c>
    </row>
    <row r="80" spans="2:3" x14ac:dyDescent="0.25">
      <c r="B80" s="84" t="s">
        <v>107</v>
      </c>
      <c r="C80" s="83" t="s">
        <v>104</v>
      </c>
    </row>
    <row r="81" spans="2:3" x14ac:dyDescent="0.25">
      <c r="B81" s="85" t="s">
        <v>108</v>
      </c>
      <c r="C81" s="86"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J1" activePane="topRight" state="frozen"/>
      <selection activeCell="DS1" sqref="DS1:ED1048576"/>
      <selection pane="topRight" activeCell="L13" sqref="L13"/>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58" t="s">
        <v>0</v>
      </c>
      <c r="B1" s="159"/>
      <c r="C1" s="20"/>
      <c r="D1" s="1"/>
      <c r="E1" s="2"/>
      <c r="F1" s="2"/>
      <c r="G1" s="2"/>
      <c r="H1" s="2"/>
      <c r="I1" s="2"/>
      <c r="J1" s="2"/>
      <c r="K1" s="2"/>
      <c r="L1" s="2"/>
      <c r="M1" s="2"/>
      <c r="N1" s="2"/>
      <c r="O1" s="2"/>
    </row>
    <row r="2" spans="1:134" ht="18" customHeight="1" x14ac:dyDescent="0.25">
      <c r="A2" s="160"/>
      <c r="B2" s="161"/>
      <c r="C2" s="1"/>
      <c r="D2" s="1"/>
      <c r="E2" s="5"/>
      <c r="F2" s="3"/>
      <c r="G2" s="3"/>
      <c r="H2" s="3"/>
      <c r="I2" s="3"/>
      <c r="J2" s="3"/>
      <c r="K2" s="3"/>
      <c r="L2" s="3"/>
      <c r="M2" s="3"/>
      <c r="N2" s="3"/>
      <c r="O2" s="3"/>
    </row>
    <row r="3" spans="1:134" ht="18" customHeight="1" x14ac:dyDescent="0.3">
      <c r="A3" s="162" t="s">
        <v>12</v>
      </c>
      <c r="B3" s="163"/>
      <c r="C3" s="1"/>
      <c r="D3" s="1"/>
      <c r="E3" s="5"/>
      <c r="F3" s="3"/>
      <c r="G3" s="3"/>
      <c r="H3" s="3"/>
      <c r="I3" s="3"/>
      <c r="J3" s="3"/>
      <c r="K3" s="3"/>
      <c r="L3" s="3"/>
      <c r="M3" s="3"/>
      <c r="N3" s="3"/>
      <c r="O3" s="3"/>
      <c r="DS3" s="4" t="s">
        <v>229</v>
      </c>
    </row>
    <row r="4" spans="1:134" ht="18" customHeight="1" x14ac:dyDescent="0.25">
      <c r="A4" s="164"/>
      <c r="B4" s="161"/>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65" t="s">
        <v>3</v>
      </c>
      <c r="B5" s="16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54"/>
      <c r="C6" s="46"/>
      <c r="D6" s="47"/>
      <c r="E6" s="48"/>
      <c r="F6" s="48"/>
      <c r="G6" s="48"/>
      <c r="H6" s="48"/>
      <c r="I6" s="48"/>
      <c r="J6" s="48"/>
      <c r="K6" s="48"/>
      <c r="L6" s="48"/>
      <c r="M6" s="48"/>
      <c r="N6" s="48"/>
      <c r="O6" s="48"/>
      <c r="DS6" s="4" t="str">
        <f>VLOOKUP(Cover!$D$15, Country_list!$B$3:$C$44, 2, 0)</f>
        <v>BE</v>
      </c>
      <c r="DV6" s="4" t="s">
        <v>298</v>
      </c>
    </row>
    <row r="7" spans="1:134" ht="24" customHeight="1" x14ac:dyDescent="0.2">
      <c r="A7" s="156" t="s">
        <v>15</v>
      </c>
      <c r="B7" s="157"/>
      <c r="C7" s="44"/>
      <c r="D7" s="15"/>
      <c r="E7" s="45"/>
      <c r="F7" s="45"/>
      <c r="G7" s="45"/>
      <c r="H7" s="45"/>
      <c r="I7" s="45"/>
      <c r="J7" s="45"/>
      <c r="K7" s="45"/>
      <c r="L7" s="45"/>
      <c r="M7" s="45"/>
      <c r="N7" s="45"/>
      <c r="O7" s="45"/>
    </row>
    <row r="8" spans="1:134" ht="24" customHeight="1" x14ac:dyDescent="0.2">
      <c r="A8" s="156" t="s">
        <v>29</v>
      </c>
      <c r="B8" s="157"/>
      <c r="C8" s="44"/>
      <c r="D8" s="15"/>
      <c r="E8" s="45"/>
      <c r="F8" s="45"/>
      <c r="G8" s="45"/>
      <c r="H8" s="45"/>
      <c r="I8" s="45"/>
      <c r="J8" s="45"/>
      <c r="K8" s="45"/>
      <c r="L8" s="45"/>
      <c r="M8" s="45"/>
      <c r="N8" s="45"/>
      <c r="O8" s="45"/>
    </row>
    <row r="9" spans="1:134" ht="24" customHeight="1" x14ac:dyDescent="0.2">
      <c r="A9" s="156" t="s">
        <v>156</v>
      </c>
      <c r="B9" s="157"/>
      <c r="C9" s="9" t="s">
        <v>132</v>
      </c>
      <c r="D9" s="88"/>
      <c r="E9" s="89"/>
      <c r="F9" s="89"/>
      <c r="G9" s="89"/>
      <c r="H9" s="89"/>
      <c r="I9" s="89"/>
      <c r="J9" s="89">
        <v>27966</v>
      </c>
      <c r="K9" s="89">
        <v>28154</v>
      </c>
      <c r="L9" s="89">
        <v>28146</v>
      </c>
      <c r="M9" s="89"/>
      <c r="N9" s="89"/>
      <c r="O9" s="89"/>
      <c r="DT9" s="4" t="s">
        <v>279</v>
      </c>
      <c r="EB9" s="4" t="s">
        <v>300</v>
      </c>
      <c r="ED9" s="4" t="s">
        <v>301</v>
      </c>
    </row>
    <row r="10" spans="1:134" ht="24" customHeight="1" x14ac:dyDescent="0.2">
      <c r="A10" s="156" t="s">
        <v>20</v>
      </c>
      <c r="B10" s="157"/>
      <c r="C10" s="9" t="s">
        <v>132</v>
      </c>
      <c r="D10" s="88"/>
      <c r="E10" s="89"/>
      <c r="F10" s="89"/>
      <c r="G10" s="89"/>
      <c r="H10" s="89"/>
      <c r="I10" s="89"/>
      <c r="J10" s="89">
        <v>42759</v>
      </c>
      <c r="K10" s="89">
        <v>42760</v>
      </c>
      <c r="L10" s="89">
        <v>42773</v>
      </c>
      <c r="M10" s="89"/>
      <c r="N10" s="89"/>
      <c r="O10" s="89"/>
      <c r="DT10" s="4" t="s">
        <v>280</v>
      </c>
      <c r="EB10" s="4" t="s">
        <v>300</v>
      </c>
      <c r="ED10" s="4" t="s">
        <v>301</v>
      </c>
    </row>
    <row r="11" spans="1:134" s="13" customFormat="1" ht="15" customHeight="1" x14ac:dyDescent="0.2">
      <c r="A11" s="155" t="s">
        <v>18</v>
      </c>
      <c r="B11" s="102" t="s">
        <v>21</v>
      </c>
      <c r="C11" s="103" t="s">
        <v>132</v>
      </c>
      <c r="D11" s="107"/>
      <c r="E11" s="107"/>
      <c r="F11" s="108"/>
      <c r="G11" s="108"/>
      <c r="H11" s="108"/>
      <c r="I11" s="108"/>
      <c r="J11" s="108">
        <v>46000</v>
      </c>
      <c r="K11" s="108">
        <v>46000</v>
      </c>
      <c r="L11" s="108">
        <v>46000</v>
      </c>
      <c r="M11" s="108"/>
      <c r="N11" s="108"/>
      <c r="O11" s="108"/>
      <c r="DT11" s="13" t="s">
        <v>281</v>
      </c>
      <c r="EB11" s="13" t="s">
        <v>300</v>
      </c>
      <c r="ED11" s="13" t="s">
        <v>301</v>
      </c>
    </row>
    <row r="12" spans="1:134" s="13" customFormat="1" ht="15" customHeight="1" x14ac:dyDescent="0.2">
      <c r="A12" s="155"/>
      <c r="B12" s="102" t="s">
        <v>22</v>
      </c>
      <c r="C12" s="103" t="s">
        <v>132</v>
      </c>
      <c r="D12" s="107"/>
      <c r="E12" s="107"/>
      <c r="F12" s="107"/>
      <c r="G12" s="107"/>
      <c r="H12" s="107"/>
      <c r="I12" s="107"/>
      <c r="J12" s="107">
        <v>43000</v>
      </c>
      <c r="K12" s="107">
        <v>43000</v>
      </c>
      <c r="L12" s="107">
        <v>43000</v>
      </c>
      <c r="M12" s="107"/>
      <c r="N12" s="107"/>
      <c r="O12" s="107"/>
      <c r="DT12" s="13" t="s">
        <v>282</v>
      </c>
      <c r="EB12" s="13" t="s">
        <v>300</v>
      </c>
      <c r="ED12" s="13" t="s">
        <v>301</v>
      </c>
    </row>
    <row r="13" spans="1:134" s="13" customFormat="1" ht="15" customHeight="1" x14ac:dyDescent="0.2">
      <c r="A13" s="155"/>
      <c r="B13" s="102" t="s">
        <v>23</v>
      </c>
      <c r="C13" s="103" t="s">
        <v>132</v>
      </c>
      <c r="D13" s="107"/>
      <c r="E13" s="107"/>
      <c r="F13" s="107"/>
      <c r="G13" s="107"/>
      <c r="H13" s="107"/>
      <c r="I13" s="107"/>
      <c r="J13" s="107">
        <v>42600</v>
      </c>
      <c r="K13" s="107">
        <v>42600</v>
      </c>
      <c r="L13" s="107">
        <v>42600</v>
      </c>
      <c r="M13" s="107"/>
      <c r="N13" s="107"/>
      <c r="O13" s="107"/>
      <c r="DT13" s="13" t="s">
        <v>283</v>
      </c>
      <c r="EB13" s="13" t="s">
        <v>300</v>
      </c>
      <c r="ED13" s="13" t="s">
        <v>301</v>
      </c>
    </row>
    <row r="14" spans="1:134" ht="24" customHeight="1" x14ac:dyDescent="0.2">
      <c r="A14" s="156" t="s">
        <v>24</v>
      </c>
      <c r="B14" s="157"/>
      <c r="C14" s="44"/>
      <c r="D14" s="15"/>
      <c r="E14" s="45"/>
      <c r="F14" s="45"/>
      <c r="G14" s="45"/>
      <c r="H14" s="45"/>
      <c r="I14" s="45"/>
      <c r="J14" s="45"/>
      <c r="K14" s="45"/>
      <c r="L14" s="45"/>
      <c r="M14" s="45"/>
      <c r="N14" s="45"/>
      <c r="O14" s="45"/>
    </row>
    <row r="15" spans="1:134" s="13" customFormat="1" ht="15" customHeight="1" x14ac:dyDescent="0.2">
      <c r="A15" s="155" t="s">
        <v>18</v>
      </c>
      <c r="B15" s="102" t="s">
        <v>26</v>
      </c>
      <c r="C15" s="14"/>
      <c r="D15" s="15"/>
      <c r="E15" s="12"/>
      <c r="F15" s="12"/>
      <c r="G15" s="12"/>
      <c r="H15" s="12"/>
      <c r="I15" s="12"/>
      <c r="J15" s="12"/>
      <c r="K15" s="12"/>
      <c r="L15" s="12"/>
      <c r="M15" s="12"/>
      <c r="N15" s="12"/>
      <c r="O15" s="12"/>
    </row>
    <row r="16" spans="1:134" s="13" customFormat="1" ht="15" customHeight="1" x14ac:dyDescent="0.2">
      <c r="A16" s="155"/>
      <c r="B16" s="102" t="s">
        <v>27</v>
      </c>
      <c r="C16" s="14"/>
      <c r="D16" s="15"/>
      <c r="E16" s="12"/>
      <c r="F16" s="12"/>
      <c r="G16" s="12"/>
      <c r="H16" s="12"/>
      <c r="I16" s="12"/>
      <c r="J16" s="12"/>
      <c r="K16" s="12"/>
      <c r="L16" s="12"/>
      <c r="M16" s="12"/>
      <c r="N16" s="12"/>
      <c r="O16" s="12"/>
    </row>
    <row r="17" spans="1:15" s="13" customFormat="1" ht="15" customHeight="1" x14ac:dyDescent="0.2">
      <c r="A17" s="155"/>
      <c r="B17" s="102" t="s">
        <v>28</v>
      </c>
      <c r="C17" s="14"/>
      <c r="D17" s="15"/>
      <c r="E17" s="12"/>
      <c r="F17" s="12"/>
      <c r="G17" s="12"/>
      <c r="H17" s="12"/>
      <c r="I17" s="12"/>
      <c r="J17" s="12"/>
      <c r="K17" s="12"/>
      <c r="L17" s="12"/>
      <c r="M17" s="12"/>
      <c r="N17" s="12"/>
      <c r="O17" s="12"/>
    </row>
    <row r="18" spans="1:15" s="13" customFormat="1" ht="15" customHeight="1" x14ac:dyDescent="0.2">
      <c r="A18" s="155"/>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4" sqref="D14"/>
    </sheetView>
  </sheetViews>
  <sheetFormatPr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8" t="s">
        <v>0</v>
      </c>
      <c r="B1" s="169"/>
      <c r="C1" s="20"/>
      <c r="D1" s="1"/>
      <c r="E1" s="2"/>
      <c r="F1" s="2"/>
      <c r="G1" s="2"/>
      <c r="H1" s="2"/>
      <c r="I1" s="2"/>
      <c r="J1" s="2"/>
      <c r="K1" s="3"/>
    </row>
    <row r="2" spans="1:11" ht="18" customHeight="1" x14ac:dyDescent="0.25">
      <c r="A2" s="170" t="s">
        <v>1</v>
      </c>
      <c r="B2" s="171"/>
      <c r="C2" s="1" t="str">
        <f>Cover!D15</f>
        <v>Belgium</v>
      </c>
      <c r="D2" s="1"/>
      <c r="E2" s="5"/>
      <c r="F2" s="3"/>
      <c r="G2" s="3"/>
      <c r="H2" s="3"/>
      <c r="I2" s="3"/>
      <c r="J2" s="3"/>
      <c r="K2" s="3"/>
    </row>
    <row r="3" spans="1:11" ht="18" customHeight="1" x14ac:dyDescent="0.25">
      <c r="A3" s="170" t="s">
        <v>2</v>
      </c>
      <c r="B3" s="172"/>
      <c r="C3" s="106">
        <v>2018</v>
      </c>
      <c r="D3" s="1"/>
      <c r="E3" s="5"/>
      <c r="F3" s="3"/>
      <c r="G3" s="3"/>
      <c r="H3" s="3"/>
      <c r="I3" s="3"/>
      <c r="J3" s="3"/>
      <c r="K3" s="3"/>
    </row>
    <row r="4" spans="1:11" ht="18" customHeight="1" x14ac:dyDescent="0.25">
      <c r="A4" s="173"/>
      <c r="B4" s="174"/>
      <c r="C4" s="20"/>
      <c r="D4" s="1"/>
      <c r="E4" s="5"/>
      <c r="F4" s="3"/>
      <c r="G4" s="3"/>
      <c r="H4" s="3"/>
      <c r="I4" s="3"/>
      <c r="J4" s="3"/>
      <c r="K4" s="3"/>
    </row>
    <row r="5" spans="1:11" ht="37.5" customHeight="1" x14ac:dyDescent="0.25">
      <c r="A5" s="165" t="s">
        <v>3</v>
      </c>
      <c r="B5" s="175"/>
      <c r="C5" s="6" t="s">
        <v>4</v>
      </c>
      <c r="D5" s="7" t="s">
        <v>5</v>
      </c>
      <c r="E5" s="6" t="s">
        <v>6</v>
      </c>
      <c r="F5" s="6" t="s">
        <v>7</v>
      </c>
      <c r="G5" s="6" t="s">
        <v>8</v>
      </c>
      <c r="H5" s="6" t="s">
        <v>9</v>
      </c>
      <c r="I5" s="6" t="s">
        <v>10</v>
      </c>
      <c r="J5" s="6" t="s">
        <v>11</v>
      </c>
      <c r="K5" s="7" t="s">
        <v>12</v>
      </c>
    </row>
    <row r="6" spans="1:11" ht="24" customHeight="1" x14ac:dyDescent="0.25">
      <c r="A6" s="167" t="s">
        <v>13</v>
      </c>
      <c r="B6" s="168"/>
      <c r="C6" s="100" t="s">
        <v>14</v>
      </c>
      <c r="D6" s="109">
        <f ca="1">SUM(E6:J6)</f>
        <v>18440.8</v>
      </c>
      <c r="E6" s="110">
        <f ca="1">INDIRECT(ADDRESS(ROW(K6),$C$3 -2010 + 4,,,"1a_SpaceHeating"))</f>
        <v>2184.9415911754922</v>
      </c>
      <c r="F6" s="110">
        <f ca="1">INDIRECT(ADDRESS(ROW(K6),$C$3-2010+4,,,"1b_SpaceCooling"))</f>
        <v>60.58398625349173</v>
      </c>
      <c r="G6" s="110">
        <f ca="1">INDIRECT(ADDRESS(ROW(K6),$C$3-2010+4,,,"1c_WaterHeating"))</f>
        <v>3393.1551829912974</v>
      </c>
      <c r="H6" s="110">
        <f ca="1">INDIRECT(ADDRESS(ROW(K6),$C$3-2010+4,,,"1d_Cooking"))</f>
        <v>979.23333333333323</v>
      </c>
      <c r="I6" s="110">
        <f ca="1">INDIRECT(ADDRESS(ROW(K6),$C$3-2010+4,,,"1e_LightingAndAppliances"))</f>
        <v>11822.885906246385</v>
      </c>
      <c r="J6" s="110">
        <f ca="1">INDIRECT(ADDRESS(ROW(K6),$C$3-2010+4,,,"1f_OtherEndUses"))</f>
        <v>0</v>
      </c>
      <c r="K6" s="111"/>
    </row>
    <row r="7" spans="1:11" ht="24" customHeight="1" x14ac:dyDescent="0.25">
      <c r="A7" s="177" t="s">
        <v>15</v>
      </c>
      <c r="B7" s="178"/>
      <c r="C7" s="101" t="s">
        <v>16</v>
      </c>
      <c r="D7" s="112">
        <f t="shared" ref="D7:D16" ca="1" si="0">SUM(E7:J7)</f>
        <v>641.29999999999995</v>
      </c>
      <c r="E7" s="113">
        <f t="shared" ref="E7:E16" ca="1" si="1">INDIRECT(ADDRESS(ROW(K7),$C$3 -2010 + 4,,,"1a_SpaceHeating"))</f>
        <v>641.29999999999995</v>
      </c>
      <c r="F7" s="114"/>
      <c r="G7" s="113">
        <f t="shared" ref="G7:G16" ca="1" si="2">INDIRECT(ADDRESS(ROW(K7),$C$3-2010+4,,,"1c_WaterHeating"))</f>
        <v>0</v>
      </c>
      <c r="H7" s="113">
        <f t="shared" ref="H7:H16" ca="1" si="3">INDIRECT(ADDRESS(ROW(K7),$C$3-2010+4,,,"1d_Cooking"))</f>
        <v>0</v>
      </c>
      <c r="I7" s="114"/>
      <c r="J7" s="113">
        <f t="shared" ref="J7:J17" ca="1" si="4">INDIRECT(ADDRESS(ROW(K7),$C$3-2010+4,,,"1f_OtherEndUses"))</f>
        <v>0</v>
      </c>
      <c r="K7" s="114"/>
    </row>
    <row r="8" spans="1:11" ht="24" customHeight="1" x14ac:dyDescent="0.25">
      <c r="A8" s="177" t="s">
        <v>29</v>
      </c>
      <c r="B8" s="178"/>
      <c r="C8" s="101" t="s">
        <v>17</v>
      </c>
      <c r="D8" s="112">
        <f t="shared" ca="1" si="0"/>
        <v>154456.6</v>
      </c>
      <c r="E8" s="113">
        <f t="shared" ca="1" si="1"/>
        <v>130520.23320839155</v>
      </c>
      <c r="F8" s="114"/>
      <c r="G8" s="113">
        <f t="shared" ca="1" si="2"/>
        <v>21831.811236052883</v>
      </c>
      <c r="H8" s="113">
        <f t="shared" ca="1" si="3"/>
        <v>2104.5555555555557</v>
      </c>
      <c r="I8" s="114"/>
      <c r="J8" s="113">
        <f t="shared" ca="1" si="4"/>
        <v>0</v>
      </c>
      <c r="K8" s="114"/>
    </row>
    <row r="9" spans="1:11" ht="24" customHeight="1" x14ac:dyDescent="0.25">
      <c r="A9" s="177" t="s">
        <v>156</v>
      </c>
      <c r="B9" s="178"/>
      <c r="C9" s="101" t="s">
        <v>19</v>
      </c>
      <c r="D9" s="112">
        <f t="shared" ca="1" si="0"/>
        <v>102.89999999999999</v>
      </c>
      <c r="E9" s="113">
        <f t="shared" ca="1" si="1"/>
        <v>102.54912272031396</v>
      </c>
      <c r="F9" s="114"/>
      <c r="G9" s="113">
        <f t="shared" ca="1" si="2"/>
        <v>0.35087727968602822</v>
      </c>
      <c r="H9" s="113">
        <f t="shared" ca="1" si="3"/>
        <v>0</v>
      </c>
      <c r="I9" s="114"/>
      <c r="J9" s="113">
        <f t="shared" ca="1" si="4"/>
        <v>0</v>
      </c>
      <c r="K9" s="115">
        <f ca="1">INDIRECT(ADDRESS(ROW(K9),$C$3-2010+4,,,"Calorific_Values"))</f>
        <v>28146</v>
      </c>
    </row>
    <row r="10" spans="1:11" ht="24" customHeight="1" x14ac:dyDescent="0.25">
      <c r="A10" s="177" t="s">
        <v>42</v>
      </c>
      <c r="B10" s="178"/>
      <c r="C10" s="101" t="s">
        <v>19</v>
      </c>
      <c r="D10" s="112">
        <f t="shared" ca="1" si="0"/>
        <v>2400.9000000000005</v>
      </c>
      <c r="E10" s="113">
        <f t="shared" ca="1" si="1"/>
        <v>2206.7127940199935</v>
      </c>
      <c r="F10" s="114"/>
      <c r="G10" s="113">
        <f t="shared" ca="1" si="2"/>
        <v>162.34372771913735</v>
      </c>
      <c r="H10" s="113">
        <f t="shared" ca="1" si="3"/>
        <v>8.4434782608695649</v>
      </c>
      <c r="I10" s="114"/>
      <c r="J10" s="113">
        <f t="shared" ca="1" si="4"/>
        <v>23.4</v>
      </c>
      <c r="K10" s="115">
        <f ca="1">INDIRECT(ADDRESS(ROW(K10),$C$3-2010+4,,,"Calorific_Values"))</f>
        <v>42773</v>
      </c>
    </row>
    <row r="11" spans="1:11" s="33" customFormat="1" ht="15" customHeight="1" x14ac:dyDescent="0.25">
      <c r="A11" s="176" t="s">
        <v>18</v>
      </c>
      <c r="B11" s="10" t="s">
        <v>21</v>
      </c>
      <c r="C11" s="11" t="s">
        <v>19</v>
      </c>
      <c r="D11" s="116">
        <f t="shared" ca="1" si="0"/>
        <v>121.4</v>
      </c>
      <c r="E11" s="117">
        <f t="shared" ca="1" si="1"/>
        <v>96.932699945795292</v>
      </c>
      <c r="F11" s="118"/>
      <c r="G11" s="117">
        <f t="shared" ca="1" si="2"/>
        <v>16.023821793335152</v>
      </c>
      <c r="H11" s="117">
        <f t="shared" ca="1" si="3"/>
        <v>8.4434782608695649</v>
      </c>
      <c r="I11" s="118"/>
      <c r="J11" s="117">
        <f t="shared" ca="1" si="4"/>
        <v>0</v>
      </c>
      <c r="K11" s="119">
        <f t="shared" ref="K11:K13" ca="1" si="5">INDIRECT(ADDRESS(ROW(K11),$C$3-2010+4,,,"Calorific_Values"))</f>
        <v>46000</v>
      </c>
    </row>
    <row r="12" spans="1:11" s="33" customFormat="1" ht="15" customHeight="1" x14ac:dyDescent="0.25">
      <c r="A12" s="176"/>
      <c r="B12" s="10" t="s">
        <v>22</v>
      </c>
      <c r="C12" s="11" t="s">
        <v>19</v>
      </c>
      <c r="D12" s="116">
        <f t="shared" ca="1" si="0"/>
        <v>23.9</v>
      </c>
      <c r="E12" s="117">
        <f t="shared" ca="1" si="1"/>
        <v>23.9</v>
      </c>
      <c r="F12" s="118"/>
      <c r="G12" s="117">
        <f t="shared" ca="1" si="2"/>
        <v>0</v>
      </c>
      <c r="H12" s="117">
        <f t="shared" ca="1" si="3"/>
        <v>0</v>
      </c>
      <c r="I12" s="118"/>
      <c r="J12" s="117">
        <f t="shared" ca="1" si="4"/>
        <v>0</v>
      </c>
      <c r="K12" s="119">
        <f t="shared" ca="1" si="5"/>
        <v>43000</v>
      </c>
    </row>
    <row r="13" spans="1:11" s="33" customFormat="1" ht="15" customHeight="1" x14ac:dyDescent="0.25">
      <c r="A13" s="176"/>
      <c r="B13" s="10" t="s">
        <v>23</v>
      </c>
      <c r="C13" s="11" t="s">
        <v>19</v>
      </c>
      <c r="D13" s="116">
        <f t="shared" ca="1" si="0"/>
        <v>2228.4</v>
      </c>
      <c r="E13" s="117">
        <f t="shared" ca="1" si="1"/>
        <v>2082.0800940741979</v>
      </c>
      <c r="F13" s="118"/>
      <c r="G13" s="117">
        <f t="shared" ca="1" si="2"/>
        <v>146.3199059258022</v>
      </c>
      <c r="H13" s="117">
        <f t="shared" ca="1" si="3"/>
        <v>0</v>
      </c>
      <c r="I13" s="118"/>
      <c r="J13" s="117">
        <f t="shared" ca="1" si="4"/>
        <v>0</v>
      </c>
      <c r="K13" s="119">
        <f t="shared" ca="1" si="5"/>
        <v>42600</v>
      </c>
    </row>
    <row r="14" spans="1:11" ht="24" customHeight="1" x14ac:dyDescent="0.25">
      <c r="A14" s="177" t="s">
        <v>43</v>
      </c>
      <c r="B14" s="178"/>
      <c r="C14" s="101" t="s">
        <v>16</v>
      </c>
      <c r="D14" s="112">
        <f t="shared" ca="1" si="0"/>
        <v>27645.664985000003</v>
      </c>
      <c r="E14" s="113">
        <f t="shared" ca="1" si="1"/>
        <v>26019.553205063308</v>
      </c>
      <c r="F14" s="114"/>
      <c r="G14" s="113">
        <f t="shared" ca="1" si="2"/>
        <v>1391.7117799366924</v>
      </c>
      <c r="H14" s="113">
        <f t="shared" ca="1" si="3"/>
        <v>0</v>
      </c>
      <c r="I14" s="114"/>
      <c r="J14" s="113">
        <f t="shared" ca="1" si="4"/>
        <v>234.4</v>
      </c>
      <c r="K14" s="114"/>
    </row>
    <row r="15" spans="1:11" s="33" customFormat="1" ht="15" customHeight="1" x14ac:dyDescent="0.25">
      <c r="A15" s="176" t="s">
        <v>18</v>
      </c>
      <c r="B15" s="10" t="s">
        <v>26</v>
      </c>
      <c r="C15" s="11" t="s">
        <v>16</v>
      </c>
      <c r="D15" s="116">
        <f t="shared" ca="1" si="0"/>
        <v>1098.9000000000001</v>
      </c>
      <c r="E15" s="117">
        <f t="shared" ca="1" si="1"/>
        <v>86.705734397771721</v>
      </c>
      <c r="F15" s="118"/>
      <c r="G15" s="117">
        <f t="shared" ca="1" si="2"/>
        <v>1012.1942656022284</v>
      </c>
      <c r="H15" s="117">
        <f t="shared" ca="1" si="3"/>
        <v>0</v>
      </c>
      <c r="I15" s="118"/>
      <c r="J15" s="117">
        <f t="shared" ca="1" si="4"/>
        <v>0</v>
      </c>
      <c r="K15" s="118"/>
    </row>
    <row r="16" spans="1:11" s="33" customFormat="1" ht="15" customHeight="1" x14ac:dyDescent="0.25">
      <c r="A16" s="176"/>
      <c r="B16" s="10" t="s">
        <v>27</v>
      </c>
      <c r="C16" s="11" t="s">
        <v>16</v>
      </c>
      <c r="D16" s="116">
        <f t="shared" ca="1" si="0"/>
        <v>24047.200000000001</v>
      </c>
      <c r="E16" s="117">
        <f t="shared" ca="1" si="1"/>
        <v>23922.122485665535</v>
      </c>
      <c r="F16" s="118"/>
      <c r="G16" s="117">
        <f t="shared" ca="1" si="2"/>
        <v>125.07751433446396</v>
      </c>
      <c r="H16" s="117">
        <f t="shared" ca="1" si="3"/>
        <v>0</v>
      </c>
      <c r="I16" s="118"/>
      <c r="J16" s="117">
        <f t="shared" ca="1" si="4"/>
        <v>0</v>
      </c>
      <c r="K16" s="118"/>
    </row>
    <row r="17" spans="1:11" s="33" customFormat="1" ht="15" customHeight="1" x14ac:dyDescent="0.25">
      <c r="A17" s="176"/>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25">
      <c r="A18" s="176"/>
      <c r="B18" s="33" t="s">
        <v>184</v>
      </c>
      <c r="C18" s="11" t="s">
        <v>16</v>
      </c>
      <c r="D18" s="116">
        <f ca="1">SUM(E18:J18)</f>
        <v>2262.6</v>
      </c>
      <c r="E18" s="117">
        <f ca="1">INDIRECT(ADDRESS(ROW(K18),$C$3 -2010 + 4,,,"1a_SpaceHeating"))</f>
        <v>2008.16</v>
      </c>
      <c r="F18" s="118"/>
      <c r="G18" s="117">
        <f ca="1">INDIRECT(ADDRESS(ROW(K18),$C$3-2010+4,,,"1c_WaterHeating"))</f>
        <v>254.44</v>
      </c>
      <c r="H18" s="117">
        <f ca="1">INDIRECT(ADDRESS(ROW(K18),$C$3-2010+4,,,"1d_Cooking"))</f>
        <v>0</v>
      </c>
      <c r="I18" s="118"/>
      <c r="J18" s="117">
        <f ca="1">INDIRECT(ADDRESS(ROW(K18),$C$3-2010+4,,,"1f_OtherEndUses"))</f>
        <v>0</v>
      </c>
      <c r="K18" s="118"/>
    </row>
    <row r="19" spans="1:11" ht="21" customHeight="1" x14ac:dyDescent="0.25">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4" sqref="D14"/>
    </sheetView>
  </sheetViews>
  <sheetFormatPr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8" t="s">
        <v>0</v>
      </c>
      <c r="B1" s="169"/>
      <c r="C1" s="20"/>
      <c r="D1" s="1"/>
      <c r="E1" s="2"/>
      <c r="F1" s="2"/>
      <c r="G1" s="2"/>
      <c r="H1" s="2"/>
      <c r="I1" s="2"/>
      <c r="J1" s="2"/>
      <c r="K1" s="3"/>
    </row>
    <row r="2" spans="1:11" ht="18" customHeight="1" x14ac:dyDescent="0.25">
      <c r="A2" s="170" t="s">
        <v>1</v>
      </c>
      <c r="B2" s="171"/>
      <c r="C2" s="1" t="str">
        <f>Cover!D15</f>
        <v>Belgium</v>
      </c>
      <c r="D2" s="1"/>
      <c r="E2" s="5"/>
      <c r="F2" s="3"/>
      <c r="G2" s="3"/>
      <c r="H2" s="3"/>
      <c r="I2" s="3"/>
      <c r="J2" s="3"/>
      <c r="K2" s="3"/>
    </row>
    <row r="3" spans="1:11" ht="18" customHeight="1" x14ac:dyDescent="0.25">
      <c r="A3" s="170" t="s">
        <v>2</v>
      </c>
      <c r="B3" s="171"/>
      <c r="C3" s="1">
        <f>Table1_Totals!C3</f>
        <v>2018</v>
      </c>
      <c r="D3" s="1"/>
      <c r="E3" s="5"/>
      <c r="F3" s="3"/>
      <c r="G3" s="3"/>
      <c r="H3" s="3"/>
      <c r="I3" s="3"/>
      <c r="J3" s="3"/>
      <c r="K3" s="3"/>
    </row>
    <row r="4" spans="1:11" ht="18" customHeight="1" x14ac:dyDescent="0.25">
      <c r="A4" s="173"/>
      <c r="B4" s="174"/>
      <c r="C4" s="20"/>
      <c r="D4" s="1"/>
      <c r="E4" s="5"/>
      <c r="F4" s="3"/>
      <c r="G4" s="3"/>
      <c r="H4" s="3"/>
      <c r="I4" s="3"/>
      <c r="J4" s="3"/>
      <c r="K4" s="3"/>
    </row>
    <row r="5" spans="1:11" ht="37.5" customHeight="1" x14ac:dyDescent="0.25">
      <c r="A5" s="165" t="s">
        <v>3</v>
      </c>
      <c r="B5" s="175"/>
      <c r="C5" s="6" t="s">
        <v>4</v>
      </c>
      <c r="D5" s="7" t="s">
        <v>5</v>
      </c>
      <c r="E5" s="6" t="s">
        <v>6</v>
      </c>
      <c r="F5" s="6" t="s">
        <v>7</v>
      </c>
      <c r="G5" s="6" t="s">
        <v>8</v>
      </c>
      <c r="H5" s="6" t="s">
        <v>9</v>
      </c>
      <c r="I5" s="6" t="s">
        <v>10</v>
      </c>
      <c r="J5" s="6" t="s">
        <v>11</v>
      </c>
      <c r="K5" s="7" t="s">
        <v>12</v>
      </c>
    </row>
    <row r="6" spans="1:11" ht="24" customHeight="1" x14ac:dyDescent="0.25">
      <c r="A6" s="167" t="s">
        <v>13</v>
      </c>
      <c r="B6" s="168"/>
      <c r="C6" s="100" t="s">
        <v>16</v>
      </c>
      <c r="D6" s="109">
        <f ca="1">SUM(E6:J6)</f>
        <v>66386.880000000005</v>
      </c>
      <c r="E6" s="110">
        <f ca="1">Table1_Totals!E6*3.6</f>
        <v>7865.7897282317726</v>
      </c>
      <c r="F6" s="110">
        <f ca="1">Table1_Totals!F6*3.6</f>
        <v>218.10235051257024</v>
      </c>
      <c r="G6" s="110">
        <f ca="1">Table1_Totals!G6*3.6</f>
        <v>12215.358658768671</v>
      </c>
      <c r="H6" s="110">
        <f ca="1">Table1_Totals!H6*3.6</f>
        <v>3525.24</v>
      </c>
      <c r="I6" s="110">
        <f ca="1">Table1_Totals!I6*3.6</f>
        <v>42562.389262486991</v>
      </c>
      <c r="J6" s="110">
        <f ca="1">Table1_Totals!J6*3.6</f>
        <v>0</v>
      </c>
      <c r="K6" s="111"/>
    </row>
    <row r="7" spans="1:11" ht="24" customHeight="1" x14ac:dyDescent="0.25">
      <c r="A7" s="177" t="s">
        <v>15</v>
      </c>
      <c r="B7" s="178"/>
      <c r="C7" s="101" t="s">
        <v>16</v>
      </c>
      <c r="D7" s="112">
        <f t="shared" ref="D7:D18" ca="1" si="0">SUM(E7:J7)</f>
        <v>641.29999999999995</v>
      </c>
      <c r="E7" s="113">
        <f ca="1">Table1_Totals!E7</f>
        <v>641.29999999999995</v>
      </c>
      <c r="F7" s="114"/>
      <c r="G7" s="113">
        <f ca="1">Table1_Totals!G7</f>
        <v>0</v>
      </c>
      <c r="H7" s="113">
        <f ca="1">Table1_Totals!H7</f>
        <v>0</v>
      </c>
      <c r="I7" s="114"/>
      <c r="J7" s="113">
        <f ca="1">Table1_Totals!J7</f>
        <v>0</v>
      </c>
      <c r="K7" s="114"/>
    </row>
    <row r="8" spans="1:11" ht="24" customHeight="1" x14ac:dyDescent="0.25">
      <c r="A8" s="177" t="s">
        <v>29</v>
      </c>
      <c r="B8" s="178"/>
      <c r="C8" s="101" t="s">
        <v>16</v>
      </c>
      <c r="D8" s="112">
        <f t="shared" ca="1" si="0"/>
        <v>139010.94</v>
      </c>
      <c r="E8" s="113">
        <f ca="1">Table1_Totals!E8*0.9</f>
        <v>117468.2098875524</v>
      </c>
      <c r="F8" s="114"/>
      <c r="G8" s="113">
        <f ca="1">Table1_Totals!G8*0.9</f>
        <v>19648.630112447594</v>
      </c>
      <c r="H8" s="113">
        <f ca="1">Table1_Totals!H8*0.9</f>
        <v>1894.1000000000001</v>
      </c>
      <c r="I8" s="114"/>
      <c r="J8" s="113">
        <f ca="1">Table1_Totals!J8*0.9</f>
        <v>0</v>
      </c>
      <c r="K8" s="114"/>
    </row>
    <row r="9" spans="1:11" ht="24" customHeight="1" x14ac:dyDescent="0.25">
      <c r="A9" s="177" t="s">
        <v>156</v>
      </c>
      <c r="B9" s="178"/>
      <c r="C9" s="101" t="s">
        <v>16</v>
      </c>
      <c r="D9" s="112">
        <f t="shared" ca="1" si="0"/>
        <v>2896.2233999999999</v>
      </c>
      <c r="E9" s="113">
        <f ca="1">IF(Table1_Totals!E9&lt;&gt;0,IF(Table1_Totals!$K9&lt;&gt;0,Table1_Totals!E9*Table1_Totals!$K9/1000,"Please check CV"),"0,000")</f>
        <v>2886.3476080859568</v>
      </c>
      <c r="F9" s="114"/>
      <c r="G9" s="113">
        <f ca="1">IF(Table1_Totals!G9&lt;&gt;0,IF(Table1_Totals!$K9&lt;&gt;0,Table1_Totals!G9*Table1_Totals!$K$9/1000,"Please check CV"),"0,000")</f>
        <v>9.8757919140429493</v>
      </c>
      <c r="H9" s="113" t="str">
        <f ca="1">IF(Table1_Totals!H9&lt;&gt;0,IF(Table1_Totals!$K9&lt;&gt;0,Table1_Totals!H9*Table1_Totals!$K$9/1000,"Please check CV"),"0,000")</f>
        <v>0,000</v>
      </c>
      <c r="I9" s="114"/>
      <c r="J9" s="113" t="str">
        <f ca="1">IF(Table1_Totals!J9&lt;&gt;0,IF(Table1_Totals!$K9&lt;&gt;0,Table1_Totals!J9*Table1_Totals!$K$9/1000,"Please check CV"),"0,000")</f>
        <v>0,000</v>
      </c>
      <c r="K9" s="115">
        <f ca="1">Table1_Totals!K9</f>
        <v>28146</v>
      </c>
    </row>
    <row r="10" spans="1:11" ht="24" customHeight="1" x14ac:dyDescent="0.25">
      <c r="A10" s="177" t="s">
        <v>42</v>
      </c>
      <c r="B10" s="178"/>
      <c r="C10" s="101" t="s">
        <v>16</v>
      </c>
      <c r="D10" s="112">
        <f t="shared" ca="1" si="0"/>
        <v>102693.69570000001</v>
      </c>
      <c r="E10" s="113">
        <f ca="1">IF(Table1_Totals!E10&lt;&gt;0,IF(Table1_Totals!$K10&lt;&gt;0,Table1_Totals!E10*Table1_Totals!$K10/1000,"Please check CV"),"0,000")</f>
        <v>94387.726338617169</v>
      </c>
      <c r="F10" s="114"/>
      <c r="G10" s="113">
        <f ca="1">IF(Table1_Totals!G10&lt;&gt;0,IF(Table1_Totals!$K10&lt;&gt;0,Table1_Totals!G10*Table1_Totals!$K10/1000,"Please check CV"),"0,000")</f>
        <v>6943.9282657306612</v>
      </c>
      <c r="H10" s="113">
        <f ca="1">IF(Table1_Totals!H10&lt;&gt;0,IF(Table1_Totals!$K10&lt;&gt;0,Table1_Totals!H10*Table1_Totals!$K10/1000,"Please check CV"),"0,000")</f>
        <v>361.15289565217392</v>
      </c>
      <c r="I10" s="114"/>
      <c r="J10" s="113">
        <f ca="1">IF(Table1_Totals!J10&lt;&gt;0,IF(Table1_Totals!$K10&lt;&gt;0,Table1_Totals!J10*Table1_Totals!$K10/1000,"Please check CV"),"0,000")</f>
        <v>1000.8882</v>
      </c>
      <c r="K10" s="115">
        <f ca="1">Table1_Totals!K10</f>
        <v>42773</v>
      </c>
    </row>
    <row r="11" spans="1:11" s="33" customFormat="1" ht="15" customHeight="1" x14ac:dyDescent="0.25">
      <c r="A11" s="176" t="s">
        <v>18</v>
      </c>
      <c r="B11" s="10" t="s">
        <v>21</v>
      </c>
      <c r="C11" s="11" t="s">
        <v>16</v>
      </c>
      <c r="D11" s="116">
        <f t="shared" ca="1" si="0"/>
        <v>5584.4</v>
      </c>
      <c r="E11" s="117">
        <f ca="1">IF(Table1_Totals!E11&lt;&gt;0,IF(Table1_Totals!$K11&lt;&gt;0,Table1_Totals!E11*Table1_Totals!$K11/1000,"Please check CV"),"0,000")</f>
        <v>4458.9041975065829</v>
      </c>
      <c r="F11" s="118"/>
      <c r="G11" s="117">
        <f ca="1">IF(Table1_Totals!G11&lt;&gt;0,IF(Table1_Totals!$K11&lt;&gt;0,Table1_Totals!G11*Table1_Totals!$K11/1000,"Please check CV"),"0,000")</f>
        <v>737.09580249341707</v>
      </c>
      <c r="H11" s="117">
        <f ca="1">IF(Table1_Totals!H11&lt;&gt;0,IF(Table1_Totals!$K11&lt;&gt;0,Table1_Totals!H11*Table1_Totals!$K11/1000,"Please check CV"),"0,000")</f>
        <v>388.4</v>
      </c>
      <c r="I11" s="118"/>
      <c r="J11" s="117" t="str">
        <f ca="1">IF(Table1_Totals!J11&lt;&gt;0,IF(Table1_Totals!$K11&lt;&gt;0,Table1_Totals!J11*Table1_Totals!$K11/1000,"Please check CV"),"0,000")</f>
        <v>0,000</v>
      </c>
      <c r="K11" s="119">
        <f ca="1">Table1_Totals!K11</f>
        <v>46000</v>
      </c>
    </row>
    <row r="12" spans="1:11" s="33" customFormat="1" ht="15" customHeight="1" x14ac:dyDescent="0.25">
      <c r="A12" s="176"/>
      <c r="B12" s="10" t="s">
        <v>22</v>
      </c>
      <c r="C12" s="11" t="s">
        <v>16</v>
      </c>
      <c r="D12" s="116">
        <f t="shared" ca="1" si="0"/>
        <v>1027.6999999999998</v>
      </c>
      <c r="E12" s="117">
        <f ca="1">IF(Table1_Totals!E12&lt;&gt;0,IF(Table1_Totals!$K12&lt;&gt;0,Table1_Totals!E12*Table1_Totals!$K12/1000,"Please check CV"),"0,000")</f>
        <v>1027.6999999999998</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43000</v>
      </c>
    </row>
    <row r="13" spans="1:11" s="33" customFormat="1" ht="15" customHeight="1" x14ac:dyDescent="0.25">
      <c r="A13" s="176"/>
      <c r="B13" s="10" t="s">
        <v>23</v>
      </c>
      <c r="C13" s="11" t="s">
        <v>16</v>
      </c>
      <c r="D13" s="116">
        <f t="shared" ca="1" si="0"/>
        <v>94929.840000000011</v>
      </c>
      <c r="E13" s="117">
        <f ca="1">IF(Table1_Totals!E13&lt;&gt;0,IF(Table1_Totals!$K13&lt;&gt;0,Table1_Totals!E13*Table1_Totals!$K13/1000,"Please check CV"),"0,000")</f>
        <v>88696.612007560834</v>
      </c>
      <c r="F13" s="118"/>
      <c r="G13" s="117">
        <f ca="1">IF(Table1_Totals!G13&lt;&gt;0,IF(Table1_Totals!$K13&lt;&gt;0,Table1_Totals!G13*Table1_Totals!$K13/1000,"Please check CV"),"0,000")</f>
        <v>6233.2279924391742</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42600</v>
      </c>
    </row>
    <row r="14" spans="1:11" ht="24" customHeight="1" x14ac:dyDescent="0.25">
      <c r="A14" s="177" t="s">
        <v>43</v>
      </c>
      <c r="B14" s="178"/>
      <c r="C14" s="101" t="s">
        <v>16</v>
      </c>
      <c r="D14" s="112">
        <f t="shared" ca="1" si="0"/>
        <v>27645.664985000003</v>
      </c>
      <c r="E14" s="113">
        <f ca="1">Table1_Totals!E14</f>
        <v>26019.553205063308</v>
      </c>
      <c r="F14" s="114"/>
      <c r="G14" s="113">
        <f ca="1">Table1_Totals!G14</f>
        <v>1391.7117799366924</v>
      </c>
      <c r="H14" s="113">
        <f ca="1">Table1_Totals!H14</f>
        <v>0</v>
      </c>
      <c r="I14" s="114"/>
      <c r="J14" s="113">
        <f ca="1">Table1_Totals!J14</f>
        <v>234.4</v>
      </c>
      <c r="K14" s="114"/>
    </row>
    <row r="15" spans="1:11" s="33" customFormat="1" ht="15" customHeight="1" x14ac:dyDescent="0.25">
      <c r="A15" s="176" t="s">
        <v>18</v>
      </c>
      <c r="B15" s="10" t="s">
        <v>26</v>
      </c>
      <c r="C15" s="11" t="s">
        <v>16</v>
      </c>
      <c r="D15" s="116">
        <f t="shared" ca="1" si="0"/>
        <v>1098.9000000000001</v>
      </c>
      <c r="E15" s="117">
        <f ca="1">Table1_Totals!E15</f>
        <v>86.705734397771721</v>
      </c>
      <c r="F15" s="118"/>
      <c r="G15" s="117">
        <f ca="1">Table1_Totals!G15</f>
        <v>1012.1942656022284</v>
      </c>
      <c r="H15" s="117">
        <f ca="1">Table1_Totals!H15</f>
        <v>0</v>
      </c>
      <c r="I15" s="118"/>
      <c r="J15" s="117">
        <f ca="1">Table1_Totals!J15</f>
        <v>0</v>
      </c>
      <c r="K15" s="118"/>
    </row>
    <row r="16" spans="1:11" s="33" customFormat="1" ht="15" customHeight="1" x14ac:dyDescent="0.25">
      <c r="A16" s="176"/>
      <c r="B16" s="10" t="s">
        <v>27</v>
      </c>
      <c r="C16" s="11" t="s">
        <v>16</v>
      </c>
      <c r="D16" s="116">
        <f t="shared" ca="1" si="0"/>
        <v>24047.200000000001</v>
      </c>
      <c r="E16" s="117">
        <f ca="1">Table1_Totals!E16</f>
        <v>23922.122485665535</v>
      </c>
      <c r="F16" s="118"/>
      <c r="G16" s="117">
        <f ca="1">Table1_Totals!G16</f>
        <v>125.07751433446396</v>
      </c>
      <c r="H16" s="117">
        <f ca="1">Table1_Totals!H16</f>
        <v>0</v>
      </c>
      <c r="I16" s="118"/>
      <c r="J16" s="117">
        <f ca="1">Table1_Totals!J16</f>
        <v>0</v>
      </c>
      <c r="K16" s="118"/>
    </row>
    <row r="17" spans="1:11" s="33" customFormat="1" ht="15" customHeight="1" x14ac:dyDescent="0.25">
      <c r="A17" s="176"/>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25">
      <c r="A18" s="176"/>
      <c r="B18" s="33" t="s">
        <v>184</v>
      </c>
      <c r="C18" s="11" t="s">
        <v>16</v>
      </c>
      <c r="D18" s="116">
        <f t="shared" ca="1" si="0"/>
        <v>2262.6</v>
      </c>
      <c r="E18" s="117">
        <f ca="1">Table1_Totals!E18</f>
        <v>2008.16</v>
      </c>
      <c r="F18" s="118"/>
      <c r="G18" s="117">
        <f ca="1">Table1_Totals!G18</f>
        <v>254.44</v>
      </c>
      <c r="H18" s="117">
        <f ca="1">Table1_Totals!H18</f>
        <v>0</v>
      </c>
      <c r="I18" s="118"/>
      <c r="J18" s="117">
        <f ca="1">Table1_Totals!J18</f>
        <v>0</v>
      </c>
      <c r="K18" s="118"/>
    </row>
    <row r="19" spans="1:11" ht="24" customHeight="1" x14ac:dyDescent="0.25">
      <c r="A19" s="177" t="s">
        <v>171</v>
      </c>
      <c r="B19" s="178"/>
      <c r="C19" s="101" t="s">
        <v>16</v>
      </c>
      <c r="D19" s="112">
        <f t="shared" ref="D19" ca="1" si="2">SUM(E19:J19)</f>
        <v>339274.70408500003</v>
      </c>
      <c r="E19" s="113">
        <f ca="1">SUM(E6:E10,E14)</f>
        <v>249268.92676755061</v>
      </c>
      <c r="F19" s="113">
        <f t="shared" ref="F19:J19" ca="1" si="3">SUM(F6:F10,F14)</f>
        <v>218.10235051257024</v>
      </c>
      <c r="G19" s="113">
        <f t="shared" ca="1" si="3"/>
        <v>40209.504608797659</v>
      </c>
      <c r="H19" s="113">
        <f t="shared" ca="1" si="3"/>
        <v>5780.4928956521744</v>
      </c>
      <c r="I19" s="113">
        <f t="shared" ca="1" si="3"/>
        <v>42562.389262486991</v>
      </c>
      <c r="J19" s="113">
        <f t="shared" ca="1" si="3"/>
        <v>1235.2882</v>
      </c>
      <c r="K19" s="114"/>
    </row>
    <row r="20" spans="1:11" ht="21" customHeight="1" x14ac:dyDescent="0.25">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25">
      <c r="D21" s="94"/>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J1" activePane="topRight" state="frozen"/>
      <selection activeCell="DS1" sqref="DS1:ED1048576"/>
      <selection pane="topRight" activeCell="J14" sqref="J14"/>
    </sheetView>
  </sheetViews>
  <sheetFormatPr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30</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c r="E6" s="56"/>
      <c r="F6" s="56"/>
      <c r="G6" s="56"/>
      <c r="H6" s="56"/>
      <c r="I6" s="56"/>
      <c r="J6" s="56">
        <v>2240.1519886638962</v>
      </c>
      <c r="K6" s="56">
        <v>2183.9080255263557</v>
      </c>
      <c r="L6" s="56">
        <v>2184.9415911754922</v>
      </c>
      <c r="M6" s="56"/>
      <c r="N6" s="56"/>
      <c r="O6" s="56"/>
      <c r="DS6" s="4" t="str">
        <f>VLOOKUP(Cover!$D$15, Country_list!$B$3:$C$44, 2, 0)</f>
        <v>BE</v>
      </c>
      <c r="DT6" s="32" t="s">
        <v>289</v>
      </c>
      <c r="DV6" s="32" t="s">
        <v>302</v>
      </c>
      <c r="EB6" s="32" t="s">
        <v>291</v>
      </c>
      <c r="ED6" s="32" t="s">
        <v>294</v>
      </c>
    </row>
    <row r="7" spans="1:134" ht="24" customHeight="1" x14ac:dyDescent="0.25">
      <c r="A7" s="156" t="s">
        <v>15</v>
      </c>
      <c r="B7" s="180"/>
      <c r="C7" s="9" t="s">
        <v>25</v>
      </c>
      <c r="D7" s="57"/>
      <c r="E7" s="54"/>
      <c r="F7" s="54"/>
      <c r="G7" s="54"/>
      <c r="H7" s="54"/>
      <c r="I7" s="54"/>
      <c r="J7" s="54">
        <v>271.10000000000002</v>
      </c>
      <c r="K7" s="54">
        <v>289.3</v>
      </c>
      <c r="L7" s="54">
        <v>641.29999999999995</v>
      </c>
      <c r="M7" s="54"/>
      <c r="N7" s="54"/>
      <c r="O7" s="54"/>
      <c r="DT7" s="32" t="s">
        <v>290</v>
      </c>
      <c r="EB7" s="32" t="s">
        <v>291</v>
      </c>
      <c r="ED7" s="32" t="s">
        <v>295</v>
      </c>
    </row>
    <row r="8" spans="1:134" ht="24" customHeight="1" x14ac:dyDescent="0.25">
      <c r="A8" s="156" t="s">
        <v>29</v>
      </c>
      <c r="B8" s="180"/>
      <c r="C8" s="9" t="s">
        <v>17</v>
      </c>
      <c r="D8" s="57"/>
      <c r="E8" s="54"/>
      <c r="F8" s="54"/>
      <c r="G8" s="54"/>
      <c r="H8" s="54"/>
      <c r="I8" s="54"/>
      <c r="J8" s="54">
        <v>134448.63924707516</v>
      </c>
      <c r="K8" s="54">
        <v>130850.83004228451</v>
      </c>
      <c r="L8" s="54">
        <v>130520.23320839155</v>
      </c>
      <c r="M8" s="54"/>
      <c r="N8" s="54"/>
      <c r="O8" s="54"/>
      <c r="DT8" s="32" t="s">
        <v>231</v>
      </c>
      <c r="EB8" s="32" t="s">
        <v>291</v>
      </c>
      <c r="ED8" s="32" t="s">
        <v>296</v>
      </c>
    </row>
    <row r="9" spans="1:134" ht="24" customHeight="1" x14ac:dyDescent="0.25">
      <c r="A9" s="156" t="s">
        <v>156</v>
      </c>
      <c r="B9" s="180"/>
      <c r="C9" s="9" t="s">
        <v>19</v>
      </c>
      <c r="D9" s="57"/>
      <c r="E9" s="54"/>
      <c r="F9" s="54"/>
      <c r="G9" s="54"/>
      <c r="H9" s="54"/>
      <c r="I9" s="54"/>
      <c r="J9" s="54">
        <v>125.65022212802346</v>
      </c>
      <c r="K9" s="54">
        <v>116.75088438151288</v>
      </c>
      <c r="L9" s="54">
        <v>102.54912272031396</v>
      </c>
      <c r="M9" s="54"/>
      <c r="N9" s="54"/>
      <c r="O9" s="54"/>
      <c r="DT9" s="32" t="s">
        <v>279</v>
      </c>
      <c r="EB9" s="32" t="s">
        <v>292</v>
      </c>
      <c r="ED9" s="32" t="s">
        <v>293</v>
      </c>
    </row>
    <row r="10" spans="1:134" ht="24" customHeight="1" x14ac:dyDescent="0.25">
      <c r="A10" s="156" t="s">
        <v>20</v>
      </c>
      <c r="B10" s="180"/>
      <c r="C10" s="9" t="s">
        <v>19</v>
      </c>
      <c r="D10" s="57"/>
      <c r="E10" s="54"/>
      <c r="F10" s="54"/>
      <c r="G10" s="54"/>
      <c r="H10" s="54"/>
      <c r="I10" s="54"/>
      <c r="J10" s="54">
        <v>2266.9042884792593</v>
      </c>
      <c r="K10" s="54">
        <v>2267.1831513674547</v>
      </c>
      <c r="L10" s="54">
        <v>2206.7127940199935</v>
      </c>
      <c r="M10" s="54"/>
      <c r="N10" s="54"/>
      <c r="O10" s="54"/>
      <c r="DT10" s="32" t="s">
        <v>280</v>
      </c>
      <c r="EB10" s="32" t="s">
        <v>292</v>
      </c>
      <c r="ED10" s="32" t="s">
        <v>293</v>
      </c>
    </row>
    <row r="11" spans="1:134" s="33" customFormat="1" ht="15" customHeight="1" x14ac:dyDescent="0.25">
      <c r="A11" s="155" t="s">
        <v>18</v>
      </c>
      <c r="B11" s="102" t="s">
        <v>21</v>
      </c>
      <c r="C11" s="103" t="s">
        <v>19</v>
      </c>
      <c r="D11" s="104"/>
      <c r="E11" s="105"/>
      <c r="F11" s="105"/>
      <c r="G11" s="105"/>
      <c r="H11" s="105"/>
      <c r="I11" s="105"/>
      <c r="J11" s="105">
        <v>93.833031989136188</v>
      </c>
      <c r="K11" s="105">
        <v>97.608736568991858</v>
      </c>
      <c r="L11" s="105">
        <v>96.932699945795292</v>
      </c>
      <c r="M11" s="105"/>
      <c r="N11" s="105"/>
      <c r="O11" s="105"/>
      <c r="DT11" s="33" t="s">
        <v>281</v>
      </c>
      <c r="EB11" s="33" t="s">
        <v>292</v>
      </c>
      <c r="ED11" s="33" t="s">
        <v>293</v>
      </c>
    </row>
    <row r="12" spans="1:134" s="33" customFormat="1" ht="15" customHeight="1" x14ac:dyDescent="0.25">
      <c r="A12" s="155"/>
      <c r="B12" s="102" t="s">
        <v>22</v>
      </c>
      <c r="C12" s="103" t="s">
        <v>19</v>
      </c>
      <c r="D12" s="104"/>
      <c r="E12" s="105"/>
      <c r="F12" s="105"/>
      <c r="G12" s="105"/>
      <c r="H12" s="105"/>
      <c r="I12" s="105"/>
      <c r="J12" s="105">
        <v>27</v>
      </c>
      <c r="K12" s="105">
        <v>23.8</v>
      </c>
      <c r="L12" s="105">
        <v>23.9</v>
      </c>
      <c r="M12" s="105"/>
      <c r="N12" s="105"/>
      <c r="O12" s="105"/>
      <c r="DT12" s="33" t="s">
        <v>282</v>
      </c>
      <c r="EB12" s="33" t="s">
        <v>292</v>
      </c>
      <c r="ED12" s="33" t="s">
        <v>293</v>
      </c>
    </row>
    <row r="13" spans="1:134" s="33" customFormat="1" ht="15" customHeight="1" x14ac:dyDescent="0.25">
      <c r="A13" s="155"/>
      <c r="B13" s="102" t="s">
        <v>23</v>
      </c>
      <c r="C13" s="103" t="s">
        <v>19</v>
      </c>
      <c r="D13" s="104"/>
      <c r="E13" s="105"/>
      <c r="F13" s="105"/>
      <c r="G13" s="105"/>
      <c r="H13" s="105"/>
      <c r="I13" s="105"/>
      <c r="J13" s="105">
        <v>2141.0712564901232</v>
      </c>
      <c r="K13" s="105">
        <v>2139.8744147984626</v>
      </c>
      <c r="L13" s="105">
        <v>2082.0800940741979</v>
      </c>
      <c r="M13" s="105"/>
      <c r="N13" s="105"/>
      <c r="O13" s="105"/>
      <c r="DT13" s="33" t="s">
        <v>283</v>
      </c>
      <c r="EB13" s="33" t="s">
        <v>292</v>
      </c>
      <c r="ED13" s="33" t="s">
        <v>293</v>
      </c>
    </row>
    <row r="14" spans="1:134" ht="24" customHeight="1" x14ac:dyDescent="0.25">
      <c r="A14" s="156" t="s">
        <v>24</v>
      </c>
      <c r="B14" s="180"/>
      <c r="C14" s="9" t="s">
        <v>25</v>
      </c>
      <c r="D14" s="57"/>
      <c r="E14" s="54"/>
      <c r="F14" s="54"/>
      <c r="G14" s="54"/>
      <c r="H14" s="54"/>
      <c r="I14" s="54"/>
      <c r="J14" s="54">
        <v>27284.587231244783</v>
      </c>
      <c r="K14" s="54">
        <v>25748.858194470937</v>
      </c>
      <c r="L14" s="54">
        <v>26019.553205063308</v>
      </c>
      <c r="M14" s="54"/>
      <c r="N14" s="54"/>
      <c r="O14" s="54"/>
      <c r="DT14" s="32" t="s">
        <v>284</v>
      </c>
      <c r="EB14" s="32" t="s">
        <v>291</v>
      </c>
      <c r="ED14" s="32" t="s">
        <v>295</v>
      </c>
    </row>
    <row r="15" spans="1:134" s="33" customFormat="1" ht="15" customHeight="1" x14ac:dyDescent="0.25">
      <c r="A15" s="155" t="s">
        <v>18</v>
      </c>
      <c r="B15" s="102" t="s">
        <v>26</v>
      </c>
      <c r="C15" s="103" t="s">
        <v>25</v>
      </c>
      <c r="D15" s="104"/>
      <c r="E15" s="105"/>
      <c r="F15" s="105"/>
      <c r="G15" s="105"/>
      <c r="H15" s="105"/>
      <c r="I15" s="105"/>
      <c r="J15" s="105">
        <v>77.245348962979804</v>
      </c>
      <c r="K15" s="105">
        <v>79.959587986806667</v>
      </c>
      <c r="L15" s="105">
        <v>86.705734397771721</v>
      </c>
      <c r="M15" s="105"/>
      <c r="N15" s="105"/>
      <c r="O15" s="105"/>
      <c r="DT15" s="33" t="s">
        <v>285</v>
      </c>
      <c r="EB15" s="33" t="s">
        <v>291</v>
      </c>
      <c r="ED15" s="33" t="s">
        <v>295</v>
      </c>
    </row>
    <row r="16" spans="1:134" s="33" customFormat="1" ht="15" customHeight="1" x14ac:dyDescent="0.25">
      <c r="A16" s="155"/>
      <c r="B16" s="102" t="s">
        <v>27</v>
      </c>
      <c r="C16" s="103" t="s">
        <v>25</v>
      </c>
      <c r="D16" s="104"/>
      <c r="E16" s="105"/>
      <c r="F16" s="105"/>
      <c r="G16" s="105"/>
      <c r="H16" s="105"/>
      <c r="I16" s="105"/>
      <c r="J16" s="105">
        <v>25727.111682281804</v>
      </c>
      <c r="K16" s="105">
        <v>24031.616006484132</v>
      </c>
      <c r="L16" s="105">
        <v>23922.122485665535</v>
      </c>
      <c r="M16" s="105"/>
      <c r="N16" s="105"/>
      <c r="O16" s="105"/>
      <c r="DT16" s="33" t="s">
        <v>286</v>
      </c>
      <c r="EB16" s="33" t="s">
        <v>291</v>
      </c>
      <c r="ED16" s="33" t="s">
        <v>295</v>
      </c>
    </row>
    <row r="17" spans="1:134" s="33" customFormat="1" ht="15" customHeight="1" x14ac:dyDescent="0.25">
      <c r="A17" s="155"/>
      <c r="B17" s="102" t="s">
        <v>28</v>
      </c>
      <c r="C17" s="103" t="s">
        <v>25</v>
      </c>
      <c r="D17" s="104"/>
      <c r="E17" s="104"/>
      <c r="F17" s="104"/>
      <c r="G17" s="104"/>
      <c r="H17" s="104"/>
      <c r="I17" s="104"/>
      <c r="J17" s="104">
        <v>0</v>
      </c>
      <c r="K17" s="104">
        <v>0</v>
      </c>
      <c r="L17" s="104">
        <v>0</v>
      </c>
      <c r="M17" s="104"/>
      <c r="N17" s="104"/>
      <c r="O17" s="104"/>
      <c r="DT17" s="33" t="s">
        <v>287</v>
      </c>
      <c r="EB17" s="33" t="s">
        <v>291</v>
      </c>
      <c r="ED17" s="33" t="s">
        <v>295</v>
      </c>
    </row>
    <row r="18" spans="1:134" s="33" customFormat="1" ht="15" customHeight="1" x14ac:dyDescent="0.25">
      <c r="A18" s="155"/>
      <c r="B18" s="102" t="s">
        <v>184</v>
      </c>
      <c r="C18" s="103" t="s">
        <v>25</v>
      </c>
      <c r="D18" s="104"/>
      <c r="E18" s="104"/>
      <c r="F18" s="104"/>
      <c r="G18" s="104"/>
      <c r="H18" s="104"/>
      <c r="I18" s="104"/>
      <c r="J18" s="104">
        <v>1475.48</v>
      </c>
      <c r="K18" s="104">
        <v>1631.78</v>
      </c>
      <c r="L18" s="104">
        <v>2008.16</v>
      </c>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J1" activePane="topRight" state="frozen"/>
      <selection activeCell="DS1" sqref="DS1:ED1048576"/>
      <selection pane="topRight" activeCell="L6" sqref="L6"/>
    </sheetView>
  </sheetViews>
  <sheetFormatPr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31</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53"/>
      <c r="C6" s="8" t="s">
        <v>14</v>
      </c>
      <c r="D6" s="55"/>
      <c r="E6" s="56"/>
      <c r="F6" s="56"/>
      <c r="G6" s="56"/>
      <c r="H6" s="56"/>
      <c r="I6" s="56"/>
      <c r="J6" s="56">
        <v>60.00797327597158</v>
      </c>
      <c r="K6" s="56">
        <v>60.296501669981254</v>
      </c>
      <c r="L6" s="56">
        <v>60.58398625349173</v>
      </c>
      <c r="M6" s="56"/>
      <c r="N6" s="56"/>
      <c r="O6" s="56"/>
      <c r="DS6" s="4" t="str">
        <f>VLOOKUP(Cover!$D$15, Country_list!$B$3:$C$44, 2, 0)</f>
        <v>BE</v>
      </c>
      <c r="DT6" s="32" t="s">
        <v>289</v>
      </c>
      <c r="DV6" s="32" t="s">
        <v>303</v>
      </c>
      <c r="EB6" s="32" t="s">
        <v>291</v>
      </c>
      <c r="ED6" s="32" t="s">
        <v>294</v>
      </c>
    </row>
    <row r="7" spans="1:134" ht="24" customHeight="1" x14ac:dyDescent="0.25">
      <c r="A7" s="183" t="s">
        <v>15</v>
      </c>
      <c r="B7" s="184"/>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3" t="s">
        <v>29</v>
      </c>
      <c r="B8" s="184"/>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3" t="s">
        <v>156</v>
      </c>
      <c r="B9" s="184"/>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3" t="s">
        <v>20</v>
      </c>
      <c r="B10" s="184"/>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5"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5"/>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5"/>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3" t="s">
        <v>24</v>
      </c>
      <c r="B14" s="184"/>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5"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5"/>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5"/>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5"/>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J1" activePane="topRight" state="frozen"/>
      <selection activeCell="DS1" sqref="DS1:ED1048576"/>
      <selection pane="topRight" activeCell="K14" sqref="K14"/>
    </sheetView>
  </sheetViews>
  <sheetFormatPr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8</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c r="E6" s="56"/>
      <c r="F6" s="56"/>
      <c r="G6" s="56"/>
      <c r="H6" s="56"/>
      <c r="I6" s="56"/>
      <c r="J6" s="56">
        <v>3360.8941592289311</v>
      </c>
      <c r="K6" s="56">
        <v>3377.0539016974726</v>
      </c>
      <c r="L6" s="56">
        <v>3393.1551829912974</v>
      </c>
      <c r="M6" s="56"/>
      <c r="N6" s="56"/>
      <c r="O6" s="56"/>
      <c r="DS6" s="4" t="str">
        <f>VLOOKUP(Cover!$D$15, Country_list!$B$3:$C$44, 2, 0)</f>
        <v>BE</v>
      </c>
      <c r="DT6" s="32" t="s">
        <v>289</v>
      </c>
      <c r="DV6" s="32" t="s">
        <v>304</v>
      </c>
      <c r="EB6" s="32" t="s">
        <v>291</v>
      </c>
      <c r="ED6" s="32" t="s">
        <v>294</v>
      </c>
    </row>
    <row r="7" spans="1:134" ht="24" customHeight="1" x14ac:dyDescent="0.25">
      <c r="A7" s="156" t="s">
        <v>15</v>
      </c>
      <c r="B7" s="180"/>
      <c r="C7" s="9" t="s">
        <v>25</v>
      </c>
      <c r="D7" s="57"/>
      <c r="E7" s="54"/>
      <c r="F7" s="54"/>
      <c r="G7" s="54"/>
      <c r="H7" s="54"/>
      <c r="I7" s="54"/>
      <c r="J7" s="54">
        <v>0</v>
      </c>
      <c r="K7" s="54">
        <v>0</v>
      </c>
      <c r="L7" s="54">
        <v>0</v>
      </c>
      <c r="M7" s="54"/>
      <c r="N7" s="54"/>
      <c r="O7" s="54"/>
      <c r="DT7" s="32" t="s">
        <v>290</v>
      </c>
      <c r="EB7" s="32" t="s">
        <v>291</v>
      </c>
      <c r="ED7" s="32" t="s">
        <v>295</v>
      </c>
    </row>
    <row r="8" spans="1:134" ht="24" customHeight="1" x14ac:dyDescent="0.25">
      <c r="A8" s="156" t="s">
        <v>29</v>
      </c>
      <c r="B8" s="180"/>
      <c r="C8" s="9" t="s">
        <v>17</v>
      </c>
      <c r="D8" s="57"/>
      <c r="E8" s="54"/>
      <c r="F8" s="54"/>
      <c r="G8" s="54"/>
      <c r="H8" s="54"/>
      <c r="I8" s="54"/>
      <c r="J8" s="54">
        <v>21624.241424747968</v>
      </c>
      <c r="K8" s="54">
        <v>21728.214402159927</v>
      </c>
      <c r="L8" s="54">
        <v>21831.811236052883</v>
      </c>
      <c r="M8" s="54"/>
      <c r="N8" s="54"/>
      <c r="O8" s="54"/>
      <c r="DT8" s="32" t="s">
        <v>231</v>
      </c>
      <c r="EB8" s="32" t="s">
        <v>291</v>
      </c>
      <c r="ED8" s="32" t="s">
        <v>296</v>
      </c>
    </row>
    <row r="9" spans="1:134" ht="24" customHeight="1" x14ac:dyDescent="0.25">
      <c r="A9" s="156" t="s">
        <v>156</v>
      </c>
      <c r="B9" s="180"/>
      <c r="C9" s="9" t="s">
        <v>19</v>
      </c>
      <c r="D9" s="57"/>
      <c r="E9" s="54"/>
      <c r="F9" s="54"/>
      <c r="G9" s="54"/>
      <c r="H9" s="54"/>
      <c r="I9" s="54"/>
      <c r="J9" s="54">
        <v>0.34977787197654614</v>
      </c>
      <c r="K9" s="54">
        <v>0.3491156184871253</v>
      </c>
      <c r="L9" s="54">
        <v>0.35087727968602822</v>
      </c>
      <c r="M9" s="54"/>
      <c r="N9" s="54"/>
      <c r="O9" s="54"/>
      <c r="DT9" s="32" t="s">
        <v>279</v>
      </c>
      <c r="EB9" s="32" t="s">
        <v>292</v>
      </c>
      <c r="ED9" s="32" t="s">
        <v>293</v>
      </c>
    </row>
    <row r="10" spans="1:134" ht="24" customHeight="1" x14ac:dyDescent="0.25">
      <c r="A10" s="156" t="s">
        <v>20</v>
      </c>
      <c r="B10" s="180"/>
      <c r="C10" s="9" t="s">
        <v>19</v>
      </c>
      <c r="D10" s="57"/>
      <c r="E10" s="54"/>
      <c r="F10" s="54"/>
      <c r="G10" s="54"/>
      <c r="H10" s="54"/>
      <c r="I10" s="54"/>
      <c r="J10" s="54">
        <v>160.80021598001289</v>
      </c>
      <c r="K10" s="54">
        <v>161.57337037167602</v>
      </c>
      <c r="L10" s="54">
        <v>162.34372771913735</v>
      </c>
      <c r="M10" s="54"/>
      <c r="N10" s="54"/>
      <c r="O10" s="54"/>
      <c r="DT10" s="32" t="s">
        <v>280</v>
      </c>
      <c r="EB10" s="32" t="s">
        <v>292</v>
      </c>
      <c r="ED10" s="32" t="s">
        <v>293</v>
      </c>
    </row>
    <row r="11" spans="1:134" s="33" customFormat="1" ht="15" customHeight="1" x14ac:dyDescent="0.25">
      <c r="A11" s="155" t="s">
        <v>18</v>
      </c>
      <c r="B11" s="102" t="s">
        <v>21</v>
      </c>
      <c r="C11" s="103" t="s">
        <v>19</v>
      </c>
      <c r="D11" s="104"/>
      <c r="E11" s="105"/>
      <c r="F11" s="105"/>
      <c r="G11" s="105"/>
      <c r="H11" s="105"/>
      <c r="I11" s="105"/>
      <c r="J11" s="105">
        <v>15.871472470135917</v>
      </c>
      <c r="K11" s="105">
        <v>15.947785170138582</v>
      </c>
      <c r="L11" s="105">
        <v>16.023821793335152</v>
      </c>
      <c r="M11" s="105"/>
      <c r="N11" s="105"/>
      <c r="O11" s="105"/>
      <c r="DT11" s="33" t="s">
        <v>281</v>
      </c>
      <c r="EB11" s="33" t="s">
        <v>292</v>
      </c>
      <c r="ED11" s="33" t="s">
        <v>293</v>
      </c>
    </row>
    <row r="12" spans="1:134" s="33" customFormat="1" ht="15" customHeight="1" x14ac:dyDescent="0.25">
      <c r="A12" s="155"/>
      <c r="B12" s="102" t="s">
        <v>22</v>
      </c>
      <c r="C12" s="103" t="s">
        <v>19</v>
      </c>
      <c r="D12" s="104"/>
      <c r="E12" s="105"/>
      <c r="F12" s="105"/>
      <c r="G12" s="105"/>
      <c r="H12" s="105"/>
      <c r="I12" s="105"/>
      <c r="J12" s="105">
        <v>0</v>
      </c>
      <c r="K12" s="105">
        <v>0</v>
      </c>
      <c r="L12" s="105">
        <v>0</v>
      </c>
      <c r="M12" s="105"/>
      <c r="N12" s="105"/>
      <c r="O12" s="105"/>
      <c r="DT12" s="33" t="s">
        <v>282</v>
      </c>
      <c r="EB12" s="33" t="s">
        <v>292</v>
      </c>
      <c r="ED12" s="33" t="s">
        <v>293</v>
      </c>
    </row>
    <row r="13" spans="1:134" s="33" customFormat="1" ht="15" customHeight="1" x14ac:dyDescent="0.25">
      <c r="A13" s="155"/>
      <c r="B13" s="102" t="s">
        <v>23</v>
      </c>
      <c r="C13" s="103" t="s">
        <v>19</v>
      </c>
      <c r="D13" s="104"/>
      <c r="E13" s="105"/>
      <c r="F13" s="105"/>
      <c r="G13" s="105"/>
      <c r="H13" s="105"/>
      <c r="I13" s="105"/>
      <c r="J13" s="105">
        <v>144.92874350987697</v>
      </c>
      <c r="K13" s="105">
        <v>145.62558520153743</v>
      </c>
      <c r="L13" s="105">
        <v>146.3199059258022</v>
      </c>
      <c r="M13" s="105"/>
      <c r="N13" s="105"/>
      <c r="O13" s="105"/>
      <c r="DT13" s="33" t="s">
        <v>283</v>
      </c>
      <c r="EB13" s="33" t="s">
        <v>292</v>
      </c>
      <c r="ED13" s="33" t="s">
        <v>293</v>
      </c>
    </row>
    <row r="14" spans="1:134" ht="24" customHeight="1" x14ac:dyDescent="0.25">
      <c r="A14" s="156" t="s">
        <v>24</v>
      </c>
      <c r="B14" s="180"/>
      <c r="C14" s="9" t="s">
        <v>25</v>
      </c>
      <c r="D14" s="57"/>
      <c r="E14" s="54"/>
      <c r="F14" s="54"/>
      <c r="G14" s="54"/>
      <c r="H14" s="54"/>
      <c r="I14" s="54"/>
      <c r="J14" s="54">
        <v>1251.7629687552171</v>
      </c>
      <c r="K14" s="54">
        <v>1284.0444055290614</v>
      </c>
      <c r="L14" s="54">
        <v>1391.7117799366924</v>
      </c>
      <c r="M14" s="54"/>
      <c r="N14" s="54"/>
      <c r="O14" s="54"/>
      <c r="DT14" s="32" t="s">
        <v>284</v>
      </c>
      <c r="EB14" s="32" t="s">
        <v>291</v>
      </c>
      <c r="ED14" s="32" t="s">
        <v>295</v>
      </c>
    </row>
    <row r="15" spans="1:134" s="33" customFormat="1" ht="15" customHeight="1" x14ac:dyDescent="0.25">
      <c r="A15" s="155" t="s">
        <v>18</v>
      </c>
      <c r="B15" s="102" t="s">
        <v>26</v>
      </c>
      <c r="C15" s="103" t="s">
        <v>25</v>
      </c>
      <c r="D15" s="104"/>
      <c r="E15" s="105"/>
      <c r="F15" s="105"/>
      <c r="G15" s="105"/>
      <c r="H15" s="105"/>
      <c r="I15" s="105"/>
      <c r="J15" s="105">
        <v>901.75465103702027</v>
      </c>
      <c r="K15" s="105">
        <v>933.44041201319328</v>
      </c>
      <c r="L15" s="105">
        <v>1012.1942656022284</v>
      </c>
      <c r="M15" s="105"/>
      <c r="N15" s="105"/>
      <c r="O15" s="105"/>
      <c r="DT15" s="33" t="s">
        <v>285</v>
      </c>
      <c r="EB15" s="33" t="s">
        <v>291</v>
      </c>
      <c r="ED15" s="33" t="s">
        <v>295</v>
      </c>
    </row>
    <row r="16" spans="1:134" s="33" customFormat="1" ht="15" customHeight="1" x14ac:dyDescent="0.25">
      <c r="A16" s="155"/>
      <c r="B16" s="102" t="s">
        <v>27</v>
      </c>
      <c r="C16" s="103" t="s">
        <v>25</v>
      </c>
      <c r="D16" s="104"/>
      <c r="E16" s="105"/>
      <c r="F16" s="105"/>
      <c r="G16" s="105"/>
      <c r="H16" s="105"/>
      <c r="I16" s="105"/>
      <c r="J16" s="105">
        <v>123.88831771819703</v>
      </c>
      <c r="K16" s="105">
        <v>124.48399351586815</v>
      </c>
      <c r="L16" s="105">
        <v>125.07751433446396</v>
      </c>
      <c r="M16" s="105"/>
      <c r="N16" s="105"/>
      <c r="O16" s="105"/>
      <c r="DT16" s="33" t="s">
        <v>286</v>
      </c>
      <c r="EB16" s="33" t="s">
        <v>291</v>
      </c>
      <c r="ED16" s="33" t="s">
        <v>295</v>
      </c>
    </row>
    <row r="17" spans="1:134" s="33" customFormat="1" ht="15" customHeight="1" x14ac:dyDescent="0.25">
      <c r="A17" s="155"/>
      <c r="B17" s="102" t="s">
        <v>28</v>
      </c>
      <c r="C17" s="103" t="s">
        <v>25</v>
      </c>
      <c r="D17" s="104"/>
      <c r="E17" s="104"/>
      <c r="F17" s="104"/>
      <c r="G17" s="104"/>
      <c r="H17" s="104"/>
      <c r="I17" s="104"/>
      <c r="J17" s="104">
        <v>0</v>
      </c>
      <c r="K17" s="104">
        <v>0</v>
      </c>
      <c r="L17" s="104">
        <v>0</v>
      </c>
      <c r="M17" s="104"/>
      <c r="N17" s="104"/>
      <c r="O17" s="104"/>
      <c r="DT17" s="33" t="s">
        <v>287</v>
      </c>
      <c r="EB17" s="33" t="s">
        <v>291</v>
      </c>
      <c r="ED17" s="33" t="s">
        <v>295</v>
      </c>
    </row>
    <row r="18" spans="1:134" s="33" customFormat="1" ht="15" customHeight="1" x14ac:dyDescent="0.25">
      <c r="A18" s="155"/>
      <c r="B18" s="102" t="s">
        <v>185</v>
      </c>
      <c r="C18" s="103" t="s">
        <v>25</v>
      </c>
      <c r="D18" s="104"/>
      <c r="E18" s="105"/>
      <c r="F18" s="105"/>
      <c r="G18" s="105"/>
      <c r="H18" s="105"/>
      <c r="I18" s="105"/>
      <c r="J18" s="105">
        <v>226.12</v>
      </c>
      <c r="K18" s="105">
        <v>226.12</v>
      </c>
      <c r="L18" s="105">
        <v>254.44</v>
      </c>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zoomScale="90" zoomScaleNormal="90" workbookViewId="0">
      <pane xSplit="3" topLeftCell="J1" activePane="topRight" state="frozen"/>
      <selection activeCell="DS1" sqref="DS1:ED1048576"/>
      <selection pane="topRight" activeCell="K19" sqref="K19"/>
    </sheetView>
  </sheetViews>
  <sheetFormatPr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9</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c r="E6" s="56"/>
      <c r="F6" s="56"/>
      <c r="G6" s="56"/>
      <c r="H6" s="56"/>
      <c r="I6" s="56"/>
      <c r="J6" s="56">
        <v>967.77941208355458</v>
      </c>
      <c r="K6" s="56">
        <v>973.33333333333326</v>
      </c>
      <c r="L6" s="56">
        <v>979.23333333333323</v>
      </c>
      <c r="M6" s="56"/>
      <c r="N6" s="56"/>
      <c r="O6" s="56"/>
      <c r="DS6" s="4" t="str">
        <f>VLOOKUP(Cover!$D$15, Country_list!$B$3:$C$44, 2, 0)</f>
        <v>BE</v>
      </c>
      <c r="DT6" s="32" t="s">
        <v>289</v>
      </c>
      <c r="DV6" s="32" t="s">
        <v>305</v>
      </c>
      <c r="EB6" s="32" t="s">
        <v>291</v>
      </c>
      <c r="ED6" s="32" t="s">
        <v>294</v>
      </c>
    </row>
    <row r="7" spans="1:134" ht="24" customHeight="1" x14ac:dyDescent="0.25">
      <c r="A7" s="156" t="s">
        <v>15</v>
      </c>
      <c r="B7" s="180"/>
      <c r="C7" s="9" t="s">
        <v>25</v>
      </c>
      <c r="D7" s="57"/>
      <c r="E7" s="54"/>
      <c r="F7" s="54"/>
      <c r="G7" s="54"/>
      <c r="H7" s="54"/>
      <c r="I7" s="54"/>
      <c r="J7" s="54">
        <v>0</v>
      </c>
      <c r="K7" s="54">
        <v>0</v>
      </c>
      <c r="L7" s="54">
        <v>0</v>
      </c>
      <c r="M7" s="54"/>
      <c r="N7" s="54"/>
      <c r="O7" s="54"/>
      <c r="DT7" s="32" t="s">
        <v>290</v>
      </c>
      <c r="EB7" s="32" t="s">
        <v>291</v>
      </c>
      <c r="ED7" s="32" t="s">
        <v>295</v>
      </c>
    </row>
    <row r="8" spans="1:134" ht="24" customHeight="1" x14ac:dyDescent="0.25">
      <c r="A8" s="156" t="s">
        <v>29</v>
      </c>
      <c r="B8" s="180"/>
      <c r="C8" s="9" t="s">
        <v>17</v>
      </c>
      <c r="D8" s="57"/>
      <c r="E8" s="54"/>
      <c r="F8" s="54"/>
      <c r="G8" s="54"/>
      <c r="H8" s="54"/>
      <c r="I8" s="54"/>
      <c r="J8" s="54">
        <v>2081.519328176872</v>
      </c>
      <c r="K8" s="54">
        <v>2093.5555555555557</v>
      </c>
      <c r="L8" s="54">
        <v>2104.5555555555557</v>
      </c>
      <c r="M8" s="54"/>
      <c r="N8" s="54"/>
      <c r="O8" s="54"/>
      <c r="DT8" s="32" t="s">
        <v>231</v>
      </c>
      <c r="EB8" s="32" t="s">
        <v>291</v>
      </c>
      <c r="ED8" s="32" t="s">
        <v>296</v>
      </c>
    </row>
    <row r="9" spans="1:134" ht="24" customHeight="1" x14ac:dyDescent="0.25">
      <c r="A9" s="156" t="s">
        <v>156</v>
      </c>
      <c r="B9" s="180"/>
      <c r="C9" s="9" t="s">
        <v>19</v>
      </c>
      <c r="D9" s="57"/>
      <c r="E9" s="54"/>
      <c r="F9" s="54"/>
      <c r="G9" s="54"/>
      <c r="H9" s="54"/>
      <c r="I9" s="54"/>
      <c r="J9" s="54">
        <v>0</v>
      </c>
      <c r="K9" s="54">
        <v>0</v>
      </c>
      <c r="L9" s="54">
        <v>0</v>
      </c>
      <c r="M9" s="54"/>
      <c r="N9" s="54"/>
      <c r="O9" s="54"/>
      <c r="DT9" s="32" t="s">
        <v>279</v>
      </c>
      <c r="EB9" s="32" t="s">
        <v>292</v>
      </c>
      <c r="ED9" s="32" t="s">
        <v>293</v>
      </c>
    </row>
    <row r="10" spans="1:134" ht="24" customHeight="1" x14ac:dyDescent="0.25">
      <c r="A10" s="156" t="s">
        <v>20</v>
      </c>
      <c r="B10" s="180"/>
      <c r="C10" s="9" t="s">
        <v>19</v>
      </c>
      <c r="D10" s="57"/>
      <c r="E10" s="54"/>
      <c r="F10" s="54"/>
      <c r="G10" s="54"/>
      <c r="H10" s="54"/>
      <c r="I10" s="54"/>
      <c r="J10" s="54">
        <v>8.295495540727897</v>
      </c>
      <c r="K10" s="54">
        <v>8.3434782608695652</v>
      </c>
      <c r="L10" s="54">
        <v>8.4434782608695649</v>
      </c>
      <c r="M10" s="54"/>
      <c r="N10" s="54"/>
      <c r="O10" s="54"/>
      <c r="DT10" s="32" t="s">
        <v>280</v>
      </c>
      <c r="EB10" s="32" t="s">
        <v>292</v>
      </c>
      <c r="ED10" s="32" t="s">
        <v>293</v>
      </c>
    </row>
    <row r="11" spans="1:134" s="33" customFormat="1" ht="15" customHeight="1" x14ac:dyDescent="0.25">
      <c r="A11" s="155" t="s">
        <v>18</v>
      </c>
      <c r="B11" s="102" t="s">
        <v>21</v>
      </c>
      <c r="C11" s="103" t="s">
        <v>19</v>
      </c>
      <c r="D11" s="104"/>
      <c r="E11" s="105"/>
      <c r="F11" s="105"/>
      <c r="G11" s="105"/>
      <c r="H11" s="105"/>
      <c r="I11" s="105"/>
      <c r="J11" s="105">
        <v>8.295495540727897</v>
      </c>
      <c r="K11" s="105">
        <v>8.3434782608695652</v>
      </c>
      <c r="L11" s="105">
        <v>8.4434782608695649</v>
      </c>
      <c r="M11" s="105"/>
      <c r="N11" s="105"/>
      <c r="O11" s="105"/>
      <c r="DT11" s="33" t="s">
        <v>281</v>
      </c>
      <c r="EB11" s="33" t="s">
        <v>292</v>
      </c>
      <c r="ED11" s="33" t="s">
        <v>293</v>
      </c>
    </row>
    <row r="12" spans="1:134" s="33" customFormat="1" ht="15" customHeight="1" x14ac:dyDescent="0.25">
      <c r="A12" s="155"/>
      <c r="B12" s="102" t="s">
        <v>22</v>
      </c>
      <c r="C12" s="103" t="s">
        <v>19</v>
      </c>
      <c r="D12" s="104"/>
      <c r="E12" s="105"/>
      <c r="F12" s="105"/>
      <c r="G12" s="105"/>
      <c r="H12" s="105"/>
      <c r="I12" s="105"/>
      <c r="J12" s="105">
        <v>0</v>
      </c>
      <c r="K12" s="105">
        <v>0</v>
      </c>
      <c r="L12" s="105">
        <v>0</v>
      </c>
      <c r="M12" s="105"/>
      <c r="N12" s="105"/>
      <c r="O12" s="105"/>
      <c r="DT12" s="33" t="s">
        <v>282</v>
      </c>
      <c r="EB12" s="33" t="s">
        <v>292</v>
      </c>
      <c r="ED12" s="33" t="s">
        <v>293</v>
      </c>
    </row>
    <row r="13" spans="1:134" s="33" customFormat="1" ht="15" customHeight="1" x14ac:dyDescent="0.25">
      <c r="A13" s="155"/>
      <c r="B13" s="102" t="s">
        <v>23</v>
      </c>
      <c r="C13" s="103" t="s">
        <v>19</v>
      </c>
      <c r="D13" s="104"/>
      <c r="E13" s="105"/>
      <c r="F13" s="105"/>
      <c r="G13" s="105"/>
      <c r="H13" s="105"/>
      <c r="I13" s="105"/>
      <c r="J13" s="105">
        <v>0</v>
      </c>
      <c r="K13" s="105">
        <v>0</v>
      </c>
      <c r="L13" s="105">
        <v>0</v>
      </c>
      <c r="M13" s="105"/>
      <c r="N13" s="105"/>
      <c r="O13" s="105"/>
      <c r="DT13" s="33" t="s">
        <v>283</v>
      </c>
      <c r="EB13" s="33" t="s">
        <v>292</v>
      </c>
      <c r="ED13" s="33" t="s">
        <v>293</v>
      </c>
    </row>
    <row r="14" spans="1:134" ht="24" customHeight="1" x14ac:dyDescent="0.25">
      <c r="A14" s="156" t="s">
        <v>24</v>
      </c>
      <c r="B14" s="180"/>
      <c r="C14" s="9" t="s">
        <v>25</v>
      </c>
      <c r="D14" s="57"/>
      <c r="E14" s="54"/>
      <c r="F14" s="54"/>
      <c r="G14" s="54"/>
      <c r="H14" s="54"/>
      <c r="I14" s="54"/>
      <c r="J14" s="54">
        <v>0</v>
      </c>
      <c r="K14" s="54">
        <v>0</v>
      </c>
      <c r="L14" s="54">
        <v>0</v>
      </c>
      <c r="M14" s="54"/>
      <c r="N14" s="54"/>
      <c r="O14" s="54"/>
      <c r="DT14" s="32" t="s">
        <v>284</v>
      </c>
      <c r="EB14" s="32" t="s">
        <v>291</v>
      </c>
      <c r="ED14" s="32" t="s">
        <v>295</v>
      </c>
    </row>
    <row r="15" spans="1:134" s="33" customFormat="1" ht="15" customHeight="1" x14ac:dyDescent="0.25">
      <c r="A15" s="186" t="s">
        <v>18</v>
      </c>
      <c r="B15" s="102" t="s">
        <v>26</v>
      </c>
      <c r="C15" s="103" t="s">
        <v>25</v>
      </c>
      <c r="D15" s="104"/>
      <c r="E15" s="105"/>
      <c r="F15" s="105"/>
      <c r="G15" s="105"/>
      <c r="H15" s="105"/>
      <c r="I15" s="105"/>
      <c r="J15" s="105">
        <v>0</v>
      </c>
      <c r="K15" s="105">
        <v>0</v>
      </c>
      <c r="L15" s="105">
        <v>0</v>
      </c>
      <c r="M15" s="105"/>
      <c r="N15" s="105"/>
      <c r="O15" s="105"/>
      <c r="DT15" s="33" t="s">
        <v>285</v>
      </c>
      <c r="EB15" s="33" t="s">
        <v>291</v>
      </c>
      <c r="ED15" s="33" t="s">
        <v>295</v>
      </c>
    </row>
    <row r="16" spans="1:134" s="33" customFormat="1" ht="15" customHeight="1" x14ac:dyDescent="0.25">
      <c r="A16" s="187"/>
      <c r="B16" s="102" t="s">
        <v>27</v>
      </c>
      <c r="C16" s="103" t="s">
        <v>25</v>
      </c>
      <c r="D16" s="104"/>
      <c r="E16" s="105"/>
      <c r="F16" s="105"/>
      <c r="G16" s="105"/>
      <c r="H16" s="105"/>
      <c r="I16" s="105"/>
      <c r="J16" s="105">
        <v>0</v>
      </c>
      <c r="K16" s="105">
        <v>0</v>
      </c>
      <c r="L16" s="105">
        <v>0</v>
      </c>
      <c r="M16" s="105"/>
      <c r="N16" s="105"/>
      <c r="O16" s="105"/>
      <c r="DT16" s="33" t="s">
        <v>286</v>
      </c>
      <c r="EB16" s="33" t="s">
        <v>291</v>
      </c>
      <c r="ED16" s="33" t="s">
        <v>295</v>
      </c>
    </row>
    <row r="17" spans="1:134" s="33" customFormat="1" ht="15" customHeight="1" x14ac:dyDescent="0.25">
      <c r="A17" s="187"/>
      <c r="B17" s="102" t="s">
        <v>28</v>
      </c>
      <c r="C17" s="103" t="s">
        <v>25</v>
      </c>
      <c r="D17" s="104"/>
      <c r="E17" s="105"/>
      <c r="F17" s="105"/>
      <c r="G17" s="105"/>
      <c r="H17" s="105"/>
      <c r="I17" s="105"/>
      <c r="J17" s="105">
        <v>0</v>
      </c>
      <c r="K17" s="105">
        <v>0</v>
      </c>
      <c r="L17" s="105">
        <v>0</v>
      </c>
      <c r="M17" s="105"/>
      <c r="N17" s="105"/>
      <c r="O17" s="105"/>
      <c r="DT17" s="33" t="s">
        <v>287</v>
      </c>
      <c r="EB17" s="33" t="s">
        <v>291</v>
      </c>
      <c r="ED17" s="33" t="s">
        <v>295</v>
      </c>
    </row>
    <row r="18" spans="1:134" s="33" customFormat="1" ht="15" customHeight="1" x14ac:dyDescent="0.25">
      <c r="A18" s="188"/>
      <c r="B18" s="102" t="s">
        <v>185</v>
      </c>
      <c r="C18" s="103" t="s">
        <v>25</v>
      </c>
      <c r="D18" s="104"/>
      <c r="E18" s="105"/>
      <c r="F18" s="105"/>
      <c r="G18" s="105"/>
      <c r="H18" s="105"/>
      <c r="I18" s="105"/>
      <c r="J18" s="105">
        <v>0</v>
      </c>
      <c r="K18" s="105">
        <v>0</v>
      </c>
      <c r="L18" s="105">
        <v>0</v>
      </c>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J1" activePane="topRight" state="frozen"/>
      <selection activeCell="DS1" sqref="DS1:ED1048576"/>
      <selection pane="topRight" activeCell="L12" sqref="L12"/>
    </sheetView>
  </sheetViews>
  <sheetFormatPr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10</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89" t="s">
        <v>13</v>
      </c>
      <c r="B6" s="190"/>
      <c r="C6" s="31" t="s">
        <v>14</v>
      </c>
      <c r="D6" s="58"/>
      <c r="E6" s="59"/>
      <c r="F6" s="59"/>
      <c r="G6" s="59"/>
      <c r="H6" s="59"/>
      <c r="I6" s="59"/>
      <c r="J6" s="59">
        <v>12255.766466747646</v>
      </c>
      <c r="K6" s="59">
        <v>11973.008237772856</v>
      </c>
      <c r="L6" s="59">
        <v>11822.885906246385</v>
      </c>
      <c r="M6" s="59"/>
      <c r="N6" s="59"/>
      <c r="O6" s="59"/>
      <c r="DS6" s="4" t="str">
        <f>VLOOKUP(Cover!$D$15, Country_list!$B$3:$C$44, 2, 0)</f>
        <v>BE</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tabSelected="1" topLeftCell="A2" zoomScale="90" zoomScaleNormal="90" workbookViewId="0">
      <pane xSplit="3" topLeftCell="J1" activePane="topRight" state="frozen"/>
      <selection activeCell="DS1" sqref="DS1:ED1048576"/>
      <selection pane="topRight" activeCell="L6" sqref="L6:L18"/>
    </sheetView>
  </sheetViews>
  <sheetFormatPr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11</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91"/>
      <c r="C6" s="8" t="s">
        <v>14</v>
      </c>
      <c r="D6" s="55"/>
      <c r="E6" s="56"/>
      <c r="F6" s="56"/>
      <c r="G6" s="56"/>
      <c r="H6" s="56"/>
      <c r="I6" s="56"/>
      <c r="J6" s="56">
        <v>0</v>
      </c>
      <c r="K6" s="56">
        <v>0</v>
      </c>
      <c r="L6" s="56">
        <v>0</v>
      </c>
      <c r="M6" s="56"/>
      <c r="N6" s="56"/>
      <c r="O6" s="56"/>
      <c r="DS6" s="4" t="str">
        <f>VLOOKUP(Cover!$D$15, Country_list!$B$3:$C$44, 2, 0)</f>
        <v>BE</v>
      </c>
      <c r="DT6" s="32" t="s">
        <v>289</v>
      </c>
      <c r="DV6" s="32" t="s">
        <v>307</v>
      </c>
      <c r="EB6" s="32" t="s">
        <v>291</v>
      </c>
      <c r="ED6" s="32" t="s">
        <v>294</v>
      </c>
    </row>
    <row r="7" spans="1:134" ht="24" customHeight="1" x14ac:dyDescent="0.25">
      <c r="A7" s="156" t="s">
        <v>15</v>
      </c>
      <c r="B7" s="192"/>
      <c r="C7" s="9" t="s">
        <v>25</v>
      </c>
      <c r="D7" s="57"/>
      <c r="E7" s="54"/>
      <c r="F7" s="54"/>
      <c r="G7" s="54"/>
      <c r="H7" s="54"/>
      <c r="I7" s="54"/>
      <c r="J7" s="54">
        <v>0</v>
      </c>
      <c r="K7" s="54">
        <v>0</v>
      </c>
      <c r="L7" s="54">
        <v>0</v>
      </c>
      <c r="M7" s="54"/>
      <c r="N7" s="54"/>
      <c r="O7" s="54"/>
      <c r="DT7" s="32" t="s">
        <v>290</v>
      </c>
      <c r="EB7" s="32" t="s">
        <v>291</v>
      </c>
      <c r="ED7" s="32" t="s">
        <v>295</v>
      </c>
    </row>
    <row r="8" spans="1:134" ht="24" customHeight="1" x14ac:dyDescent="0.25">
      <c r="A8" s="156" t="s">
        <v>29</v>
      </c>
      <c r="B8" s="192"/>
      <c r="C8" s="9" t="s">
        <v>17</v>
      </c>
      <c r="D8" s="57"/>
      <c r="E8" s="54"/>
      <c r="F8" s="54"/>
      <c r="G8" s="54"/>
      <c r="H8" s="54"/>
      <c r="I8" s="54"/>
      <c r="J8" s="54">
        <v>0</v>
      </c>
      <c r="K8" s="54">
        <v>0</v>
      </c>
      <c r="L8" s="54">
        <v>0</v>
      </c>
      <c r="M8" s="54"/>
      <c r="N8" s="54"/>
      <c r="O8" s="54"/>
      <c r="DT8" s="32" t="s">
        <v>231</v>
      </c>
      <c r="EB8" s="32" t="s">
        <v>291</v>
      </c>
      <c r="ED8" s="32" t="s">
        <v>296</v>
      </c>
    </row>
    <row r="9" spans="1:134" ht="24" customHeight="1" x14ac:dyDescent="0.25">
      <c r="A9" s="156" t="s">
        <v>156</v>
      </c>
      <c r="B9" s="180"/>
      <c r="C9" s="9" t="s">
        <v>19</v>
      </c>
      <c r="D9" s="57"/>
      <c r="E9" s="54"/>
      <c r="F9" s="54"/>
      <c r="G9" s="54"/>
      <c r="H9" s="54"/>
      <c r="I9" s="54"/>
      <c r="J9" s="54">
        <v>0</v>
      </c>
      <c r="K9" s="54">
        <v>0</v>
      </c>
      <c r="L9" s="54">
        <v>0</v>
      </c>
      <c r="M9" s="54"/>
      <c r="N9" s="54"/>
      <c r="O9" s="54"/>
      <c r="DT9" s="32" t="s">
        <v>279</v>
      </c>
      <c r="EB9" s="32" t="s">
        <v>292</v>
      </c>
      <c r="ED9" s="32" t="s">
        <v>293</v>
      </c>
    </row>
    <row r="10" spans="1:134" ht="24" customHeight="1" x14ac:dyDescent="0.25">
      <c r="A10" s="156" t="s">
        <v>20</v>
      </c>
      <c r="B10" s="180"/>
      <c r="C10" s="9" t="s">
        <v>19</v>
      </c>
      <c r="D10" s="57"/>
      <c r="E10" s="54"/>
      <c r="F10" s="54"/>
      <c r="G10" s="54"/>
      <c r="H10" s="54"/>
      <c r="I10" s="54"/>
      <c r="J10" s="54">
        <v>23.2</v>
      </c>
      <c r="K10" s="54">
        <v>23.2</v>
      </c>
      <c r="L10" s="54">
        <v>23.4</v>
      </c>
      <c r="M10" s="54"/>
      <c r="N10" s="54"/>
      <c r="O10" s="54"/>
      <c r="DT10" s="32" t="s">
        <v>280</v>
      </c>
      <c r="EB10" s="32" t="s">
        <v>292</v>
      </c>
      <c r="ED10" s="32" t="s">
        <v>293</v>
      </c>
    </row>
    <row r="11" spans="1:134" s="33" customFormat="1" ht="15" customHeight="1" x14ac:dyDescent="0.25">
      <c r="A11" s="155" t="s">
        <v>18</v>
      </c>
      <c r="B11" s="102" t="s">
        <v>21</v>
      </c>
      <c r="C11" s="103" t="s">
        <v>19</v>
      </c>
      <c r="D11" s="104"/>
      <c r="E11" s="105"/>
      <c r="F11" s="105"/>
      <c r="G11" s="105"/>
      <c r="H11" s="105"/>
      <c r="I11" s="105"/>
      <c r="J11" s="105">
        <v>0</v>
      </c>
      <c r="K11" s="105">
        <v>0</v>
      </c>
      <c r="L11" s="105">
        <v>0</v>
      </c>
      <c r="M11" s="105"/>
      <c r="N11" s="105"/>
      <c r="O11" s="105"/>
      <c r="DT11" s="33" t="s">
        <v>281</v>
      </c>
      <c r="EB11" s="33" t="s">
        <v>292</v>
      </c>
      <c r="ED11" s="33" t="s">
        <v>293</v>
      </c>
    </row>
    <row r="12" spans="1:134" s="33" customFormat="1" ht="15" customHeight="1" x14ac:dyDescent="0.25">
      <c r="A12" s="155"/>
      <c r="B12" s="102" t="s">
        <v>22</v>
      </c>
      <c r="C12" s="103" t="s">
        <v>19</v>
      </c>
      <c r="D12" s="104"/>
      <c r="E12" s="105"/>
      <c r="F12" s="105"/>
      <c r="G12" s="105"/>
      <c r="H12" s="105"/>
      <c r="I12" s="105"/>
      <c r="J12" s="105">
        <v>0</v>
      </c>
      <c r="K12" s="105">
        <v>0</v>
      </c>
      <c r="L12" s="105">
        <v>0</v>
      </c>
      <c r="M12" s="105"/>
      <c r="N12" s="105"/>
      <c r="O12" s="105"/>
      <c r="DT12" s="33" t="s">
        <v>282</v>
      </c>
      <c r="EB12" s="33" t="s">
        <v>292</v>
      </c>
      <c r="ED12" s="33" t="s">
        <v>293</v>
      </c>
    </row>
    <row r="13" spans="1:134" s="33" customFormat="1" ht="15" customHeight="1" x14ac:dyDescent="0.25">
      <c r="A13" s="155"/>
      <c r="B13" s="102" t="s">
        <v>23</v>
      </c>
      <c r="C13" s="103" t="s">
        <v>19</v>
      </c>
      <c r="D13" s="104"/>
      <c r="E13" s="105"/>
      <c r="F13" s="105"/>
      <c r="G13" s="105"/>
      <c r="H13" s="105"/>
      <c r="I13" s="105"/>
      <c r="J13" s="105">
        <v>0</v>
      </c>
      <c r="K13" s="105">
        <v>0</v>
      </c>
      <c r="L13" s="105">
        <v>0</v>
      </c>
      <c r="M13" s="105"/>
      <c r="N13" s="105"/>
      <c r="O13" s="105"/>
      <c r="DT13" s="33" t="s">
        <v>283</v>
      </c>
      <c r="EB13" s="33" t="s">
        <v>292</v>
      </c>
      <c r="ED13" s="33" t="s">
        <v>293</v>
      </c>
    </row>
    <row r="14" spans="1:134" ht="24" customHeight="1" x14ac:dyDescent="0.25">
      <c r="A14" s="156" t="s">
        <v>24</v>
      </c>
      <c r="B14" s="180"/>
      <c r="C14" s="9" t="s">
        <v>25</v>
      </c>
      <c r="D14" s="57"/>
      <c r="E14" s="54"/>
      <c r="F14" s="54"/>
      <c r="G14" s="54"/>
      <c r="H14" s="54"/>
      <c r="I14" s="54"/>
      <c r="J14" s="54">
        <v>234.4</v>
      </c>
      <c r="K14" s="54">
        <v>234.4</v>
      </c>
      <c r="L14" s="54">
        <v>234.4</v>
      </c>
      <c r="M14" s="54"/>
      <c r="N14" s="54"/>
      <c r="O14" s="54"/>
      <c r="DT14" s="32" t="s">
        <v>284</v>
      </c>
      <c r="EB14" s="32" t="s">
        <v>291</v>
      </c>
      <c r="ED14" s="32" t="s">
        <v>295</v>
      </c>
    </row>
    <row r="15" spans="1:134" s="33" customFormat="1" ht="15" customHeight="1" x14ac:dyDescent="0.25">
      <c r="A15" s="186" t="s">
        <v>18</v>
      </c>
      <c r="B15" s="102" t="s">
        <v>26</v>
      </c>
      <c r="C15" s="103" t="s">
        <v>25</v>
      </c>
      <c r="D15" s="104"/>
      <c r="E15" s="105"/>
      <c r="F15" s="105"/>
      <c r="G15" s="105"/>
      <c r="H15" s="105"/>
      <c r="I15" s="105"/>
      <c r="J15" s="105">
        <v>0</v>
      </c>
      <c r="K15" s="105">
        <v>0</v>
      </c>
      <c r="L15" s="105">
        <v>0</v>
      </c>
      <c r="M15" s="105"/>
      <c r="N15" s="105"/>
      <c r="O15" s="105"/>
      <c r="DT15" s="33" t="s">
        <v>285</v>
      </c>
      <c r="EB15" s="33" t="s">
        <v>291</v>
      </c>
      <c r="ED15" s="33" t="s">
        <v>295</v>
      </c>
    </row>
    <row r="16" spans="1:134" s="33" customFormat="1" ht="15" customHeight="1" x14ac:dyDescent="0.25">
      <c r="A16" s="187"/>
      <c r="B16" s="102" t="s">
        <v>27</v>
      </c>
      <c r="C16" s="103" t="s">
        <v>25</v>
      </c>
      <c r="D16" s="104"/>
      <c r="E16" s="105"/>
      <c r="F16" s="105"/>
      <c r="G16" s="105"/>
      <c r="H16" s="105"/>
      <c r="I16" s="105"/>
      <c r="J16" s="105">
        <v>0</v>
      </c>
      <c r="K16" s="105">
        <v>0</v>
      </c>
      <c r="L16" s="105">
        <v>0</v>
      </c>
      <c r="M16" s="105"/>
      <c r="N16" s="105"/>
      <c r="O16" s="105"/>
      <c r="DT16" s="33" t="s">
        <v>286</v>
      </c>
      <c r="EB16" s="33" t="s">
        <v>291</v>
      </c>
      <c r="ED16" s="33" t="s">
        <v>295</v>
      </c>
    </row>
    <row r="17" spans="1:134" s="33" customFormat="1" ht="15" customHeight="1" x14ac:dyDescent="0.25">
      <c r="A17" s="187"/>
      <c r="B17" s="102" t="s">
        <v>28</v>
      </c>
      <c r="C17" s="103" t="s">
        <v>25</v>
      </c>
      <c r="D17" s="104"/>
      <c r="E17" s="105"/>
      <c r="F17" s="105"/>
      <c r="G17" s="105"/>
      <c r="H17" s="105"/>
      <c r="I17" s="105"/>
      <c r="J17" s="105">
        <v>0</v>
      </c>
      <c r="K17" s="105">
        <v>0</v>
      </c>
      <c r="L17" s="105">
        <v>0</v>
      </c>
      <c r="M17" s="105"/>
      <c r="N17" s="105"/>
      <c r="O17" s="105"/>
      <c r="DT17" s="33" t="s">
        <v>287</v>
      </c>
      <c r="EB17" s="33" t="s">
        <v>291</v>
      </c>
      <c r="ED17" s="33" t="s">
        <v>295</v>
      </c>
    </row>
    <row r="18" spans="1:134" s="33" customFormat="1" ht="15" customHeight="1" x14ac:dyDescent="0.25">
      <c r="A18" s="188"/>
      <c r="B18" s="102" t="s">
        <v>185</v>
      </c>
      <c r="C18" s="103" t="s">
        <v>25</v>
      </c>
      <c r="D18" s="104"/>
      <c r="E18" s="105"/>
      <c r="F18" s="105"/>
      <c r="G18" s="105"/>
      <c r="H18" s="105"/>
      <c r="I18" s="105"/>
      <c r="J18" s="105">
        <v>0</v>
      </c>
      <c r="K18" s="105">
        <v>0</v>
      </c>
      <c r="L18" s="105">
        <v>0</v>
      </c>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193" t="s">
        <v>44</v>
      </c>
      <c r="C3" s="194"/>
      <c r="D3" s="195"/>
    </row>
    <row r="4" spans="2:4" ht="15.75" thickBot="1" x14ac:dyDescent="0.3"/>
    <row r="5" spans="2:4" ht="15" customHeight="1" x14ac:dyDescent="0.25">
      <c r="B5" s="38"/>
      <c r="C5" s="196" t="s">
        <v>315</v>
      </c>
      <c r="D5" s="90"/>
    </row>
    <row r="6" spans="2:4" x14ac:dyDescent="0.25">
      <c r="B6" s="39"/>
      <c r="C6" s="197"/>
      <c r="D6" s="40"/>
    </row>
    <row r="7" spans="2:4" x14ac:dyDescent="0.25">
      <c r="B7" s="39"/>
      <c r="C7" s="197"/>
      <c r="D7" s="40"/>
    </row>
    <row r="8" spans="2:4" x14ac:dyDescent="0.25">
      <c r="B8" s="39"/>
      <c r="C8" s="197"/>
      <c r="D8" s="40"/>
    </row>
    <row r="9" spans="2:4" x14ac:dyDescent="0.25">
      <c r="B9" s="39"/>
      <c r="C9" s="197"/>
      <c r="D9" s="40"/>
    </row>
    <row r="10" spans="2:4" x14ac:dyDescent="0.25">
      <c r="B10" s="39"/>
      <c r="C10" s="197"/>
      <c r="D10" s="40"/>
    </row>
    <row r="11" spans="2:4" x14ac:dyDescent="0.25">
      <c r="B11" s="39"/>
      <c r="C11" s="197"/>
      <c r="D11" s="40"/>
    </row>
    <row r="12" spans="2:4" x14ac:dyDescent="0.25">
      <c r="B12" s="39"/>
      <c r="C12" s="197"/>
      <c r="D12" s="40"/>
    </row>
    <row r="13" spans="2:4" x14ac:dyDescent="0.25">
      <c r="B13" s="39"/>
      <c r="C13" s="197"/>
      <c r="D13" s="40"/>
    </row>
    <row r="14" spans="2:4" x14ac:dyDescent="0.25">
      <c r="B14" s="39"/>
      <c r="C14" s="197"/>
      <c r="D14" s="40"/>
    </row>
    <row r="15" spans="2:4" x14ac:dyDescent="0.25">
      <c r="B15" s="39"/>
      <c r="C15" s="197"/>
      <c r="D15" s="40"/>
    </row>
    <row r="16" spans="2:4" x14ac:dyDescent="0.25">
      <c r="B16" s="39"/>
      <c r="C16" s="197"/>
      <c r="D16" s="40"/>
    </row>
    <row r="17" spans="2:4" x14ac:dyDescent="0.25">
      <c r="B17" s="39"/>
      <c r="C17" s="197"/>
      <c r="D17" s="40"/>
    </row>
    <row r="18" spans="2:4" x14ac:dyDescent="0.25">
      <c r="B18" s="39"/>
      <c r="C18" s="197"/>
      <c r="D18" s="40"/>
    </row>
    <row r="19" spans="2:4" x14ac:dyDescent="0.25">
      <c r="B19" s="39"/>
      <c r="C19" s="197"/>
      <c r="D19" s="40"/>
    </row>
    <row r="20" spans="2:4" x14ac:dyDescent="0.25">
      <c r="B20" s="39"/>
      <c r="C20" s="197"/>
      <c r="D20" s="40"/>
    </row>
    <row r="21" spans="2:4" x14ac:dyDescent="0.25">
      <c r="B21" s="39"/>
      <c r="C21" s="197"/>
      <c r="D21" s="40"/>
    </row>
    <row r="22" spans="2:4" x14ac:dyDescent="0.25">
      <c r="B22" s="39"/>
      <c r="C22" s="197"/>
      <c r="D22" s="40"/>
    </row>
    <row r="23" spans="2:4" x14ac:dyDescent="0.25">
      <c r="B23" s="39"/>
      <c r="C23" s="197"/>
      <c r="D23" s="40"/>
    </row>
    <row r="24" spans="2:4" x14ac:dyDescent="0.25">
      <c r="B24" s="39"/>
      <c r="C24" s="197"/>
      <c r="D24" s="40"/>
    </row>
    <row r="25" spans="2:4" x14ac:dyDescent="0.25">
      <c r="B25" s="39"/>
      <c r="C25" s="197"/>
      <c r="D25" s="40"/>
    </row>
    <row r="26" spans="2:4" x14ac:dyDescent="0.25">
      <c r="B26" s="39"/>
      <c r="C26" s="197"/>
      <c r="D26" s="40"/>
    </row>
    <row r="27" spans="2:4" x14ac:dyDescent="0.25">
      <c r="B27" s="39"/>
      <c r="C27" s="197"/>
      <c r="D27" s="40"/>
    </row>
    <row r="28" spans="2:4" x14ac:dyDescent="0.25">
      <c r="B28" s="39"/>
      <c r="C28" s="197"/>
      <c r="D28" s="40"/>
    </row>
    <row r="29" spans="2:4" x14ac:dyDescent="0.25">
      <c r="B29" s="39"/>
      <c r="C29" s="197"/>
      <c r="D29" s="40"/>
    </row>
    <row r="30" spans="2:4" x14ac:dyDescent="0.25">
      <c r="B30" s="39"/>
      <c r="C30" s="197"/>
      <c r="D30" s="40"/>
    </row>
    <row r="31" spans="2:4" x14ac:dyDescent="0.25">
      <c r="B31" s="39"/>
      <c r="C31" s="197"/>
      <c r="D31" s="40"/>
    </row>
    <row r="32" spans="2:4" x14ac:dyDescent="0.25">
      <c r="B32" s="39"/>
      <c r="C32" s="197"/>
      <c r="D32" s="40"/>
    </row>
    <row r="33" spans="2:4" x14ac:dyDescent="0.25">
      <c r="B33" s="39"/>
      <c r="C33" s="197"/>
      <c r="D33" s="40"/>
    </row>
    <row r="34" spans="2:4" x14ac:dyDescent="0.25">
      <c r="B34" s="39"/>
      <c r="C34" s="197"/>
      <c r="D34" s="40"/>
    </row>
    <row r="35" spans="2:4" x14ac:dyDescent="0.25">
      <c r="B35" s="39"/>
      <c r="C35" s="197"/>
      <c r="D35" s="40"/>
    </row>
    <row r="36" spans="2:4" x14ac:dyDescent="0.25">
      <c r="B36" s="39"/>
      <c r="C36" s="197"/>
      <c r="D36" s="40"/>
    </row>
    <row r="37" spans="2:4" x14ac:dyDescent="0.25">
      <c r="B37" s="39"/>
      <c r="C37" s="197"/>
      <c r="D37" s="40"/>
    </row>
    <row r="38" spans="2:4" x14ac:dyDescent="0.25">
      <c r="B38" s="39"/>
      <c r="C38" s="197"/>
      <c r="D38" s="40"/>
    </row>
    <row r="39" spans="2:4" x14ac:dyDescent="0.25">
      <c r="B39" s="39"/>
      <c r="C39" s="197"/>
      <c r="D39" s="40"/>
    </row>
    <row r="40" spans="2:4" x14ac:dyDescent="0.25">
      <c r="B40" s="39"/>
      <c r="C40" s="197"/>
      <c r="D40" s="40"/>
    </row>
    <row r="41" spans="2:4" x14ac:dyDescent="0.25">
      <c r="B41" s="39"/>
      <c r="C41" s="197"/>
      <c r="D41" s="40"/>
    </row>
    <row r="42" spans="2:4" x14ac:dyDescent="0.25">
      <c r="B42" s="39"/>
      <c r="C42" s="197"/>
      <c r="D42" s="40"/>
    </row>
    <row r="43" spans="2:4" ht="15.75" thickBot="1" x14ac:dyDescent="0.3">
      <c r="B43" s="41"/>
      <c r="C43" s="198"/>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defaultColWidth="8.8554687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topLeftCell="A2" zoomScale="90" zoomScaleNormal="90" workbookViewId="0">
      <selection activeCell="I7" sqref="I7:K46"/>
    </sheetView>
  </sheetViews>
  <sheetFormatPr defaultColWidth="8.85546875" defaultRowHeight="15" x14ac:dyDescent="0.25"/>
  <cols>
    <col min="1" max="1" width="18.7109375" customWidth="1"/>
    <col min="2" max="2" width="123.7109375" customWidth="1"/>
    <col min="3" max="14" width="9.140625" style="91"/>
  </cols>
  <sheetData>
    <row r="1" spans="1:14" ht="15.75" x14ac:dyDescent="0.25">
      <c r="A1" s="97" t="s">
        <v>170</v>
      </c>
    </row>
    <row r="4" spans="1:14" ht="15.75" x14ac:dyDescent="0.25">
      <c r="B4" s="98" t="s">
        <v>149</v>
      </c>
      <c r="C4" s="99" t="b">
        <f>COUNTIF(C7:J46, FALSE) = 0</f>
        <v>1</v>
      </c>
    </row>
    <row r="6" spans="1:14" x14ac:dyDescent="0.25">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25">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25">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25">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25">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25">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25">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25">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25">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25">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25">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25">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25">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25">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25">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25">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25">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25">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25">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25">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25">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25">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25">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25">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25">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25">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25">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25">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25">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25">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25">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25">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25">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25">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25">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25">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25">
      <c r="A42" t="s">
        <v>158</v>
      </c>
      <c r="B42" t="s">
        <v>173</v>
      </c>
      <c r="C42" s="91" t="str">
        <f>IF(Calorific_Values!D9&lt;&gt;0,IF(AND(5000&lt;=Calorific_Values!D9,Calorific_Values!D9&lt;=30000),"TRUE","FALSE"),"")</f>
        <v/>
      </c>
      <c r="D42" s="91" t="str">
        <f>IF(Calorific_Values!E9&lt;&gt;0,IF(AND(5000&lt;=Calorific_Values!E9,Calorific_Values!E9&lt;=30000),"TRUE","FALSE"),"")</f>
        <v/>
      </c>
      <c r="E42" s="91" t="str">
        <f>IF(Calorific_Values!F9&lt;&gt;0,IF(AND(5000&lt;=Calorific_Values!F9,Calorific_Values!F9&lt;=30000),"TRUE","FALSE"),"")</f>
        <v/>
      </c>
      <c r="F42" s="91" t="str">
        <f>IF(Calorific_Values!G9&lt;&gt;0,IF(AND(5000&lt;=Calorific_Values!G9,Calorific_Values!G9&lt;=30000),"TRUE","FALSE"),"")</f>
        <v/>
      </c>
      <c r="G42" s="91" t="str">
        <f>IF(Calorific_Values!H9&lt;&gt;0,IF(AND(5000&lt;=Calorific_Values!H9,Calorific_Values!H9&lt;=30000),"TRUE","FALSE"),"")</f>
        <v/>
      </c>
      <c r="H42" s="91" t="str">
        <f>IF(Calorific_Values!I9&lt;&gt;0,IF(AND(5000&lt;=Calorific_Values!I9,Calorific_Values!I9&lt;=30000),"TRUE","FALSE"),"")</f>
        <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25">
      <c r="A43" t="s">
        <v>158</v>
      </c>
      <c r="B43" t="s">
        <v>174</v>
      </c>
      <c r="C43" s="91" t="str">
        <f>IF(Calorific_Values!D10&lt;&gt;0,IF(AND(40000&lt;=Calorific_Values!D10,Calorific_Values!D10&lt;=50000),"TRUE","FALSE"),"")</f>
        <v/>
      </c>
      <c r="D43" s="91" t="str">
        <f>IF(Calorific_Values!E10&lt;&gt;0,IF(AND(40000&lt;=Calorific_Values!E10,Calorific_Values!E10&lt;=50000),"TRUE","FALSE"),"")</f>
        <v/>
      </c>
      <c r="E43" s="91" t="str">
        <f>IF(Calorific_Values!F10&lt;&gt;0,IF(AND(40000&lt;=Calorific_Values!F10,Calorific_Values!F10&lt;=50000),"TRUE","FALSE"),"")</f>
        <v/>
      </c>
      <c r="F43" s="91" t="str">
        <f>IF(Calorific_Values!G10&lt;&gt;0,IF(AND(40000&lt;=Calorific_Values!G10,Calorific_Values!G10&lt;=50000),"TRUE","FALSE"),"")</f>
        <v/>
      </c>
      <c r="G43" s="91" t="str">
        <f>IF(Calorific_Values!H10&lt;&gt;0,IF(AND(40000&lt;=Calorific_Values!H10,Calorific_Values!H10&lt;=50000),"TRUE","FALSE"),"")</f>
        <v/>
      </c>
      <c r="H43" s="91" t="str">
        <f>IF(Calorific_Values!I10&lt;&gt;0,IF(AND(40000&lt;=Calorific_Values!I10,Calorific_Values!I10&lt;=50000),"TRUE","FALSE"),"")</f>
        <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25">
      <c r="A44" t="s">
        <v>158</v>
      </c>
      <c r="B44" t="s">
        <v>175</v>
      </c>
      <c r="C44" s="91" t="str">
        <f>IF(Calorific_Values!D11&lt;&gt;0,IF(AND(40000&lt;=Calorific_Values!D11,Calorific_Values!D11&lt;=50000),"TRUE","FALSE"),"")</f>
        <v/>
      </c>
      <c r="D44" s="91" t="str">
        <f>IF(Calorific_Values!E11&lt;&gt;0,IF(AND(40000&lt;=Calorific_Values!E11,Calorific_Values!E11&lt;=50000),"TRUE","FALSE"),"")</f>
        <v/>
      </c>
      <c r="E44" s="91" t="str">
        <f>IF(Calorific_Values!F11&lt;&gt;0,IF(AND(40000&lt;=Calorific_Values!F11,Calorific_Values!F11&lt;=50000),"TRUE","FALSE"),"")</f>
        <v/>
      </c>
      <c r="F44" s="91" t="str">
        <f>IF(Calorific_Values!G11&lt;&gt;0,IF(AND(40000&lt;=Calorific_Values!G11,Calorific_Values!G11&lt;=50000),"TRUE","FALSE"),"")</f>
        <v/>
      </c>
      <c r="G44" s="91" t="str">
        <f>IF(Calorific_Values!H11&lt;&gt;0,IF(AND(40000&lt;=Calorific_Values!H11,Calorific_Values!H11&lt;=50000),"TRUE","FALSE"),"")</f>
        <v/>
      </c>
      <c r="H44" s="91" t="str">
        <f>IF(Calorific_Values!I11&lt;&gt;0,IF(AND(40000&lt;=Calorific_Values!I11,Calorific_Values!I11&lt;=50000),"TRUE","FALSE"),"")</f>
        <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25">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TRUE</v>
      </c>
      <c r="J45" s="91" t="str">
        <f>IF(Calorific_Values!K12&lt;&gt;0,IF(AND(40000&lt;=Calorific_Values!K12,Calorific_Values!K12&lt;=45000),"TRUE","FALSE"),"")</f>
        <v>TRUE</v>
      </c>
      <c r="K45" s="91" t="str">
        <f>IF(Calorific_Values!L12&lt;&gt;0,IF(AND(40000&lt;=Calorific_Values!L12,Calorific_Values!L12&lt;=45000),"TRUE","FALSE"),"")</f>
        <v>TRUE</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25">
      <c r="A46" t="s">
        <v>158</v>
      </c>
      <c r="B46" t="s">
        <v>177</v>
      </c>
      <c r="C46" s="91" t="str">
        <f>IF(Calorific_Values!D13&lt;&gt;0,IF(AND(40000&lt;=Calorific_Values!D13,Calorific_Values!D13&lt;=45000),"TRUE","FALSE"),"")</f>
        <v/>
      </c>
      <c r="D46" s="91" t="str">
        <f>IF(Calorific_Values!E13&lt;&gt;0,IF(AND(40000&lt;=Calorific_Values!E13,Calorific_Values!E13&lt;=45000),"TRUE","FALSE"),"")</f>
        <v/>
      </c>
      <c r="E46" s="91" t="str">
        <f>IF(Calorific_Values!F13&lt;&gt;0,IF(AND(40000&lt;=Calorific_Values!F13,Calorific_Values!F13&lt;=45000),"TRUE","FALSE"),"")</f>
        <v/>
      </c>
      <c r="F46" s="91" t="str">
        <f>IF(Calorific_Values!G13&lt;&gt;0,IF(AND(40000&lt;=Calorific_Values!G13,Calorific_Values!G13&lt;=45000),"TRUE","FALSE"),"")</f>
        <v/>
      </c>
      <c r="G46" s="91" t="str">
        <f>IF(Calorific_Values!H13&lt;&gt;0,IF(AND(40000&lt;=Calorific_Values!H13,Calorific_Values!H13&lt;=45000),"TRUE","FALSE"),"")</f>
        <v/>
      </c>
      <c r="H46" s="91" t="str">
        <f>IF(Calorific_Values!I13&lt;&gt;0,IF(AND(40000&lt;=Calorific_Values!I13,Calorific_Values!I13&lt;=45000),"TRUE","FALSE"),"")</f>
        <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28" customWidth="1"/>
    <col min="2" max="2" width="27.85546875" style="128" customWidth="1"/>
    <col min="3" max="3" width="9.140625" style="128" customWidth="1"/>
    <col min="4" max="52" width="9.140625" style="128"/>
    <col min="53" max="156" width="9.140625" style="128" customWidth="1"/>
    <col min="157" max="16384" width="9.140625" style="128"/>
  </cols>
  <sheetData>
    <row r="1" spans="1:2" x14ac:dyDescent="0.2">
      <c r="A1" s="127" t="s">
        <v>187</v>
      </c>
      <c r="B1" s="127" t="s">
        <v>188</v>
      </c>
    </row>
    <row r="2" spans="1:2" x14ac:dyDescent="0.2">
      <c r="A2" s="129" t="s">
        <v>158</v>
      </c>
      <c r="B2" s="129" t="s">
        <v>189</v>
      </c>
    </row>
    <row r="3" spans="1:2" x14ac:dyDescent="0.2">
      <c r="A3" s="129" t="s">
        <v>152</v>
      </c>
      <c r="B3" s="129" t="s">
        <v>189</v>
      </c>
    </row>
    <row r="4" spans="1:2" x14ac:dyDescent="0.2">
      <c r="A4" s="129" t="s">
        <v>169</v>
      </c>
      <c r="B4" s="129" t="s">
        <v>189</v>
      </c>
    </row>
    <row r="5" spans="1:2" x14ac:dyDescent="0.2">
      <c r="A5" s="129" t="s">
        <v>153</v>
      </c>
      <c r="B5" s="129" t="s">
        <v>189</v>
      </c>
    </row>
    <row r="6" spans="1:2" x14ac:dyDescent="0.2">
      <c r="A6" s="129" t="s">
        <v>154</v>
      </c>
      <c r="B6" s="129" t="s">
        <v>189</v>
      </c>
    </row>
    <row r="7" spans="1:2" x14ac:dyDescent="0.2">
      <c r="A7" s="129" t="s">
        <v>228</v>
      </c>
      <c r="B7" s="129" t="s">
        <v>189</v>
      </c>
    </row>
    <row r="8" spans="1:2" x14ac:dyDescent="0.2">
      <c r="A8" s="129" t="s">
        <v>155</v>
      </c>
      <c r="B8" s="129"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defaultColWidth="9" defaultRowHeight="12.75" x14ac:dyDescent="0.2"/>
  <cols>
    <col min="1" max="1" width="22" style="128" customWidth="1"/>
    <col min="2" max="3" width="9" style="128" customWidth="1"/>
    <col min="4" max="5" width="9" style="128"/>
    <col min="6" max="6" width="25.28515625" style="128" customWidth="1"/>
    <col min="7" max="52" width="9" style="128"/>
    <col min="53" max="156" width="9" style="128" customWidth="1"/>
    <col min="157" max="16384" width="9" style="128"/>
  </cols>
  <sheetData>
    <row r="1" spans="1:7" ht="15" x14ac:dyDescent="0.25">
      <c r="A1" s="130" t="s">
        <v>190</v>
      </c>
      <c r="B1" s="130" t="s">
        <v>191</v>
      </c>
      <c r="C1" s="130" t="s">
        <v>192</v>
      </c>
      <c r="D1" s="130" t="s">
        <v>193</v>
      </c>
      <c r="E1" s="131"/>
      <c r="F1" s="130" t="s">
        <v>194</v>
      </c>
      <c r="G1" s="136" t="s">
        <v>233</v>
      </c>
    </row>
    <row r="2" spans="1:7" ht="15" x14ac:dyDescent="0.25">
      <c r="A2" s="131" t="s">
        <v>195</v>
      </c>
      <c r="B2" s="131" t="s">
        <v>196</v>
      </c>
      <c r="C2" s="131" t="s">
        <v>197</v>
      </c>
      <c r="D2" s="137" t="s">
        <v>278</v>
      </c>
      <c r="E2" s="131"/>
      <c r="F2" s="130" t="s">
        <v>198</v>
      </c>
      <c r="G2" s="136" t="s">
        <v>234</v>
      </c>
    </row>
    <row r="3" spans="1:7" ht="15" x14ac:dyDescent="0.25">
      <c r="A3" s="131" t="s">
        <v>199</v>
      </c>
      <c r="B3" s="131" t="s">
        <v>196</v>
      </c>
      <c r="C3" s="131" t="s">
        <v>197</v>
      </c>
      <c r="D3" s="131" t="s">
        <v>200</v>
      </c>
      <c r="E3" s="131"/>
      <c r="F3" s="130" t="s">
        <v>201</v>
      </c>
      <c r="G3" s="132" t="s">
        <v>202</v>
      </c>
    </row>
    <row r="4" spans="1:7" ht="15" x14ac:dyDescent="0.25">
      <c r="A4" s="131" t="s">
        <v>203</v>
      </c>
      <c r="B4" s="131" t="s">
        <v>196</v>
      </c>
      <c r="C4" s="137" t="s">
        <v>235</v>
      </c>
      <c r="D4" s="137" t="s">
        <v>236</v>
      </c>
      <c r="E4" s="131"/>
      <c r="F4" s="130"/>
      <c r="G4" s="133"/>
    </row>
    <row r="5" spans="1:7" ht="15" x14ac:dyDescent="0.25">
      <c r="A5" s="131" t="s">
        <v>205</v>
      </c>
      <c r="B5" s="131" t="s">
        <v>196</v>
      </c>
      <c r="C5" s="131" t="s">
        <v>204</v>
      </c>
      <c r="D5" s="131" t="s">
        <v>206</v>
      </c>
      <c r="E5" s="131"/>
      <c r="F5" s="127"/>
      <c r="G5" s="134"/>
    </row>
    <row r="6" spans="1:7" ht="15" x14ac:dyDescent="0.25">
      <c r="A6" s="131" t="s">
        <v>207</v>
      </c>
      <c r="B6" s="131" t="s">
        <v>196</v>
      </c>
      <c r="C6" s="137" t="s">
        <v>197</v>
      </c>
      <c r="D6" s="137" t="s">
        <v>297</v>
      </c>
      <c r="E6" s="131"/>
      <c r="F6" s="130"/>
      <c r="G6" s="133"/>
    </row>
    <row r="7" spans="1:7" ht="15" x14ac:dyDescent="0.25">
      <c r="A7" s="131" t="s">
        <v>208</v>
      </c>
      <c r="B7" s="131" t="s">
        <v>196</v>
      </c>
      <c r="C7" s="137" t="s">
        <v>235</v>
      </c>
      <c r="D7" s="137" t="s">
        <v>299</v>
      </c>
      <c r="E7" s="131"/>
      <c r="F7" s="130"/>
      <c r="G7" s="133"/>
    </row>
    <row r="8" spans="1:7" ht="15" x14ac:dyDescent="0.25">
      <c r="A8" s="131" t="s">
        <v>209</v>
      </c>
      <c r="B8" s="131" t="s">
        <v>196</v>
      </c>
      <c r="C8" s="137" t="s">
        <v>197</v>
      </c>
      <c r="D8" s="137" t="s">
        <v>232</v>
      </c>
      <c r="E8" s="131"/>
      <c r="F8" s="130"/>
      <c r="G8" s="133"/>
    </row>
    <row r="9" spans="1:7" ht="15" x14ac:dyDescent="0.25">
      <c r="A9" s="131" t="s">
        <v>210</v>
      </c>
      <c r="B9" s="131" t="s">
        <v>196</v>
      </c>
      <c r="C9" s="137" t="s">
        <v>197</v>
      </c>
      <c r="D9" s="137" t="s">
        <v>232</v>
      </c>
      <c r="E9" s="131"/>
      <c r="F9" s="130"/>
      <c r="G9" s="133"/>
    </row>
    <row r="10" spans="1:7" ht="15" x14ac:dyDescent="0.25">
      <c r="A10" s="131" t="s">
        <v>211</v>
      </c>
      <c r="B10" s="131" t="s">
        <v>196</v>
      </c>
      <c r="C10" s="137" t="s">
        <v>197</v>
      </c>
      <c r="D10" s="137" t="s">
        <v>232</v>
      </c>
      <c r="E10" s="131"/>
      <c r="F10" s="130"/>
      <c r="G10" s="133"/>
    </row>
    <row r="11" spans="1:7" ht="15" x14ac:dyDescent="0.25">
      <c r="A11" s="131" t="s">
        <v>212</v>
      </c>
      <c r="B11" s="131" t="s">
        <v>196</v>
      </c>
      <c r="C11" s="137" t="s">
        <v>197</v>
      </c>
      <c r="D11" s="137" t="s">
        <v>232</v>
      </c>
      <c r="E11" s="131"/>
      <c r="F11" s="130"/>
      <c r="G11" s="133"/>
    </row>
    <row r="12" spans="1:7" ht="15" x14ac:dyDescent="0.25">
      <c r="A12" s="131" t="s">
        <v>213</v>
      </c>
      <c r="B12" s="131" t="s">
        <v>196</v>
      </c>
      <c r="C12" s="137" t="s">
        <v>197</v>
      </c>
      <c r="D12" s="137" t="s">
        <v>232</v>
      </c>
      <c r="E12" s="131"/>
      <c r="F12" s="130"/>
      <c r="G12" s="133"/>
    </row>
    <row r="13" spans="1:7" ht="15" x14ac:dyDescent="0.25">
      <c r="A13" s="131" t="s">
        <v>214</v>
      </c>
      <c r="B13" s="131" t="s">
        <v>196</v>
      </c>
      <c r="C13" s="131" t="s">
        <v>204</v>
      </c>
      <c r="D13" s="131" t="s">
        <v>215</v>
      </c>
      <c r="E13" s="131"/>
      <c r="F13" s="130"/>
      <c r="G13" s="133"/>
    </row>
    <row r="14" spans="1:7" ht="15" x14ac:dyDescent="0.25">
      <c r="A14" s="131" t="s">
        <v>216</v>
      </c>
      <c r="B14" s="131" t="s">
        <v>196</v>
      </c>
      <c r="C14" s="131" t="s">
        <v>217</v>
      </c>
      <c r="D14" s="131">
        <v>5</v>
      </c>
      <c r="E14" s="131"/>
      <c r="F14" s="130"/>
      <c r="G14" s="133"/>
    </row>
    <row r="15" spans="1:7" ht="15" x14ac:dyDescent="0.25">
      <c r="A15" s="131" t="s">
        <v>218</v>
      </c>
      <c r="B15" s="131" t="s">
        <v>196</v>
      </c>
      <c r="C15" s="137" t="s">
        <v>197</v>
      </c>
      <c r="D15" s="137" t="s">
        <v>232</v>
      </c>
      <c r="E15" s="131"/>
      <c r="F15" s="130"/>
      <c r="G15" s="133"/>
    </row>
    <row r="16" spans="1:7" ht="15" x14ac:dyDescent="0.25">
      <c r="A16" s="131" t="s">
        <v>219</v>
      </c>
      <c r="B16" s="131" t="s">
        <v>220</v>
      </c>
      <c r="C16" s="131" t="s">
        <v>204</v>
      </c>
      <c r="D16" s="131" t="s">
        <v>221</v>
      </c>
      <c r="E16" s="131"/>
      <c r="F16" s="130"/>
      <c r="G16" s="133"/>
    </row>
    <row r="17" spans="1:7" ht="15" x14ac:dyDescent="0.25">
      <c r="A17" s="131" t="s">
        <v>222</v>
      </c>
      <c r="B17" s="131" t="s">
        <v>220</v>
      </c>
      <c r="C17" s="131" t="s">
        <v>223</v>
      </c>
      <c r="D17" s="131"/>
      <c r="E17" s="131"/>
      <c r="F17" s="130"/>
      <c r="G17" s="133"/>
    </row>
    <row r="18" spans="1:7" ht="15" x14ac:dyDescent="0.25">
      <c r="A18" s="131" t="s">
        <v>224</v>
      </c>
      <c r="B18" s="131" t="s">
        <v>220</v>
      </c>
      <c r="C18" s="131" t="s">
        <v>223</v>
      </c>
      <c r="D18" s="131"/>
      <c r="E18" s="131"/>
      <c r="F18" s="130"/>
      <c r="G18" s="133"/>
    </row>
    <row r="19" spans="1:7" ht="15" x14ac:dyDescent="0.25">
      <c r="A19" s="131" t="s">
        <v>225</v>
      </c>
      <c r="B19" s="131" t="s">
        <v>220</v>
      </c>
      <c r="C19" s="131" t="s">
        <v>223</v>
      </c>
      <c r="D19" s="131"/>
      <c r="E19" s="131"/>
      <c r="F19" s="130"/>
      <c r="G19" s="133"/>
    </row>
    <row r="20" spans="1:7" ht="15" x14ac:dyDescent="0.25">
      <c r="A20" s="131" t="s">
        <v>226</v>
      </c>
      <c r="B20" s="131" t="s">
        <v>220</v>
      </c>
      <c r="C20" s="131" t="s">
        <v>223</v>
      </c>
      <c r="D20" s="131"/>
      <c r="E20" s="131"/>
      <c r="F20" s="130"/>
      <c r="G20" s="133"/>
    </row>
    <row r="21" spans="1:7" ht="15" x14ac:dyDescent="0.25">
      <c r="A21" s="131" t="s">
        <v>227</v>
      </c>
      <c r="B21" s="131" t="s">
        <v>220</v>
      </c>
      <c r="C21" s="131" t="s">
        <v>223</v>
      </c>
      <c r="D21" s="131"/>
      <c r="E21" s="131"/>
      <c r="F21" s="130"/>
      <c r="G21" s="133"/>
    </row>
    <row r="22" spans="1:7" x14ac:dyDescent="0.2">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Christiane Kobalt</cp:lastModifiedBy>
  <cp:lastPrinted>2017-09-15T13:51:39Z</cp:lastPrinted>
  <dcterms:created xsi:type="dcterms:W3CDTF">2014-09-17T09:30:01Z</dcterms:created>
  <dcterms:modified xsi:type="dcterms:W3CDTF">2023-08-22T15:53:59Z</dcterms:modified>
  <cp:category>Annual questionnaires</cp:category>
</cp:coreProperties>
</file>