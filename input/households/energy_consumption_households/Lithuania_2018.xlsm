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U:\Energy\Data\ESH\2018-ref_year\received data\FINAL DATA\"/>
    </mc:Choice>
  </mc:AlternateContent>
  <bookViews>
    <workbookView xWindow="480" yWindow="435" windowWidth="20580" windowHeight="11640" tabRatio="872"/>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62913"/>
  <customWorkbookViews>
    <customWorkbookView name="FETIE Cristian (ESTAT) - Personal View" guid="{B79E7212-8DD5-488D-8E68-A79B69F231E2}" mergeInterval="0" personalView="1" maximized="1" windowWidth="1916" windowHeight="775" tabRatio="853" activeSheetId="9"/>
  </customWorkbookViews>
</workbook>
</file>

<file path=xl/calcChain.xml><?xml version="1.0" encoding="utf-8"?>
<calcChain xmlns="http://schemas.openxmlformats.org/spreadsheetml/2006/main">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J17" i="5"/>
  <c r="G17" i="5"/>
  <c r="E17" i="5"/>
  <c r="H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3" i="5"/>
  <c r="K12" i="5"/>
  <c r="K11"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E6" i="5"/>
  <c r="E12" i="5"/>
  <c r="J11" i="5"/>
  <c r="H16" i="5"/>
  <c r="E13" i="5"/>
  <c r="G7" i="5"/>
  <c r="H15" i="5"/>
  <c r="H18" i="5"/>
  <c r="G13" i="5"/>
  <c r="H7" i="5"/>
  <c r="J8" i="5"/>
  <c r="H11" i="5"/>
  <c r="E15" i="5"/>
  <c r="J13" i="5"/>
  <c r="J12" i="5"/>
  <c r="K9" i="5"/>
  <c r="E9" i="5"/>
  <c r="I6" i="5"/>
  <c r="H6" i="5"/>
  <c r="E11" i="5"/>
  <c r="J7" i="5"/>
  <c r="H8" i="5"/>
  <c r="G9" i="5"/>
  <c r="J18" i="5"/>
  <c r="G14" i="5"/>
  <c r="G15" i="5"/>
  <c r="E14" i="5"/>
  <c r="F6" i="5"/>
  <c r="G11" i="5"/>
  <c r="G18" i="5"/>
  <c r="J14" i="5"/>
  <c r="H12" i="5"/>
  <c r="G6" i="5"/>
  <c r="J15" i="5"/>
  <c r="G8" i="5"/>
  <c r="J10" i="5"/>
  <c r="J6" i="5"/>
  <c r="H10" i="5"/>
  <c r="E7" i="5"/>
  <c r="E18" i="5"/>
  <c r="H13" i="5"/>
  <c r="E16" i="5"/>
  <c r="G12" i="5"/>
  <c r="J16" i="5"/>
  <c r="H9" i="5"/>
  <c r="H14" i="5"/>
  <c r="G10" i="5"/>
  <c r="E8" i="5"/>
  <c r="G16" i="5"/>
  <c r="J9"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<sst xmlns="http://schemas.openxmlformats.org/spreadsheetml/2006/main" count="952" uniqueCount="315">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</sst>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sz val="11"/>
      <color theme="1"/>
      <name val="Calibri"/>
      <family val="2"/>
      <scheme val="minor"/>
    </font>
    <font>
      <b/>
      <sz val="12"/>
      <color rgb="FF000000"/>
      <name val="Calibri"/>
      <family val="2"/>
    </font>
    <font>
      <b/>
      <i/>
      <sz val="11"/>
      <color rgb="FF000000"/>
      <name val="Calibri"/>
      <family val="2"/>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7" fillId="0" borderId="0"/>
  </cellStyleXfs>
  <cellXfs count="217">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1" fillId="0" borderId="4" xfId="0" applyFont="1" applyBorder="1" applyAlignment="1">
      <alignment vertical="center"/>
    </xf>
    <xf numFmtId="0" fontId="42" fillId="0" borderId="4" xfId="0" applyFont="1" applyBorder="1" applyAlignment="1">
      <alignment vertical="center"/>
    </xf>
    <xf numFmtId="165" fontId="21" fillId="0" borderId="0" xfId="0" applyNumberFormat="1" applyFont="1" applyBorder="1" applyAlignment="1">
      <alignment vertical="center"/>
    </xf>
    <xf numFmtId="0" fontId="44" fillId="0" borderId="0" xfId="0" applyFont="1"/>
    <xf numFmtId="0" fontId="45" fillId="0" borderId="0" xfId="0" applyFont="1" applyAlignment="1">
      <alignment horizontal="center"/>
    </xf>
    <xf numFmtId="0" fontId="34" fillId="0" borderId="0" xfId="0" applyFont="1"/>
    <xf numFmtId="0" fontId="46"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3"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7" fillId="12" borderId="27" xfId="11" applyFill="1" applyBorder="1"/>
    <xf numFmtId="0" fontId="47" fillId="0" borderId="27" xfId="11" applyFill="1" applyBorder="1"/>
    <xf numFmtId="0" fontId="47" fillId="0" borderId="27" xfId="11" applyFont="1" applyFill="1" applyBorder="1"/>
    <xf numFmtId="0" fontId="47" fillId="12" borderId="27" xfId="11" applyFont="1" applyFill="1" applyBorder="1"/>
    <xf numFmtId="49" fontId="47" fillId="0" borderId="27" xfId="11" applyNumberFormat="1" applyFont="1" applyFill="1" applyBorder="1" applyAlignment="1">
      <alignment horizontal="center" vertical="center"/>
    </xf>
    <xf numFmtId="0" fontId="47"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49" fontId="13" fillId="5" borderId="21" xfId="2" applyNumberForma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cellStyle name="Hyperlink" xfId="2" builtinId="8"/>
    <cellStyle name="Normal" xfId="0" builtinId="0"/>
    <cellStyle name="Normal 10 2" xfId="10"/>
    <cellStyle name="Normal 10 2 2 5" xfId="11"/>
    <cellStyle name="Normal 2" xfId="3"/>
    <cellStyle name="Normal 2 2" xfId="4"/>
    <cellStyle name="Normal 3" xfId="5"/>
    <cellStyle name="Normal 4" xfId="6"/>
    <cellStyle name="Normal_Oilques" xfId="7"/>
    <cellStyle name="NumberCellStyle" xfId="8"/>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57150</xdr:rowOff>
        </xdr:from>
        <xdr:to>
          <xdr:col>1</xdr:col>
          <xdr:colOff>1028700</xdr:colOff>
          <xdr:row>21</xdr:row>
          <xdr:rowOff>47625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57150</xdr:rowOff>
        </xdr:from>
        <xdr:to>
          <xdr:col>1</xdr:col>
          <xdr:colOff>1028700</xdr:colOff>
          <xdr:row>21</xdr:row>
          <xdr:rowOff>38100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tabSelected="1" topLeftCell="A15" zoomScale="90" zoomScaleNormal="90" workbookViewId="0">
      <selection activeCell="C23" sqref="C23:D23"/>
    </sheetView>
  </sheetViews>
  <sheetFormatPr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58" t="s">
        <v>144</v>
      </c>
      <c r="B13" s="158"/>
      <c r="C13" s="158"/>
      <c r="D13" s="158"/>
      <c r="E13" s="158"/>
    </row>
    <row r="14" spans="1:5" ht="15" customHeight="1" thickBot="1" x14ac:dyDescent="0.3">
      <c r="A14" s="23"/>
      <c r="B14" s="24"/>
      <c r="C14" s="24"/>
      <c r="D14" s="24"/>
      <c r="E14" s="24"/>
    </row>
    <row r="15" spans="1:5" ht="21" customHeight="1" thickBot="1" x14ac:dyDescent="0.3">
      <c r="A15" s="23"/>
      <c r="B15" s="23"/>
      <c r="C15" s="51" t="s">
        <v>32</v>
      </c>
      <c r="D15" s="56" t="s">
        <v>60</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59"/>
      <c r="D19" s="160"/>
      <c r="E19" s="23"/>
    </row>
    <row r="20" spans="1:5" ht="15" customHeight="1" thickBot="1" x14ac:dyDescent="0.3">
      <c r="A20" s="23"/>
      <c r="B20" s="27"/>
      <c r="C20" s="24"/>
      <c r="D20" s="24"/>
      <c r="E20" s="23"/>
    </row>
    <row r="21" spans="1:5" ht="21" customHeight="1" thickBot="1" x14ac:dyDescent="0.3">
      <c r="A21" s="23"/>
      <c r="B21" s="27" t="s">
        <v>35</v>
      </c>
      <c r="C21" s="161"/>
      <c r="D21" s="160"/>
      <c r="E21" s="23"/>
    </row>
    <row r="22" spans="1:5" ht="15" customHeight="1" thickBot="1" x14ac:dyDescent="0.3">
      <c r="A22" s="23"/>
      <c r="B22" s="27"/>
      <c r="C22" s="24"/>
      <c r="D22" s="24"/>
      <c r="E22" s="23"/>
    </row>
    <row r="23" spans="1:5" ht="21" customHeight="1" thickBot="1" x14ac:dyDescent="0.3">
      <c r="A23" s="23"/>
      <c r="B23" s="27" t="s">
        <v>36</v>
      </c>
      <c r="C23" s="159"/>
      <c r="D23" s="160"/>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57" t="s">
        <v>142</v>
      </c>
      <c r="B37" s="157"/>
      <c r="C37" s="157"/>
      <c r="D37" s="157"/>
      <c r="E37" s="157"/>
    </row>
    <row r="38" spans="1:5" ht="15" customHeight="1" x14ac:dyDescent="0.25">
      <c r="A38" s="53"/>
      <c r="B38" s="53"/>
      <c r="C38" s="53"/>
      <c r="D38" s="53"/>
      <c r="E38" s="53"/>
    </row>
    <row r="39" spans="1:5" ht="21" customHeight="1" x14ac:dyDescent="0.25">
      <c r="A39" s="157" t="s">
        <v>39</v>
      </c>
      <c r="B39" s="157"/>
      <c r="C39" s="157"/>
      <c r="D39" s="157"/>
      <c r="E39" s="157"/>
    </row>
    <row r="40" spans="1:5" ht="45" customHeight="1" x14ac:dyDescent="0.25">
      <c r="A40" s="157" t="s">
        <v>148</v>
      </c>
      <c r="B40" s="157"/>
      <c r="C40" s="157"/>
      <c r="D40" s="157"/>
      <c r="E40" s="157"/>
    </row>
    <row r="41" spans="1:5" ht="21" customHeight="1" x14ac:dyDescent="0.25">
      <c r="A41" s="53"/>
      <c r="B41" s="51" t="s">
        <v>34</v>
      </c>
      <c r="C41" s="54" t="s">
        <v>40</v>
      </c>
      <c r="D41" s="54"/>
      <c r="E41" s="54"/>
    </row>
    <row r="42" spans="1:5" ht="21" customHeight="1" x14ac:dyDescent="0.25">
      <c r="A42" s="53"/>
      <c r="B42" s="51" t="s">
        <v>37</v>
      </c>
      <c r="C42" s="156" t="s">
        <v>314</v>
      </c>
      <c r="D42" s="54"/>
      <c r="E42" s="54"/>
    </row>
    <row r="43" spans="1:5" ht="21" customHeight="1" x14ac:dyDescent="0.25">
      <c r="A43" s="53"/>
      <c r="B43" s="51" t="s">
        <v>38</v>
      </c>
      <c r="C43" s="55" t="s">
        <v>41</v>
      </c>
      <c r="D43" s="54"/>
      <c r="E43" s="54"/>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START">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zoomScale="90" zoomScaleNormal="90" workbookViewId="0"/>
  </sheetViews>
  <sheetFormatPr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62" t="s">
        <v>145</v>
      </c>
      <c r="C2" s="163"/>
    </row>
    <row r="3" spans="2:3" ht="9.75" customHeight="1" x14ac:dyDescent="0.25">
      <c r="B3" s="64"/>
      <c r="C3" s="65"/>
    </row>
    <row r="4" spans="2:3" ht="36" customHeight="1" x14ac:dyDescent="0.25">
      <c r="B4" s="164" t="s">
        <v>82</v>
      </c>
      <c r="C4" s="66" t="s">
        <v>83</v>
      </c>
    </row>
    <row r="5" spans="2:3" ht="36" customHeight="1" x14ac:dyDescent="0.25">
      <c r="B5" s="165"/>
      <c r="C5" s="67" t="s">
        <v>134</v>
      </c>
    </row>
    <row r="6" spans="2:3" ht="36" customHeight="1" x14ac:dyDescent="0.25">
      <c r="B6" s="165"/>
      <c r="C6" s="67" t="s">
        <v>146</v>
      </c>
    </row>
    <row r="7" spans="2:3" ht="45" customHeight="1" x14ac:dyDescent="0.25">
      <c r="B7" s="166"/>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67" t="s">
        <v>29</v>
      </c>
      <c r="C15" s="67" t="s">
        <v>312</v>
      </c>
    </row>
    <row r="16" spans="2:3" ht="63" customHeight="1" x14ac:dyDescent="0.25">
      <c r="B16" s="168"/>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69" t="s">
        <v>115</v>
      </c>
      <c r="C31" s="67" t="s">
        <v>311</v>
      </c>
    </row>
    <row r="32" spans="2:3" ht="105" customHeight="1" x14ac:dyDescent="0.25">
      <c r="B32" s="170"/>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69" t="s">
        <v>117</v>
      </c>
      <c r="C41" s="67" t="s">
        <v>127</v>
      </c>
    </row>
    <row r="42" spans="1:3" ht="59.25" customHeight="1" x14ac:dyDescent="0.25">
      <c r="B42" s="170"/>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1"/>
      <c r="C45" s="67"/>
    </row>
    <row r="46" spans="1:3" ht="42" customHeight="1" x14ac:dyDescent="0.25">
      <c r="B46" s="131"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D19"/>
  <sheetViews>
    <sheetView showGridLines="0" zoomScale="90" zoomScaleNormal="90" workbookViewId="0">
      <pane xSplit="3" topLeftCell="E1" activePane="topRight" state="frozen"/>
      <selection activeCell="DS1" sqref="DS1:ED1048576"/>
      <selection pane="topRight" activeCell="O39" sqref="O39"/>
    </sheetView>
  </sheetViews>
  <sheetFormatPr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1" t="s">
        <v>0</v>
      </c>
      <c r="B1" s="172"/>
      <c r="C1" s="20"/>
      <c r="D1" s="1"/>
      <c r="E1" s="2"/>
      <c r="F1" s="2"/>
      <c r="G1" s="2"/>
      <c r="H1" s="2"/>
      <c r="I1" s="2"/>
      <c r="J1" s="2"/>
      <c r="K1" s="2"/>
      <c r="L1" s="2"/>
      <c r="M1" s="2"/>
      <c r="N1" s="2"/>
      <c r="O1" s="2"/>
    </row>
    <row r="2" spans="1:134" ht="18" customHeight="1" x14ac:dyDescent="0.25">
      <c r="A2" s="173"/>
      <c r="B2" s="174"/>
      <c r="C2" s="1"/>
      <c r="D2" s="1"/>
      <c r="E2" s="5"/>
      <c r="F2" s="3"/>
      <c r="G2" s="3"/>
      <c r="H2" s="3"/>
      <c r="I2" s="3"/>
      <c r="J2" s="3"/>
      <c r="K2" s="3"/>
      <c r="L2" s="3"/>
      <c r="M2" s="3"/>
      <c r="N2" s="3"/>
      <c r="O2" s="3"/>
    </row>
    <row r="3" spans="1:134" ht="18" customHeight="1" x14ac:dyDescent="0.3">
      <c r="A3" s="175" t="s">
        <v>12</v>
      </c>
      <c r="B3" s="176"/>
      <c r="C3" s="1"/>
      <c r="D3" s="1"/>
      <c r="E3" s="5"/>
      <c r="F3" s="3"/>
      <c r="G3" s="3"/>
      <c r="H3" s="3"/>
      <c r="I3" s="3"/>
      <c r="J3" s="3"/>
      <c r="K3" s="3"/>
      <c r="L3" s="3"/>
      <c r="M3" s="3"/>
      <c r="N3" s="3"/>
      <c r="O3" s="3"/>
      <c r="DS3" s="4" t="s">
        <v>229</v>
      </c>
    </row>
    <row r="4" spans="1:134" ht="18" customHeight="1" x14ac:dyDescent="0.25">
      <c r="A4" s="177"/>
      <c r="B4" s="174"/>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78"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81"/>
      <c r="C6" s="47"/>
      <c r="D6" s="48"/>
      <c r="E6" s="49"/>
      <c r="F6" s="49"/>
      <c r="G6" s="49"/>
      <c r="H6" s="49"/>
      <c r="I6" s="49"/>
      <c r="J6" s="49"/>
      <c r="K6" s="49"/>
      <c r="L6" s="49"/>
      <c r="M6" s="49"/>
      <c r="N6" s="49"/>
      <c r="O6" s="49"/>
      <c r="DS6" s="4" t="str">
        <f>VLOOKUP(Cover!$D$15, Country_list!$B$3:$C$44, 2, 0)</f>
        <v>LT</v>
      </c>
      <c r="DV6" s="4" t="s">
        <v>298</v>
      </c>
    </row>
    <row r="7" spans="1:134" ht="24" customHeight="1" x14ac:dyDescent="0.2">
      <c r="A7" s="183" t="s">
        <v>15</v>
      </c>
      <c r="B7" s="184"/>
      <c r="C7" s="45"/>
      <c r="D7" s="15"/>
      <c r="E7" s="46"/>
      <c r="F7" s="46"/>
      <c r="G7" s="46"/>
      <c r="H7" s="46"/>
      <c r="I7" s="46"/>
      <c r="J7" s="46"/>
      <c r="K7" s="46"/>
      <c r="L7" s="46"/>
      <c r="M7" s="46"/>
      <c r="N7" s="46"/>
      <c r="O7" s="46"/>
    </row>
    <row r="8" spans="1:134" ht="24" customHeight="1" x14ac:dyDescent="0.2">
      <c r="A8" s="183" t="s">
        <v>29</v>
      </c>
      <c r="B8" s="184"/>
      <c r="C8" s="45"/>
      <c r="D8" s="15"/>
      <c r="E8" s="46"/>
      <c r="F8" s="46"/>
      <c r="G8" s="46"/>
      <c r="H8" s="46"/>
      <c r="I8" s="46"/>
      <c r="J8" s="46"/>
      <c r="K8" s="46"/>
      <c r="L8" s="46"/>
      <c r="M8" s="46"/>
      <c r="N8" s="46"/>
      <c r="O8" s="46"/>
    </row>
    <row r="9" spans="1:134" ht="24" customHeight="1" x14ac:dyDescent="0.2">
      <c r="A9" s="183" t="s">
        <v>156</v>
      </c>
      <c r="B9" s="184"/>
      <c r="C9" s="9" t="s">
        <v>132</v>
      </c>
      <c r="D9" s="93"/>
      <c r="E9" s="94"/>
      <c r="F9" s="94"/>
      <c r="G9" s="94"/>
      <c r="H9" s="94"/>
      <c r="I9" s="94"/>
      <c r="J9" s="94"/>
      <c r="K9" s="94">
        <v>20143</v>
      </c>
      <c r="L9" s="94">
        <v>19729</v>
      </c>
      <c r="M9" s="94"/>
      <c r="N9" s="94"/>
      <c r="O9" s="94"/>
      <c r="DT9" s="4" t="s">
        <v>279</v>
      </c>
      <c r="EB9" s="4" t="s">
        <v>300</v>
      </c>
      <c r="ED9" s="4" t="s">
        <v>301</v>
      </c>
    </row>
    <row r="10" spans="1:134" ht="24" customHeight="1" x14ac:dyDescent="0.2">
      <c r="A10" s="183" t="s">
        <v>20</v>
      </c>
      <c r="B10" s="184"/>
      <c r="C10" s="9" t="s">
        <v>132</v>
      </c>
      <c r="D10" s="93"/>
      <c r="E10" s="94"/>
      <c r="F10" s="94"/>
      <c r="G10" s="94"/>
      <c r="H10" s="94"/>
      <c r="I10" s="94"/>
      <c r="J10" s="94"/>
      <c r="K10" s="94">
        <v>44700</v>
      </c>
      <c r="L10" s="94">
        <v>44637</v>
      </c>
      <c r="M10" s="94"/>
      <c r="N10" s="94"/>
      <c r="O10" s="94"/>
      <c r="DT10" s="4" t="s">
        <v>280</v>
      </c>
      <c r="EB10" s="4" t="s">
        <v>300</v>
      </c>
      <c r="ED10" s="4" t="s">
        <v>301</v>
      </c>
    </row>
    <row r="11" spans="1:134" s="13" customFormat="1" ht="15" customHeight="1" x14ac:dyDescent="0.2">
      <c r="A11" s="182" t="s">
        <v>18</v>
      </c>
      <c r="B11" s="110" t="s">
        <v>21</v>
      </c>
      <c r="C11" s="111" t="s">
        <v>132</v>
      </c>
      <c r="D11" s="115"/>
      <c r="E11" s="115"/>
      <c r="F11" s="116"/>
      <c r="G11" s="116"/>
      <c r="H11" s="116"/>
      <c r="I11" s="116"/>
      <c r="J11" s="116"/>
      <c r="K11" s="116">
        <v>45770</v>
      </c>
      <c r="L11" s="116">
        <v>45812</v>
      </c>
      <c r="M11" s="116"/>
      <c r="N11" s="116"/>
      <c r="O11" s="116"/>
      <c r="DT11" s="13" t="s">
        <v>281</v>
      </c>
      <c r="EB11" s="13" t="s">
        <v>300</v>
      </c>
      <c r="ED11" s="13" t="s">
        <v>301</v>
      </c>
    </row>
    <row r="12" spans="1:134" s="13" customFormat="1" ht="15" customHeight="1" x14ac:dyDescent="0.2">
      <c r="A12" s="182"/>
      <c r="B12" s="110" t="s">
        <v>22</v>
      </c>
      <c r="C12" s="111" t="s">
        <v>132</v>
      </c>
      <c r="D12" s="115"/>
      <c r="E12" s="115"/>
      <c r="F12" s="115"/>
      <c r="G12" s="115"/>
      <c r="H12" s="115"/>
      <c r="I12" s="115"/>
      <c r="J12" s="115"/>
      <c r="K12" s="115"/>
      <c r="L12" s="115"/>
      <c r="M12" s="115"/>
      <c r="N12" s="115"/>
      <c r="O12" s="115"/>
      <c r="DT12" s="13" t="s">
        <v>282</v>
      </c>
      <c r="EB12" s="13" t="s">
        <v>300</v>
      </c>
      <c r="ED12" s="13" t="s">
        <v>301</v>
      </c>
    </row>
    <row r="13" spans="1:134" s="13" customFormat="1" ht="15" customHeight="1" x14ac:dyDescent="0.2">
      <c r="A13" s="182"/>
      <c r="B13" s="110" t="s">
        <v>23</v>
      </c>
      <c r="C13" s="111" t="s">
        <v>132</v>
      </c>
      <c r="D13" s="115"/>
      <c r="E13" s="115"/>
      <c r="F13" s="115"/>
      <c r="G13" s="115"/>
      <c r="H13" s="115"/>
      <c r="I13" s="115"/>
      <c r="J13" s="115"/>
      <c r="K13" s="115">
        <v>42796</v>
      </c>
      <c r="L13" s="115">
        <v>42903</v>
      </c>
      <c r="M13" s="115"/>
      <c r="N13" s="115"/>
      <c r="O13" s="115"/>
      <c r="DT13" s="13" t="s">
        <v>283</v>
      </c>
      <c r="EB13" s="13" t="s">
        <v>300</v>
      </c>
      <c r="ED13" s="13" t="s">
        <v>301</v>
      </c>
    </row>
    <row r="14" spans="1:134" ht="24" customHeight="1" x14ac:dyDescent="0.2">
      <c r="A14" s="183" t="s">
        <v>24</v>
      </c>
      <c r="B14" s="184"/>
      <c r="C14" s="45"/>
      <c r="D14" s="15"/>
      <c r="E14" s="46"/>
      <c r="F14" s="46"/>
      <c r="G14" s="46"/>
      <c r="H14" s="46"/>
      <c r="I14" s="46"/>
      <c r="J14" s="46"/>
      <c r="K14" s="46"/>
      <c r="L14" s="46"/>
      <c r="M14" s="46"/>
      <c r="N14" s="46"/>
      <c r="O14" s="46"/>
    </row>
    <row r="15" spans="1:134" s="13" customFormat="1" ht="15" customHeight="1" x14ac:dyDescent="0.2">
      <c r="A15" s="182" t="s">
        <v>18</v>
      </c>
      <c r="B15" s="110" t="s">
        <v>26</v>
      </c>
      <c r="C15" s="14"/>
      <c r="D15" s="15"/>
      <c r="E15" s="12"/>
      <c r="F15" s="12"/>
      <c r="G15" s="12"/>
      <c r="H15" s="12"/>
      <c r="I15" s="12"/>
      <c r="J15" s="12"/>
      <c r="K15" s="12"/>
      <c r="L15" s="12"/>
      <c r="M15" s="12"/>
      <c r="N15" s="12"/>
      <c r="O15" s="12"/>
    </row>
    <row r="16" spans="1:134" s="13" customFormat="1" ht="15" customHeight="1" x14ac:dyDescent="0.2">
      <c r="A16" s="182"/>
      <c r="B16" s="110" t="s">
        <v>27</v>
      </c>
      <c r="C16" s="14"/>
      <c r="D16" s="15"/>
      <c r="E16" s="12"/>
      <c r="F16" s="12"/>
      <c r="G16" s="12"/>
      <c r="H16" s="12"/>
      <c r="I16" s="12"/>
      <c r="J16" s="12"/>
      <c r="K16" s="12"/>
      <c r="L16" s="12"/>
      <c r="M16" s="12"/>
      <c r="N16" s="12"/>
      <c r="O16" s="12"/>
    </row>
    <row r="17" spans="1:15" s="13" customFormat="1" ht="15" customHeight="1" x14ac:dyDescent="0.2">
      <c r="A17" s="182"/>
      <c r="B17" s="110" t="s">
        <v>28</v>
      </c>
      <c r="C17" s="14"/>
      <c r="D17" s="15"/>
      <c r="E17" s="12"/>
      <c r="F17" s="12"/>
      <c r="G17" s="12"/>
      <c r="H17" s="12"/>
      <c r="I17" s="12"/>
      <c r="J17" s="12"/>
      <c r="K17" s="12"/>
      <c r="L17" s="12"/>
      <c r="M17" s="12"/>
      <c r="N17" s="12"/>
      <c r="O17" s="12"/>
    </row>
    <row r="18" spans="1:15" s="13" customFormat="1" ht="15" customHeight="1" x14ac:dyDescent="0.2">
      <c r="A18" s="182"/>
      <c r="B18" s="110"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5"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57150</xdr:rowOff>
                  </from>
                  <to>
                    <xdr:col>1</xdr:col>
                    <xdr:colOff>1028700</xdr:colOff>
                    <xdr:row>21</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B38" sqref="B38"/>
    </sheetView>
  </sheetViews>
  <sheetFormatPr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1" t="s">
        <v>0</v>
      </c>
      <c r="B1" s="190"/>
      <c r="C1" s="31"/>
      <c r="D1" s="1"/>
      <c r="E1" s="2"/>
      <c r="F1" s="2"/>
      <c r="G1" s="2"/>
      <c r="H1" s="2"/>
      <c r="I1" s="2"/>
      <c r="J1" s="2"/>
      <c r="K1" s="3"/>
    </row>
    <row r="2" spans="1:11" ht="18" customHeight="1" x14ac:dyDescent="0.25">
      <c r="A2" s="191" t="s">
        <v>1</v>
      </c>
      <c r="B2" s="192"/>
      <c r="C2" s="1" t="str">
        <f>Cover!D15</f>
        <v>Lithuania</v>
      </c>
      <c r="D2" s="1"/>
      <c r="E2" s="5"/>
      <c r="F2" s="3"/>
      <c r="G2" s="3"/>
      <c r="H2" s="3"/>
      <c r="I2" s="3"/>
      <c r="J2" s="3"/>
      <c r="K2" s="3"/>
    </row>
    <row r="3" spans="1:11" ht="18" customHeight="1" x14ac:dyDescent="0.25">
      <c r="A3" s="191" t="s">
        <v>2</v>
      </c>
      <c r="B3" s="193"/>
      <c r="C3" s="114">
        <v>2018</v>
      </c>
      <c r="D3" s="1"/>
      <c r="E3" s="5"/>
      <c r="F3" s="3"/>
      <c r="G3" s="3"/>
      <c r="H3" s="3"/>
      <c r="I3" s="3"/>
      <c r="J3" s="3"/>
      <c r="K3" s="3"/>
    </row>
    <row r="4" spans="1:11" ht="18" customHeight="1" x14ac:dyDescent="0.25">
      <c r="A4" s="194"/>
      <c r="B4" s="195"/>
      <c r="C4" s="31"/>
      <c r="D4" s="1"/>
      <c r="E4" s="5"/>
      <c r="F4" s="3"/>
      <c r="G4" s="3"/>
      <c r="H4" s="3"/>
      <c r="I4" s="3"/>
      <c r="J4" s="3"/>
      <c r="K4" s="3"/>
    </row>
    <row r="5" spans="1:11" ht="37.5" customHeight="1" x14ac:dyDescent="0.25">
      <c r="A5" s="178" t="s">
        <v>3</v>
      </c>
      <c r="B5" s="196"/>
      <c r="C5" s="6" t="s">
        <v>4</v>
      </c>
      <c r="D5" s="7" t="s">
        <v>5</v>
      </c>
      <c r="E5" s="6" t="s">
        <v>6</v>
      </c>
      <c r="F5" s="6" t="s">
        <v>7</v>
      </c>
      <c r="G5" s="6" t="s">
        <v>8</v>
      </c>
      <c r="H5" s="6" t="s">
        <v>9</v>
      </c>
      <c r="I5" s="6" t="s">
        <v>10</v>
      </c>
      <c r="J5" s="6" t="s">
        <v>11</v>
      </c>
      <c r="K5" s="7" t="s">
        <v>12</v>
      </c>
    </row>
    <row r="6" spans="1:11" ht="24" customHeight="1" x14ac:dyDescent="0.25">
      <c r="A6" s="188" t="s">
        <v>13</v>
      </c>
      <c r="B6" s="189"/>
      <c r="C6" s="108" t="s">
        <v>14</v>
      </c>
      <c r="D6" s="120">
        <f ca="1">SUM(E6:J6)</f>
        <v>2984.5</v>
      </c>
      <c r="E6" s="121">
        <f ca="1">INDIRECT(ADDRESS(ROW(K6),$C$3 -2010 + 4,,,"1a_SpaceHeating"))</f>
        <v>161.19999999999999</v>
      </c>
      <c r="F6" s="121">
        <f ca="1">INDIRECT(ADDRESS(ROW(K6),$C$3-2010+4,,,"1b_SpaceCooling"))</f>
        <v>0</v>
      </c>
      <c r="G6" s="121">
        <f ca="1">INDIRECT(ADDRESS(ROW(K6),$C$3-2010+4,,,"1c_WaterHeating"))</f>
        <v>149.19999999999999</v>
      </c>
      <c r="H6" s="121">
        <f ca="1">INDIRECT(ADDRESS(ROW(K6),$C$3-2010+4,,,"1d_Cooking"))</f>
        <v>176.1</v>
      </c>
      <c r="I6" s="121">
        <f ca="1">INDIRECT(ADDRESS(ROW(K6),$C$3-2010+4,,,"1e_LightingAndAppliances"))</f>
        <v>2498</v>
      </c>
      <c r="J6" s="121">
        <f ca="1">INDIRECT(ADDRESS(ROW(K6),$C$3-2010+4,,,"1f_OtherEndUses"))</f>
        <v>0</v>
      </c>
      <c r="K6" s="122"/>
    </row>
    <row r="7" spans="1:11" ht="24" customHeight="1" x14ac:dyDescent="0.25">
      <c r="A7" s="186" t="s">
        <v>15</v>
      </c>
      <c r="B7" s="187"/>
      <c r="C7" s="109" t="s">
        <v>16</v>
      </c>
      <c r="D7" s="123">
        <f t="shared" ref="D7:D16" ca="1" si="0">SUM(E7:J7)</f>
        <v>19763</v>
      </c>
      <c r="E7" s="124">
        <f t="shared" ref="E7:E16" ca="1" si="1">INDIRECT(ADDRESS(ROW(K7),$C$3 -2010 + 4,,,"1a_SpaceHeating"))</f>
        <v>16897</v>
      </c>
      <c r="F7" s="125"/>
      <c r="G7" s="124">
        <f t="shared" ref="G7:G16" ca="1" si="2">INDIRECT(ADDRESS(ROW(K7),$C$3-2010+4,,,"1c_WaterHeating"))</f>
        <v>2866</v>
      </c>
      <c r="H7" s="124">
        <f t="shared" ref="H7:H16" ca="1" si="3">INDIRECT(ADDRESS(ROW(K7),$C$3-2010+4,,,"1d_Cooking"))</f>
        <v>0</v>
      </c>
      <c r="I7" s="125"/>
      <c r="J7" s="124">
        <f t="shared" ref="J7:J17" ca="1" si="4">INDIRECT(ADDRESS(ROW(K7),$C$3-2010+4,,,"1f_OtherEndUses"))</f>
        <v>0</v>
      </c>
      <c r="K7" s="125"/>
    </row>
    <row r="8" spans="1:11" ht="24" customHeight="1" x14ac:dyDescent="0.25">
      <c r="A8" s="186" t="s">
        <v>29</v>
      </c>
      <c r="B8" s="187"/>
      <c r="C8" s="109" t="s">
        <v>17</v>
      </c>
      <c r="D8" s="123">
        <f t="shared" ca="1" si="0"/>
        <v>7665</v>
      </c>
      <c r="E8" s="124">
        <f t="shared" ca="1" si="1"/>
        <v>5050</v>
      </c>
      <c r="F8" s="125"/>
      <c r="G8" s="124">
        <f t="shared" ca="1" si="2"/>
        <v>828</v>
      </c>
      <c r="H8" s="124">
        <f t="shared" ca="1" si="3"/>
        <v>1787</v>
      </c>
      <c r="I8" s="125"/>
      <c r="J8" s="124">
        <f t="shared" ca="1" si="4"/>
        <v>0</v>
      </c>
      <c r="K8" s="125"/>
    </row>
    <row r="9" spans="1:11" ht="24" customHeight="1" x14ac:dyDescent="0.25">
      <c r="A9" s="186" t="s">
        <v>156</v>
      </c>
      <c r="B9" s="187"/>
      <c r="C9" s="109" t="s">
        <v>19</v>
      </c>
      <c r="D9" s="123">
        <f t="shared" ca="1" si="0"/>
        <v>125.4</v>
      </c>
      <c r="E9" s="124">
        <f t="shared" ca="1" si="1"/>
        <v>116.7</v>
      </c>
      <c r="F9" s="125"/>
      <c r="G9" s="124">
        <f t="shared" ca="1" si="2"/>
        <v>7.3</v>
      </c>
      <c r="H9" s="124">
        <f t="shared" ca="1" si="3"/>
        <v>1.4</v>
      </c>
      <c r="I9" s="125"/>
      <c r="J9" s="124">
        <f t="shared" ca="1" si="4"/>
        <v>0</v>
      </c>
      <c r="K9" s="126">
        <f ca="1">INDIRECT(ADDRESS(ROW(K9),$C$3-2010+4,,,"Calorific_Values"))</f>
        <v>19729</v>
      </c>
    </row>
    <row r="10" spans="1:11" ht="24" customHeight="1" x14ac:dyDescent="0.25">
      <c r="A10" s="186" t="s">
        <v>42</v>
      </c>
      <c r="B10" s="187"/>
      <c r="C10" s="109" t="s">
        <v>19</v>
      </c>
      <c r="D10" s="123">
        <f t="shared" ca="1" si="0"/>
        <v>53.7</v>
      </c>
      <c r="E10" s="124">
        <f t="shared" ca="1" si="1"/>
        <v>17.7</v>
      </c>
      <c r="F10" s="125"/>
      <c r="G10" s="124">
        <f t="shared" ca="1" si="2"/>
        <v>5.2</v>
      </c>
      <c r="H10" s="124">
        <f t="shared" ca="1" si="3"/>
        <v>30.8</v>
      </c>
      <c r="I10" s="125"/>
      <c r="J10" s="124">
        <f t="shared" ca="1" si="4"/>
        <v>0</v>
      </c>
      <c r="K10" s="126">
        <f ca="1">INDIRECT(ADDRESS(ROW(K10),$C$3-2010+4,,,"Calorific_Values"))</f>
        <v>44637</v>
      </c>
    </row>
    <row r="11" spans="1:11" s="34" customFormat="1" ht="15" customHeight="1" x14ac:dyDescent="0.25">
      <c r="A11" s="185" t="s">
        <v>18</v>
      </c>
      <c r="B11" s="10" t="s">
        <v>21</v>
      </c>
      <c r="C11" s="11" t="s">
        <v>19</v>
      </c>
      <c r="D11" s="127">
        <f t="shared" ca="1" si="0"/>
        <v>32</v>
      </c>
      <c r="E11" s="128">
        <f t="shared" ca="1" si="1"/>
        <v>1.1000000000000001</v>
      </c>
      <c r="F11" s="129"/>
      <c r="G11" s="128">
        <f t="shared" ca="1" si="2"/>
        <v>0.1</v>
      </c>
      <c r="H11" s="128">
        <f t="shared" ca="1" si="3"/>
        <v>30.8</v>
      </c>
      <c r="I11" s="129"/>
      <c r="J11" s="128">
        <f t="shared" ca="1" si="4"/>
        <v>0</v>
      </c>
      <c r="K11" s="130">
        <f t="shared" ref="K11:K13" ca="1" si="5">INDIRECT(ADDRESS(ROW(K11),$C$3-2010+4,,,"Calorific_Values"))</f>
        <v>45812</v>
      </c>
    </row>
    <row r="12" spans="1:11" s="34" customFormat="1" ht="15" customHeight="1" x14ac:dyDescent="0.25">
      <c r="A12" s="185"/>
      <c r="B12" s="10" t="s">
        <v>22</v>
      </c>
      <c r="C12" s="11" t="s">
        <v>19</v>
      </c>
      <c r="D12" s="127">
        <f t="shared" ca="1" si="0"/>
        <v>0</v>
      </c>
      <c r="E12" s="128">
        <f t="shared" ca="1" si="1"/>
        <v>0</v>
      </c>
      <c r="F12" s="129"/>
      <c r="G12" s="128">
        <f t="shared" ca="1" si="2"/>
        <v>0</v>
      </c>
      <c r="H12" s="128">
        <f t="shared" ca="1" si="3"/>
        <v>0</v>
      </c>
      <c r="I12" s="129"/>
      <c r="J12" s="128">
        <f t="shared" ca="1" si="4"/>
        <v>0</v>
      </c>
      <c r="K12" s="130">
        <f t="shared" ca="1" si="5"/>
        <v>0</v>
      </c>
    </row>
    <row r="13" spans="1:11" s="34" customFormat="1" ht="15" customHeight="1" x14ac:dyDescent="0.25">
      <c r="A13" s="185"/>
      <c r="B13" s="10" t="s">
        <v>23</v>
      </c>
      <c r="C13" s="11" t="s">
        <v>19</v>
      </c>
      <c r="D13" s="127">
        <f t="shared" ca="1" si="0"/>
        <v>21.700000000000003</v>
      </c>
      <c r="E13" s="128">
        <f t="shared" ca="1" si="1"/>
        <v>16.600000000000001</v>
      </c>
      <c r="F13" s="129"/>
      <c r="G13" s="128">
        <f t="shared" ca="1" si="2"/>
        <v>5.0999999999999996</v>
      </c>
      <c r="H13" s="128">
        <f t="shared" ca="1" si="3"/>
        <v>0</v>
      </c>
      <c r="I13" s="129"/>
      <c r="J13" s="128">
        <f t="shared" ca="1" si="4"/>
        <v>0</v>
      </c>
      <c r="K13" s="130">
        <f t="shared" ca="1" si="5"/>
        <v>42903</v>
      </c>
    </row>
    <row r="14" spans="1:11" ht="24" customHeight="1" x14ac:dyDescent="0.25">
      <c r="A14" s="186" t="s">
        <v>43</v>
      </c>
      <c r="B14" s="187"/>
      <c r="C14" s="109" t="s">
        <v>16</v>
      </c>
      <c r="D14" s="123">
        <f t="shared" ca="1" si="0"/>
        <v>20205</v>
      </c>
      <c r="E14" s="124">
        <f t="shared" ca="1" si="1"/>
        <v>18831</v>
      </c>
      <c r="F14" s="125"/>
      <c r="G14" s="124">
        <f t="shared" ca="1" si="2"/>
        <v>1008</v>
      </c>
      <c r="H14" s="124">
        <f t="shared" ca="1" si="3"/>
        <v>366</v>
      </c>
      <c r="I14" s="125"/>
      <c r="J14" s="124">
        <f t="shared" ca="1" si="4"/>
        <v>0</v>
      </c>
      <c r="K14" s="125"/>
    </row>
    <row r="15" spans="1:11" s="34" customFormat="1" ht="15" customHeight="1" x14ac:dyDescent="0.25">
      <c r="A15" s="185" t="s">
        <v>18</v>
      </c>
      <c r="B15" s="10" t="s">
        <v>26</v>
      </c>
      <c r="C15" s="11" t="s">
        <v>16</v>
      </c>
      <c r="D15" s="127">
        <f t="shared" ca="1" si="0"/>
        <v>0</v>
      </c>
      <c r="E15" s="128">
        <f t="shared" ca="1" si="1"/>
        <v>0</v>
      </c>
      <c r="F15" s="129"/>
      <c r="G15" s="128">
        <f t="shared" ca="1" si="2"/>
        <v>0</v>
      </c>
      <c r="H15" s="128">
        <f t="shared" ca="1" si="3"/>
        <v>0</v>
      </c>
      <c r="I15" s="129"/>
      <c r="J15" s="128">
        <f t="shared" ca="1" si="4"/>
        <v>0</v>
      </c>
      <c r="K15" s="129"/>
    </row>
    <row r="16" spans="1:11" s="34" customFormat="1" ht="15" customHeight="1" x14ac:dyDescent="0.25">
      <c r="A16" s="185"/>
      <c r="B16" s="10" t="s">
        <v>27</v>
      </c>
      <c r="C16" s="11" t="s">
        <v>16</v>
      </c>
      <c r="D16" s="127">
        <f t="shared" ca="1" si="0"/>
        <v>19273</v>
      </c>
      <c r="E16" s="128">
        <f t="shared" ca="1" si="1"/>
        <v>18020</v>
      </c>
      <c r="F16" s="129"/>
      <c r="G16" s="128">
        <f t="shared" ca="1" si="2"/>
        <v>887</v>
      </c>
      <c r="H16" s="128">
        <f t="shared" ca="1" si="3"/>
        <v>366</v>
      </c>
      <c r="I16" s="129"/>
      <c r="J16" s="128">
        <f t="shared" ca="1" si="4"/>
        <v>0</v>
      </c>
      <c r="K16" s="129"/>
    </row>
    <row r="17" spans="1:11" s="34" customFormat="1" ht="15" customHeight="1" x14ac:dyDescent="0.25">
      <c r="A17" s="185"/>
      <c r="B17" s="10" t="s">
        <v>28</v>
      </c>
      <c r="C17" s="11" t="s">
        <v>16</v>
      </c>
      <c r="D17" s="127">
        <f t="shared" ref="D17" ca="1" si="6">SUM(E17:J17)</f>
        <v>0</v>
      </c>
      <c r="E17" s="128">
        <f t="shared" ref="E17" ca="1" si="7">INDIRECT(ADDRESS(ROW(K17),$C$3 -2010 + 4,,,"1a_SpaceHeating"))</f>
        <v>0</v>
      </c>
      <c r="F17" s="129"/>
      <c r="G17" s="128">
        <f t="shared" ref="G17" ca="1" si="8">INDIRECT(ADDRESS(ROW(K17),$C$3-2010+4,,,"1c_WaterHeating"))</f>
        <v>0</v>
      </c>
      <c r="H17" s="128">
        <f t="shared" ref="H17" ca="1" si="9">INDIRECT(ADDRESS(ROW(K17),$C$3-2010+4,,,"1d_Cooking"))</f>
        <v>0</v>
      </c>
      <c r="I17" s="129"/>
      <c r="J17" s="128">
        <f t="shared" ca="1" si="4"/>
        <v>0</v>
      </c>
      <c r="K17" s="129"/>
    </row>
    <row r="18" spans="1:11" s="34" customFormat="1" ht="15" customHeight="1" x14ac:dyDescent="0.25">
      <c r="A18" s="185"/>
      <c r="B18" s="34" t="s">
        <v>184</v>
      </c>
      <c r="C18" s="11" t="s">
        <v>16</v>
      </c>
      <c r="D18" s="127">
        <f ca="1">SUM(E18:J18)</f>
        <v>932</v>
      </c>
      <c r="E18" s="128">
        <f ca="1">INDIRECT(ADDRESS(ROW(K18),$C$3 -2010 + 4,,,"1a_SpaceHeating"))</f>
        <v>811</v>
      </c>
      <c r="F18" s="129"/>
      <c r="G18" s="128">
        <f ca="1">INDIRECT(ADDRESS(ROW(K18),$C$3-2010+4,,,"1c_WaterHeating"))</f>
        <v>121</v>
      </c>
      <c r="H18" s="128">
        <f ca="1">INDIRECT(ADDRESS(ROW(K18),$C$3-2010+4,,,"1d_Cooking"))</f>
        <v>0</v>
      </c>
      <c r="I18" s="129"/>
      <c r="J18" s="128">
        <f ca="1">INDIRECT(ADDRESS(ROW(K18),$C$3-2010+4,,,"1f_OtherEndUses"))</f>
        <v>0</v>
      </c>
      <c r="K18" s="129"/>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6:B6"/>
    <mergeCell ref="A1:B1"/>
    <mergeCell ref="A2:B2"/>
    <mergeCell ref="A3:B3"/>
    <mergeCell ref="A4:B4"/>
    <mergeCell ref="A5:B5"/>
    <mergeCell ref="A11:A13"/>
    <mergeCell ref="A14:B14"/>
    <mergeCell ref="A15:A18"/>
    <mergeCell ref="A7:B7"/>
    <mergeCell ref="A8:B8"/>
    <mergeCell ref="A9:B9"/>
    <mergeCell ref="A10:B10"/>
  </mergeCells>
  <printOptions horizontalCentered="1" verticalCentered="1"/>
  <pageMargins left="0.70866141732283472" right="0.70866141732283472" top="0.74803149606299213" bottom="0.74803149606299213" header="0.31496062992125984" footer="0.31496062992125984"/>
  <pageSetup paperSize="9" scale="64" orientation="landscape" horizontalDpi="4294967293" verticalDpi="4294967293"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D16" sqref="D16"/>
    </sheetView>
  </sheetViews>
  <sheetFormatPr defaultColWidth="15.7109375" defaultRowHeight="12" x14ac:dyDescent="0.25"/>
  <cols>
    <col min="1" max="1" width="9.140625" style="98" customWidth="1"/>
    <col min="2" max="2" width="54.7109375" style="98" customWidth="1"/>
    <col min="3" max="3" width="15" style="98" customWidth="1"/>
    <col min="4" max="4" width="18.7109375" style="38" customWidth="1"/>
    <col min="5" max="10" width="15.7109375" style="98" customWidth="1"/>
    <col min="11" max="11" width="12.7109375" style="34" customWidth="1"/>
    <col min="12" max="12" width="9.140625" style="98" customWidth="1"/>
    <col min="13" max="16384" width="15.7109375" style="98"/>
  </cols>
  <sheetData>
    <row r="1" spans="1:11" ht="24" customHeight="1" x14ac:dyDescent="0.25">
      <c r="A1" s="171" t="s">
        <v>0</v>
      </c>
      <c r="B1" s="190"/>
      <c r="C1" s="31"/>
      <c r="D1" s="1"/>
      <c r="E1" s="2"/>
      <c r="F1" s="2"/>
      <c r="G1" s="2"/>
      <c r="H1" s="2"/>
      <c r="I1" s="2"/>
      <c r="J1" s="2"/>
      <c r="K1" s="3"/>
    </row>
    <row r="2" spans="1:11" ht="18" customHeight="1" x14ac:dyDescent="0.25">
      <c r="A2" s="191" t="s">
        <v>1</v>
      </c>
      <c r="B2" s="192"/>
      <c r="C2" s="1" t="str">
        <f>Cover!D15</f>
        <v>Lithuania</v>
      </c>
      <c r="D2" s="1"/>
      <c r="E2" s="5"/>
      <c r="F2" s="3"/>
      <c r="G2" s="3"/>
      <c r="H2" s="3"/>
      <c r="I2" s="3"/>
      <c r="J2" s="3"/>
      <c r="K2" s="3"/>
    </row>
    <row r="3" spans="1:11" ht="18" customHeight="1" x14ac:dyDescent="0.25">
      <c r="A3" s="191" t="s">
        <v>2</v>
      </c>
      <c r="B3" s="192"/>
      <c r="C3" s="1">
        <f>Table1_Totals!C3</f>
        <v>2018</v>
      </c>
      <c r="D3" s="1"/>
      <c r="E3" s="5"/>
      <c r="F3" s="3"/>
      <c r="G3" s="3"/>
      <c r="H3" s="3"/>
      <c r="I3" s="3"/>
      <c r="J3" s="3"/>
      <c r="K3" s="3"/>
    </row>
    <row r="4" spans="1:11" ht="18" customHeight="1" x14ac:dyDescent="0.25">
      <c r="A4" s="194"/>
      <c r="B4" s="195"/>
      <c r="C4" s="31"/>
      <c r="D4" s="1"/>
      <c r="E4" s="5"/>
      <c r="F4" s="3"/>
      <c r="G4" s="3"/>
      <c r="H4" s="3"/>
      <c r="I4" s="3"/>
      <c r="J4" s="3"/>
      <c r="K4" s="3"/>
    </row>
    <row r="5" spans="1:11" ht="37.5" customHeight="1" x14ac:dyDescent="0.25">
      <c r="A5" s="178" t="s">
        <v>3</v>
      </c>
      <c r="B5" s="196"/>
      <c r="C5" s="6" t="s">
        <v>4</v>
      </c>
      <c r="D5" s="7" t="s">
        <v>5</v>
      </c>
      <c r="E5" s="6" t="s">
        <v>6</v>
      </c>
      <c r="F5" s="6" t="s">
        <v>7</v>
      </c>
      <c r="G5" s="6" t="s">
        <v>8</v>
      </c>
      <c r="H5" s="6" t="s">
        <v>9</v>
      </c>
      <c r="I5" s="6" t="s">
        <v>10</v>
      </c>
      <c r="J5" s="6" t="s">
        <v>11</v>
      </c>
      <c r="K5" s="7" t="s">
        <v>12</v>
      </c>
    </row>
    <row r="6" spans="1:11" ht="24" customHeight="1" x14ac:dyDescent="0.25">
      <c r="A6" s="188" t="s">
        <v>13</v>
      </c>
      <c r="B6" s="189"/>
      <c r="C6" s="108" t="s">
        <v>16</v>
      </c>
      <c r="D6" s="120">
        <f ca="1">SUM(E6:J6)</f>
        <v>10744.2</v>
      </c>
      <c r="E6" s="121">
        <f ca="1">Table1_Totals!E6*3.6</f>
        <v>580.31999999999994</v>
      </c>
      <c r="F6" s="121">
        <f ca="1">Table1_Totals!F6*3.6</f>
        <v>0</v>
      </c>
      <c r="G6" s="121">
        <f ca="1">Table1_Totals!G6*3.6</f>
        <v>537.12</v>
      </c>
      <c r="H6" s="121">
        <f ca="1">Table1_Totals!H6*3.6</f>
        <v>633.96</v>
      </c>
      <c r="I6" s="121">
        <f ca="1">Table1_Totals!I6*3.6</f>
        <v>8992.8000000000011</v>
      </c>
      <c r="J6" s="121">
        <f ca="1">Table1_Totals!J6*3.6</f>
        <v>0</v>
      </c>
      <c r="K6" s="122"/>
    </row>
    <row r="7" spans="1:11" ht="24" customHeight="1" x14ac:dyDescent="0.25">
      <c r="A7" s="186" t="s">
        <v>15</v>
      </c>
      <c r="B7" s="187"/>
      <c r="C7" s="109" t="s">
        <v>16</v>
      </c>
      <c r="D7" s="123">
        <f t="shared" ref="D7:D18" ca="1" si="0">SUM(E7:J7)</f>
        <v>19763</v>
      </c>
      <c r="E7" s="124">
        <f ca="1">Table1_Totals!E7</f>
        <v>16897</v>
      </c>
      <c r="F7" s="125"/>
      <c r="G7" s="124">
        <f ca="1">Table1_Totals!G7</f>
        <v>2866</v>
      </c>
      <c r="H7" s="124">
        <f ca="1">Table1_Totals!H7</f>
        <v>0</v>
      </c>
      <c r="I7" s="125"/>
      <c r="J7" s="124">
        <f ca="1">Table1_Totals!J7</f>
        <v>0</v>
      </c>
      <c r="K7" s="125"/>
    </row>
    <row r="8" spans="1:11" ht="24" customHeight="1" x14ac:dyDescent="0.25">
      <c r="A8" s="186" t="s">
        <v>29</v>
      </c>
      <c r="B8" s="187"/>
      <c r="C8" s="109" t="s">
        <v>16</v>
      </c>
      <c r="D8" s="123">
        <f t="shared" ca="1" si="0"/>
        <v>6898.5</v>
      </c>
      <c r="E8" s="124">
        <f ca="1">Table1_Totals!E8*0.9</f>
        <v>4545</v>
      </c>
      <c r="F8" s="125"/>
      <c r="G8" s="124">
        <f ca="1">Table1_Totals!G8*0.9</f>
        <v>745.2</v>
      </c>
      <c r="H8" s="124">
        <f ca="1">Table1_Totals!H8*0.9</f>
        <v>1608.3</v>
      </c>
      <c r="I8" s="125"/>
      <c r="J8" s="124">
        <f ca="1">Table1_Totals!J8*0.9</f>
        <v>0</v>
      </c>
      <c r="K8" s="125"/>
    </row>
    <row r="9" spans="1:11" ht="24" customHeight="1" x14ac:dyDescent="0.25">
      <c r="A9" s="186" t="s">
        <v>156</v>
      </c>
      <c r="B9" s="187"/>
      <c r="C9" s="109" t="s">
        <v>16</v>
      </c>
      <c r="D9" s="123">
        <f t="shared" ca="1" si="0"/>
        <v>2474.0166000000004</v>
      </c>
      <c r="E9" s="124">
        <f ca="1">IF(Table1_Totals!E9&lt;&gt;0,IF(Table1_Totals!$K9&lt;&gt;0,Table1_Totals!E9*Table1_Totals!$K9/1000,"Please check CV"),"0,000")</f>
        <v>2302.3743000000004</v>
      </c>
      <c r="F9" s="125"/>
      <c r="G9" s="124">
        <f ca="1">IF(Table1_Totals!G9&lt;&gt;0,IF(Table1_Totals!$K9&lt;&gt;0,Table1_Totals!G9*Table1_Totals!$K$9/1000,"Please check CV"),"0,000")</f>
        <v>144.02169999999998</v>
      </c>
      <c r="H9" s="124">
        <f ca="1">IF(Table1_Totals!H9&lt;&gt;0,IF(Table1_Totals!$K9&lt;&gt;0,Table1_Totals!H9*Table1_Totals!$K$9/1000,"Please check CV"),"0,000")</f>
        <v>27.6206</v>
      </c>
      <c r="I9" s="125"/>
      <c r="J9" s="124" t="str">
        <f ca="1">IF(Table1_Totals!J9&lt;&gt;0,IF(Table1_Totals!$K9&lt;&gt;0,Table1_Totals!J9*Table1_Totals!$K$9/1000,"Please check CV"),"0,000")</f>
        <v>0,000</v>
      </c>
      <c r="K9" s="126">
        <f ca="1">Table1_Totals!K9</f>
        <v>19729</v>
      </c>
    </row>
    <row r="10" spans="1:11" ht="24" customHeight="1" x14ac:dyDescent="0.25">
      <c r="A10" s="186" t="s">
        <v>42</v>
      </c>
      <c r="B10" s="187"/>
      <c r="C10" s="109" t="s">
        <v>16</v>
      </c>
      <c r="D10" s="123">
        <f t="shared" ca="1" si="0"/>
        <v>2397.0069000000003</v>
      </c>
      <c r="E10" s="124">
        <f ca="1">IF(Table1_Totals!E10&lt;&gt;0,IF(Table1_Totals!$K10&lt;&gt;0,Table1_Totals!E10*Table1_Totals!$K10/1000,"Please check CV"),"0,000")</f>
        <v>790.07490000000007</v>
      </c>
      <c r="F10" s="125"/>
      <c r="G10" s="124">
        <f ca="1">IF(Table1_Totals!G10&lt;&gt;0,IF(Table1_Totals!$K10&lt;&gt;0,Table1_Totals!G10*Table1_Totals!$K10/1000,"Please check CV"),"0,000")</f>
        <v>232.11240000000001</v>
      </c>
      <c r="H10" s="124">
        <f ca="1">IF(Table1_Totals!H10&lt;&gt;0,IF(Table1_Totals!$K10&lt;&gt;0,Table1_Totals!H10*Table1_Totals!$K10/1000,"Please check CV"),"0,000")</f>
        <v>1374.8196</v>
      </c>
      <c r="I10" s="125"/>
      <c r="J10" s="124" t="str">
        <f ca="1">IF(Table1_Totals!J10&lt;&gt;0,IF(Table1_Totals!$K10&lt;&gt;0,Table1_Totals!J10*Table1_Totals!$K10/1000,"Please check CV"),"0,000")</f>
        <v>0,000</v>
      </c>
      <c r="K10" s="126">
        <f ca="1">Table1_Totals!K10</f>
        <v>44637</v>
      </c>
    </row>
    <row r="11" spans="1:11" s="34" customFormat="1" ht="15" customHeight="1" x14ac:dyDescent="0.25">
      <c r="A11" s="185" t="s">
        <v>18</v>
      </c>
      <c r="B11" s="10" t="s">
        <v>21</v>
      </c>
      <c r="C11" s="11" t="s">
        <v>16</v>
      </c>
      <c r="D11" s="127">
        <f t="shared" ca="1" si="0"/>
        <v>1465.9840000000002</v>
      </c>
      <c r="E11" s="128">
        <f ca="1">IF(Table1_Totals!E11&lt;&gt;0,IF(Table1_Totals!$K11&lt;&gt;0,Table1_Totals!E11*Table1_Totals!$K11/1000,"Please check CV"),"0,000")</f>
        <v>50.393200000000007</v>
      </c>
      <c r="F11" s="129"/>
      <c r="G11" s="128">
        <f ca="1">IF(Table1_Totals!G11&lt;&gt;0,IF(Table1_Totals!$K11&lt;&gt;0,Table1_Totals!G11*Table1_Totals!$K11/1000,"Please check CV"),"0,000")</f>
        <v>4.5811999999999999</v>
      </c>
      <c r="H11" s="128">
        <f ca="1">IF(Table1_Totals!H11&lt;&gt;0,IF(Table1_Totals!$K11&lt;&gt;0,Table1_Totals!H11*Table1_Totals!$K11/1000,"Please check CV"),"0,000")</f>
        <v>1411.0096000000001</v>
      </c>
      <c r="I11" s="129"/>
      <c r="J11" s="128" t="str">
        <f ca="1">IF(Table1_Totals!J11&lt;&gt;0,IF(Table1_Totals!$K11&lt;&gt;0,Table1_Totals!J11*Table1_Totals!$K11/1000,"Please check CV"),"0,000")</f>
        <v>0,000</v>
      </c>
      <c r="K11" s="130">
        <f ca="1">Table1_Totals!K11</f>
        <v>45812</v>
      </c>
    </row>
    <row r="12" spans="1:11" s="34" customFormat="1" ht="15" customHeight="1" x14ac:dyDescent="0.25">
      <c r="A12" s="185"/>
      <c r="B12" s="10" t="s">
        <v>22</v>
      </c>
      <c r="C12" s="11" t="s">
        <v>16</v>
      </c>
      <c r="D12" s="127">
        <f t="shared" ca="1" si="0"/>
        <v>0</v>
      </c>
      <c r="E12" s="128" t="str">
        <f ca="1">IF(Table1_Totals!E12&lt;&gt;0,IF(Table1_Totals!$K12&lt;&gt;0,Table1_Totals!E12*Table1_Totals!$K12/1000,"Please check CV"),"0,000")</f>
        <v>0,000</v>
      </c>
      <c r="F12" s="129"/>
      <c r="G12" s="128" t="str">
        <f ca="1">IF(Table1_Totals!G12&lt;&gt;0,IF(Table1_Totals!$K12&lt;&gt;0,Table1_Totals!G12*Table1_Totals!$K12/1000,"Please check CV"),"0,000")</f>
        <v>0,000</v>
      </c>
      <c r="H12" s="128" t="str">
        <f ca="1">IF(Table1_Totals!H12&lt;&gt;0,IF(Table1_Totals!$K12&lt;&gt;0,Table1_Totals!H12*Table1_Totals!$K12/1000,"Please check CV"),"0,000")</f>
        <v>0,000</v>
      </c>
      <c r="I12" s="129"/>
      <c r="J12" s="128" t="str">
        <f ca="1">IF(Table1_Totals!J12&lt;&gt;0,IF(Table1_Totals!$K12&lt;&gt;0,Table1_Totals!J12*Table1_Totals!$K12/1000,"Please check CV"),"0,000")</f>
        <v>0,000</v>
      </c>
      <c r="K12" s="130">
        <f ca="1">Table1_Totals!K12</f>
        <v>0</v>
      </c>
    </row>
    <row r="13" spans="1:11" s="34" customFormat="1" ht="15" customHeight="1" x14ac:dyDescent="0.25">
      <c r="A13" s="185"/>
      <c r="B13" s="10" t="s">
        <v>23</v>
      </c>
      <c r="C13" s="11" t="s">
        <v>16</v>
      </c>
      <c r="D13" s="127">
        <f t="shared" ca="1" si="0"/>
        <v>930.99509999999998</v>
      </c>
      <c r="E13" s="128">
        <f ca="1">IF(Table1_Totals!E13&lt;&gt;0,IF(Table1_Totals!$K13&lt;&gt;0,Table1_Totals!E13*Table1_Totals!$K13/1000,"Please check CV"),"0,000")</f>
        <v>712.18979999999999</v>
      </c>
      <c r="F13" s="129"/>
      <c r="G13" s="128">
        <f ca="1">IF(Table1_Totals!G13&lt;&gt;0,IF(Table1_Totals!$K13&lt;&gt;0,Table1_Totals!G13*Table1_Totals!$K13/1000,"Please check CV"),"0,000")</f>
        <v>218.80529999999999</v>
      </c>
      <c r="H13" s="128" t="str">
        <f ca="1">IF(Table1_Totals!H13&lt;&gt;0,IF(Table1_Totals!$K13&lt;&gt;0,Table1_Totals!H13*Table1_Totals!$K13/1000,"Please check CV"),"0,000")</f>
        <v>0,000</v>
      </c>
      <c r="I13" s="129"/>
      <c r="J13" s="128" t="str">
        <f ca="1">IF(Table1_Totals!J13&lt;&gt;0,IF(Table1_Totals!$K13&lt;&gt;0,Table1_Totals!J13*Table1_Totals!$K13/1000,"Please check CV"),"0,000")</f>
        <v>0,000</v>
      </c>
      <c r="K13" s="130">
        <f ca="1">Table1_Totals!K13</f>
        <v>42903</v>
      </c>
    </row>
    <row r="14" spans="1:11" ht="24" customHeight="1" x14ac:dyDescent="0.25">
      <c r="A14" s="186" t="s">
        <v>43</v>
      </c>
      <c r="B14" s="187"/>
      <c r="C14" s="109" t="s">
        <v>16</v>
      </c>
      <c r="D14" s="123">
        <f t="shared" ca="1" si="0"/>
        <v>20205</v>
      </c>
      <c r="E14" s="124">
        <f ca="1">Table1_Totals!E14</f>
        <v>18831</v>
      </c>
      <c r="F14" s="125"/>
      <c r="G14" s="124">
        <f ca="1">Table1_Totals!G14</f>
        <v>1008</v>
      </c>
      <c r="H14" s="124">
        <f ca="1">Table1_Totals!H14</f>
        <v>366</v>
      </c>
      <c r="I14" s="125"/>
      <c r="J14" s="124">
        <f ca="1">Table1_Totals!J14</f>
        <v>0</v>
      </c>
      <c r="K14" s="125"/>
    </row>
    <row r="15" spans="1:11" s="34" customFormat="1" ht="15" customHeight="1" x14ac:dyDescent="0.25">
      <c r="A15" s="185" t="s">
        <v>18</v>
      </c>
      <c r="B15" s="10" t="s">
        <v>26</v>
      </c>
      <c r="C15" s="11" t="s">
        <v>16</v>
      </c>
      <c r="D15" s="127">
        <f t="shared" ca="1" si="0"/>
        <v>0</v>
      </c>
      <c r="E15" s="128">
        <f ca="1">Table1_Totals!E15</f>
        <v>0</v>
      </c>
      <c r="F15" s="129"/>
      <c r="G15" s="128">
        <f ca="1">Table1_Totals!G15</f>
        <v>0</v>
      </c>
      <c r="H15" s="128">
        <f ca="1">Table1_Totals!H15</f>
        <v>0</v>
      </c>
      <c r="I15" s="129"/>
      <c r="J15" s="128">
        <f ca="1">Table1_Totals!J15</f>
        <v>0</v>
      </c>
      <c r="K15" s="129"/>
    </row>
    <row r="16" spans="1:11" s="34" customFormat="1" ht="15" customHeight="1" x14ac:dyDescent="0.25">
      <c r="A16" s="185"/>
      <c r="B16" s="10" t="s">
        <v>27</v>
      </c>
      <c r="C16" s="11" t="s">
        <v>16</v>
      </c>
      <c r="D16" s="127">
        <f t="shared" ca="1" si="0"/>
        <v>19273</v>
      </c>
      <c r="E16" s="128">
        <f ca="1">Table1_Totals!E16</f>
        <v>18020</v>
      </c>
      <c r="F16" s="129"/>
      <c r="G16" s="128">
        <f ca="1">Table1_Totals!G16</f>
        <v>887</v>
      </c>
      <c r="H16" s="128">
        <f ca="1">Table1_Totals!H16</f>
        <v>366</v>
      </c>
      <c r="I16" s="129"/>
      <c r="J16" s="128">
        <f ca="1">Table1_Totals!J16</f>
        <v>0</v>
      </c>
      <c r="K16" s="129"/>
    </row>
    <row r="17" spans="1:11" s="34" customFormat="1" ht="15" customHeight="1" x14ac:dyDescent="0.25">
      <c r="A17" s="185"/>
      <c r="B17" s="10" t="s">
        <v>28</v>
      </c>
      <c r="C17" s="11"/>
      <c r="D17" s="127">
        <f t="shared" ref="D17" ca="1" si="1">SUM(E17:J17)</f>
        <v>0</v>
      </c>
      <c r="E17" s="128">
        <f ca="1">Table1_Totals!E17</f>
        <v>0</v>
      </c>
      <c r="F17" s="129"/>
      <c r="G17" s="128">
        <f ca="1">Table1_Totals!G17</f>
        <v>0</v>
      </c>
      <c r="H17" s="128">
        <f ca="1">Table1_Totals!H17</f>
        <v>0</v>
      </c>
      <c r="I17" s="129"/>
      <c r="J17" s="128">
        <f ca="1">Table1_Totals!J17</f>
        <v>0</v>
      </c>
      <c r="K17" s="129"/>
    </row>
    <row r="18" spans="1:11" s="34" customFormat="1" ht="15" customHeight="1" x14ac:dyDescent="0.25">
      <c r="A18" s="185"/>
      <c r="B18" s="34" t="s">
        <v>184</v>
      </c>
      <c r="C18" s="11" t="s">
        <v>16</v>
      </c>
      <c r="D18" s="127">
        <f t="shared" ca="1" si="0"/>
        <v>932</v>
      </c>
      <c r="E18" s="128">
        <f ca="1">Table1_Totals!E18</f>
        <v>811</v>
      </c>
      <c r="F18" s="129"/>
      <c r="G18" s="128">
        <f ca="1">Table1_Totals!G18</f>
        <v>121</v>
      </c>
      <c r="H18" s="128">
        <f ca="1">Table1_Totals!H18</f>
        <v>0</v>
      </c>
      <c r="I18" s="129"/>
      <c r="J18" s="128">
        <f ca="1">Table1_Totals!J18</f>
        <v>0</v>
      </c>
      <c r="K18" s="129"/>
    </row>
    <row r="19" spans="1:11" ht="24" customHeight="1" x14ac:dyDescent="0.25">
      <c r="A19" s="186" t="s">
        <v>171</v>
      </c>
      <c r="B19" s="187"/>
      <c r="C19" s="109" t="s">
        <v>16</v>
      </c>
      <c r="D19" s="123">
        <f t="shared" ref="D19" ca="1" si="2">SUM(E19:J19)</f>
        <v>62481.7235</v>
      </c>
      <c r="E19" s="124">
        <f ca="1">SUM(E6:E10,E14)</f>
        <v>43945.769199999995</v>
      </c>
      <c r="F19" s="124">
        <f t="shared" ref="F19:J19" ca="1" si="3">SUM(F6:F10,F14)</f>
        <v>0</v>
      </c>
      <c r="G19" s="124">
        <f t="shared" ca="1" si="3"/>
        <v>5532.4540999999999</v>
      </c>
      <c r="H19" s="124">
        <f t="shared" ca="1" si="3"/>
        <v>4010.7002000000002</v>
      </c>
      <c r="I19" s="124">
        <f t="shared" ca="1" si="3"/>
        <v>8992.8000000000011</v>
      </c>
      <c r="J19" s="124">
        <f t="shared" ca="1" si="3"/>
        <v>0</v>
      </c>
      <c r="K19" s="125"/>
    </row>
    <row r="20" spans="1:11" ht="21" customHeight="1" x14ac:dyDescent="0.25">
      <c r="A20" s="35"/>
      <c r="B20" s="35"/>
      <c r="C20" s="100" t="s">
        <v>157</v>
      </c>
      <c r="D20" s="101" t="str">
        <f ca="1">IF(ABS(SUM(D6:D10,D14)-D19)&gt;0.01,"check values","")</f>
        <v/>
      </c>
      <c r="E20" s="101" t="str">
        <f t="shared" ref="E20:J20" ca="1" si="4">IF(SUM(E6:E10,E14)&lt;&gt;E19,"check values","")</f>
        <v/>
      </c>
      <c r="F20" s="101" t="str">
        <f t="shared" ca="1" si="4"/>
        <v/>
      </c>
      <c r="G20" s="101" t="str">
        <f t="shared" ca="1" si="4"/>
        <v/>
      </c>
      <c r="H20" s="101" t="str">
        <f t="shared" ca="1" si="4"/>
        <v/>
      </c>
      <c r="I20" s="101"/>
      <c r="J20" s="101" t="str">
        <f t="shared" ca="1" si="4"/>
        <v/>
      </c>
      <c r="K20" s="101"/>
    </row>
    <row r="21" spans="1:11" x14ac:dyDescent="0.25">
      <c r="D21" s="102"/>
    </row>
  </sheetData>
  <sheetProtection algorithmName="SHA-512" hashValue="oczTZzOLOZcquMEeAJHzJY/AabrlVqEFwAzmA6bnVVo8QscvGdXy3cdqJouTOF7gLKBKrqUGxTuD19G6eXAUhA==" saltValue="8cppeNeQ6IvyswcAGHz6pw==" spinCount="100000" sheet="1" objects="1" scenarios="1"/>
  <mergeCells count="14">
    <mergeCell ref="A6:B6"/>
    <mergeCell ref="A1:B1"/>
    <mergeCell ref="A2:B2"/>
    <mergeCell ref="A3:B3"/>
    <mergeCell ref="A4:B4"/>
    <mergeCell ref="A5:B5"/>
    <mergeCell ref="A15:A18"/>
    <mergeCell ref="A19:B19"/>
    <mergeCell ref="A7:B7"/>
    <mergeCell ref="A8:B8"/>
    <mergeCell ref="A9:B9"/>
    <mergeCell ref="A10:B10"/>
    <mergeCell ref="A11:A13"/>
    <mergeCell ref="A14:B14"/>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D19"/>
  <sheetViews>
    <sheetView showGridLines="0" zoomScale="90" zoomScaleNormal="90" workbookViewId="0">
      <pane xSplit="3" topLeftCell="F1" activePane="topRight" state="frozen"/>
      <selection activeCell="DS1" sqref="DS1:ED1048576"/>
      <selection pane="topRight" activeCell="J38" sqref="J38"/>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30</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c r="E6" s="60"/>
      <c r="F6" s="60"/>
      <c r="G6" s="60"/>
      <c r="H6" s="60"/>
      <c r="I6" s="60"/>
      <c r="J6" s="60"/>
      <c r="K6" s="60">
        <v>150.4</v>
      </c>
      <c r="L6" s="60">
        <v>161.19999999999999</v>
      </c>
      <c r="M6" s="60"/>
      <c r="N6" s="60"/>
      <c r="O6" s="60"/>
      <c r="DS6" s="4" t="str">
        <f>VLOOKUP(Cover!$D$15, Country_list!$B$3:$C$44, 2, 0)</f>
        <v>LT</v>
      </c>
      <c r="DT6" s="33" t="s">
        <v>289</v>
      </c>
      <c r="DV6" s="33" t="s">
        <v>302</v>
      </c>
      <c r="EB6" s="33" t="s">
        <v>291</v>
      </c>
      <c r="ED6" s="33" t="s">
        <v>294</v>
      </c>
    </row>
    <row r="7" spans="1:134" ht="24" customHeight="1" x14ac:dyDescent="0.25">
      <c r="A7" s="183" t="s">
        <v>15</v>
      </c>
      <c r="B7" s="200"/>
      <c r="C7" s="9" t="s">
        <v>25</v>
      </c>
      <c r="D7" s="61"/>
      <c r="E7" s="58"/>
      <c r="F7" s="58"/>
      <c r="G7" s="58"/>
      <c r="H7" s="58"/>
      <c r="I7" s="58"/>
      <c r="J7" s="58"/>
      <c r="K7" s="58">
        <v>16778</v>
      </c>
      <c r="L7" s="58">
        <v>16897</v>
      </c>
      <c r="M7" s="58"/>
      <c r="N7" s="58"/>
      <c r="O7" s="58"/>
      <c r="DT7" s="33" t="s">
        <v>290</v>
      </c>
      <c r="EB7" s="33" t="s">
        <v>291</v>
      </c>
      <c r="ED7" s="33" t="s">
        <v>295</v>
      </c>
    </row>
    <row r="8" spans="1:134" ht="24" customHeight="1" x14ac:dyDescent="0.25">
      <c r="A8" s="183" t="s">
        <v>29</v>
      </c>
      <c r="B8" s="200"/>
      <c r="C8" s="9" t="s">
        <v>17</v>
      </c>
      <c r="D8" s="61"/>
      <c r="E8" s="58"/>
      <c r="F8" s="58"/>
      <c r="G8" s="58"/>
      <c r="H8" s="58"/>
      <c r="I8" s="58"/>
      <c r="J8" s="58"/>
      <c r="K8" s="58">
        <v>4679</v>
      </c>
      <c r="L8" s="58">
        <v>5050</v>
      </c>
      <c r="M8" s="58"/>
      <c r="N8" s="58"/>
      <c r="O8" s="58"/>
      <c r="DT8" s="33" t="s">
        <v>231</v>
      </c>
      <c r="EB8" s="33" t="s">
        <v>291</v>
      </c>
      <c r="ED8" s="33" t="s">
        <v>296</v>
      </c>
    </row>
    <row r="9" spans="1:134" ht="24" customHeight="1" x14ac:dyDescent="0.25">
      <c r="A9" s="183" t="s">
        <v>156</v>
      </c>
      <c r="B9" s="200"/>
      <c r="C9" s="9" t="s">
        <v>19</v>
      </c>
      <c r="D9" s="61"/>
      <c r="E9" s="58"/>
      <c r="F9" s="58"/>
      <c r="G9" s="58"/>
      <c r="H9" s="58"/>
      <c r="I9" s="58"/>
      <c r="J9" s="58"/>
      <c r="K9" s="58">
        <v>110.8</v>
      </c>
      <c r="L9" s="58">
        <v>116.7</v>
      </c>
      <c r="M9" s="58"/>
      <c r="N9" s="58"/>
      <c r="O9" s="58"/>
      <c r="DT9" s="33" t="s">
        <v>279</v>
      </c>
      <c r="EB9" s="33" t="s">
        <v>292</v>
      </c>
      <c r="ED9" s="33" t="s">
        <v>293</v>
      </c>
    </row>
    <row r="10" spans="1:134" ht="24" customHeight="1" x14ac:dyDescent="0.25">
      <c r="A10" s="183" t="s">
        <v>20</v>
      </c>
      <c r="B10" s="200"/>
      <c r="C10" s="9" t="s">
        <v>19</v>
      </c>
      <c r="D10" s="61"/>
      <c r="E10" s="58"/>
      <c r="F10" s="58"/>
      <c r="G10" s="58"/>
      <c r="H10" s="58"/>
      <c r="I10" s="58"/>
      <c r="J10" s="58"/>
      <c r="K10" s="58">
        <v>15.2</v>
      </c>
      <c r="L10" s="58">
        <v>17.7</v>
      </c>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c r="J11" s="113"/>
      <c r="K11" s="113">
        <v>1.1000000000000001</v>
      </c>
      <c r="L11" s="113">
        <v>1.1000000000000001</v>
      </c>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c r="J13" s="113"/>
      <c r="K13" s="113">
        <v>14.1</v>
      </c>
      <c r="L13" s="113">
        <v>16.600000000000001</v>
      </c>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c r="J14" s="58"/>
      <c r="K14" s="58">
        <v>18367</v>
      </c>
      <c r="L14" s="58">
        <v>18831</v>
      </c>
      <c r="M14" s="58"/>
      <c r="N14" s="58"/>
      <c r="O14" s="58"/>
      <c r="DT14" s="139" t="s">
        <v>284</v>
      </c>
      <c r="EB14" s="33" t="s">
        <v>291</v>
      </c>
      <c r="ED14" s="33" t="s">
        <v>295</v>
      </c>
    </row>
    <row r="15" spans="1:134" s="34" customFormat="1" ht="15" customHeight="1" x14ac:dyDescent="0.25">
      <c r="A15" s="182"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182"/>
      <c r="B16" s="110" t="s">
        <v>27</v>
      </c>
      <c r="C16" s="111" t="s">
        <v>25</v>
      </c>
      <c r="D16" s="112"/>
      <c r="E16" s="113"/>
      <c r="F16" s="113"/>
      <c r="G16" s="113"/>
      <c r="H16" s="113"/>
      <c r="I16" s="113"/>
      <c r="J16" s="113"/>
      <c r="K16" s="113">
        <v>18367</v>
      </c>
      <c r="L16" s="113">
        <v>18020</v>
      </c>
      <c r="M16" s="113"/>
      <c r="N16" s="113"/>
      <c r="O16" s="113"/>
      <c r="DT16" s="34" t="s">
        <v>286</v>
      </c>
      <c r="EB16" s="34" t="s">
        <v>291</v>
      </c>
      <c r="ED16" s="34" t="s">
        <v>295</v>
      </c>
    </row>
    <row r="17" spans="1:134" s="34" customFormat="1" ht="15" customHeight="1" x14ac:dyDescent="0.25">
      <c r="A17" s="182"/>
      <c r="B17" s="110" t="s">
        <v>28</v>
      </c>
      <c r="C17" s="111" t="s">
        <v>25</v>
      </c>
      <c r="D17" s="112"/>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182"/>
      <c r="B18" s="110" t="s">
        <v>184</v>
      </c>
      <c r="C18" s="111" t="s">
        <v>25</v>
      </c>
      <c r="D18" s="112"/>
      <c r="E18" s="112"/>
      <c r="F18" s="112"/>
      <c r="G18" s="112"/>
      <c r="H18" s="112"/>
      <c r="I18" s="112"/>
      <c r="J18" s="112"/>
      <c r="K18" s="112"/>
      <c r="L18" s="112">
        <v>811</v>
      </c>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5" fitToHeight="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57150</xdr:rowOff>
                  </from>
                  <to>
                    <xdr:col>1</xdr:col>
                    <xdr:colOff>1028700</xdr:colOff>
                    <xdr:row>21</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ED19"/>
  <sheetViews>
    <sheetView showGridLines="0" zoomScale="90" zoomScaleNormal="90" workbookViewId="0">
      <pane xSplit="3" topLeftCell="D1" activePane="topRight" state="frozen"/>
      <selection activeCell="DS1" sqref="DS1:ED1048576"/>
      <selection pane="topRight" activeCell="D1" sqref="D1"/>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31</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80"/>
      <c r="C6" s="8" t="s">
        <v>14</v>
      </c>
      <c r="D6" s="59"/>
      <c r="E6" s="60"/>
      <c r="F6" s="60"/>
      <c r="G6" s="60"/>
      <c r="H6" s="60"/>
      <c r="I6" s="60"/>
      <c r="J6" s="60"/>
      <c r="K6" s="60"/>
      <c r="L6" s="60"/>
      <c r="M6" s="60"/>
      <c r="N6" s="60"/>
      <c r="O6" s="60"/>
      <c r="DS6" s="4" t="str">
        <f>VLOOKUP(Cover!$D$15, Country_list!$B$3:$C$44, 2, 0)</f>
        <v>LT</v>
      </c>
      <c r="DT6" s="33" t="s">
        <v>289</v>
      </c>
      <c r="DV6" s="33" t="s">
        <v>303</v>
      </c>
      <c r="EB6" s="33" t="s">
        <v>291</v>
      </c>
      <c r="ED6" s="33" t="s">
        <v>294</v>
      </c>
    </row>
    <row r="7" spans="1:134" s="119" customFormat="1" ht="24" customHeight="1" x14ac:dyDescent="0.25">
      <c r="A7" s="201" t="s">
        <v>15</v>
      </c>
      <c r="B7" s="202"/>
      <c r="C7" s="132" t="s">
        <v>25</v>
      </c>
      <c r="D7" s="133"/>
      <c r="E7" s="134"/>
      <c r="F7" s="134"/>
      <c r="G7" s="134"/>
      <c r="H7" s="134"/>
      <c r="I7" s="134"/>
      <c r="J7" s="134"/>
      <c r="K7" s="134"/>
      <c r="L7" s="134"/>
      <c r="M7" s="134"/>
      <c r="N7" s="134"/>
      <c r="O7" s="134"/>
      <c r="DT7" s="119" t="s">
        <v>290</v>
      </c>
      <c r="EB7" s="119" t="s">
        <v>291</v>
      </c>
      <c r="ED7" s="119" t="s">
        <v>295</v>
      </c>
    </row>
    <row r="8" spans="1:134" s="119" customFormat="1" ht="24" customHeight="1" x14ac:dyDescent="0.25">
      <c r="A8" s="201" t="s">
        <v>29</v>
      </c>
      <c r="B8" s="202"/>
      <c r="C8" s="132" t="s">
        <v>17</v>
      </c>
      <c r="D8" s="133"/>
      <c r="E8" s="134"/>
      <c r="F8" s="134"/>
      <c r="G8" s="134"/>
      <c r="H8" s="134"/>
      <c r="I8" s="134"/>
      <c r="J8" s="134"/>
      <c r="K8" s="134"/>
      <c r="L8" s="134"/>
      <c r="M8" s="134"/>
      <c r="N8" s="134"/>
      <c r="O8" s="134"/>
      <c r="DT8" s="119" t="s">
        <v>231</v>
      </c>
      <c r="EB8" s="119" t="s">
        <v>291</v>
      </c>
      <c r="ED8" s="119" t="s">
        <v>296</v>
      </c>
    </row>
    <row r="9" spans="1:134" s="119" customFormat="1" ht="24" customHeight="1" x14ac:dyDescent="0.25">
      <c r="A9" s="201" t="s">
        <v>156</v>
      </c>
      <c r="B9" s="202"/>
      <c r="C9" s="132" t="s">
        <v>19</v>
      </c>
      <c r="D9" s="133"/>
      <c r="E9" s="134"/>
      <c r="F9" s="134"/>
      <c r="G9" s="134"/>
      <c r="H9" s="134"/>
      <c r="I9" s="134"/>
      <c r="J9" s="134"/>
      <c r="K9" s="134"/>
      <c r="L9" s="134"/>
      <c r="M9" s="134"/>
      <c r="N9" s="134"/>
      <c r="O9" s="134"/>
      <c r="DT9" s="119" t="s">
        <v>279</v>
      </c>
      <c r="EB9" s="119" t="s">
        <v>292</v>
      </c>
      <c r="ED9" s="119" t="s">
        <v>293</v>
      </c>
    </row>
    <row r="10" spans="1:134" s="119" customFormat="1" ht="24" customHeight="1" x14ac:dyDescent="0.25">
      <c r="A10" s="201" t="s">
        <v>20</v>
      </c>
      <c r="B10" s="202"/>
      <c r="C10" s="132" t="s">
        <v>19</v>
      </c>
      <c r="D10" s="133"/>
      <c r="E10" s="134"/>
      <c r="F10" s="134"/>
      <c r="G10" s="134"/>
      <c r="H10" s="134"/>
      <c r="I10" s="134"/>
      <c r="J10" s="134"/>
      <c r="K10" s="134"/>
      <c r="L10" s="134"/>
      <c r="M10" s="134"/>
      <c r="N10" s="134"/>
      <c r="O10" s="134"/>
      <c r="DT10" s="139" t="s">
        <v>280</v>
      </c>
      <c r="EB10" s="119" t="s">
        <v>292</v>
      </c>
      <c r="ED10" s="119" t="s">
        <v>293</v>
      </c>
    </row>
    <row r="11" spans="1:134" s="34" customFormat="1" ht="15" customHeight="1" x14ac:dyDescent="0.25">
      <c r="A11" s="203" t="s">
        <v>18</v>
      </c>
      <c r="B11" s="135" t="s">
        <v>21</v>
      </c>
      <c r="C11" s="136" t="s">
        <v>19</v>
      </c>
      <c r="D11" s="137"/>
      <c r="E11" s="138"/>
      <c r="F11" s="138"/>
      <c r="G11" s="138"/>
      <c r="H11" s="138"/>
      <c r="I11" s="138"/>
      <c r="J11" s="138"/>
      <c r="K11" s="138"/>
      <c r="L11" s="138"/>
      <c r="M11" s="138"/>
      <c r="N11" s="138"/>
      <c r="O11" s="138"/>
      <c r="DT11" s="34" t="s">
        <v>281</v>
      </c>
      <c r="EB11" s="34" t="s">
        <v>292</v>
      </c>
      <c r="ED11" s="34" t="s">
        <v>293</v>
      </c>
    </row>
    <row r="12" spans="1:134" s="34" customFormat="1" ht="15" customHeight="1" x14ac:dyDescent="0.25">
      <c r="A12" s="203"/>
      <c r="B12" s="135" t="s">
        <v>22</v>
      </c>
      <c r="C12" s="136" t="s">
        <v>19</v>
      </c>
      <c r="D12" s="137"/>
      <c r="E12" s="138"/>
      <c r="F12" s="138"/>
      <c r="G12" s="138"/>
      <c r="H12" s="138"/>
      <c r="I12" s="138"/>
      <c r="J12" s="138"/>
      <c r="K12" s="138"/>
      <c r="L12" s="138"/>
      <c r="M12" s="138"/>
      <c r="N12" s="138"/>
      <c r="O12" s="138"/>
      <c r="DT12" s="34" t="s">
        <v>282</v>
      </c>
      <c r="EB12" s="34" t="s">
        <v>292</v>
      </c>
      <c r="ED12" s="34" t="s">
        <v>293</v>
      </c>
    </row>
    <row r="13" spans="1:134" s="34" customFormat="1" ht="15" customHeight="1" x14ac:dyDescent="0.25">
      <c r="A13" s="203"/>
      <c r="B13" s="135" t="s">
        <v>23</v>
      </c>
      <c r="C13" s="136" t="s">
        <v>19</v>
      </c>
      <c r="D13" s="137"/>
      <c r="E13" s="138"/>
      <c r="F13" s="138"/>
      <c r="G13" s="138"/>
      <c r="H13" s="138"/>
      <c r="I13" s="138"/>
      <c r="J13" s="138"/>
      <c r="K13" s="138"/>
      <c r="L13" s="138"/>
      <c r="M13" s="138"/>
      <c r="N13" s="138"/>
      <c r="O13" s="138"/>
      <c r="DT13" s="34" t="s">
        <v>283</v>
      </c>
      <c r="EB13" s="34" t="s">
        <v>292</v>
      </c>
      <c r="ED13" s="34" t="s">
        <v>293</v>
      </c>
    </row>
    <row r="14" spans="1:134" s="119" customFormat="1" ht="24" customHeight="1" x14ac:dyDescent="0.25">
      <c r="A14" s="201" t="s">
        <v>24</v>
      </c>
      <c r="B14" s="202"/>
      <c r="C14" s="132" t="s">
        <v>25</v>
      </c>
      <c r="D14" s="133"/>
      <c r="E14" s="134"/>
      <c r="F14" s="134"/>
      <c r="G14" s="134"/>
      <c r="H14" s="134"/>
      <c r="I14" s="134"/>
      <c r="J14" s="134"/>
      <c r="K14" s="134"/>
      <c r="L14" s="134"/>
      <c r="M14" s="134"/>
      <c r="N14" s="134"/>
      <c r="O14" s="134"/>
      <c r="DT14" s="139" t="s">
        <v>284</v>
      </c>
      <c r="EB14" s="119" t="s">
        <v>291</v>
      </c>
      <c r="ED14" s="119" t="s">
        <v>295</v>
      </c>
    </row>
    <row r="15" spans="1:134" s="34" customFormat="1" ht="15" customHeight="1" x14ac:dyDescent="0.25">
      <c r="A15" s="203" t="s">
        <v>18</v>
      </c>
      <c r="B15" s="135" t="s">
        <v>26</v>
      </c>
      <c r="C15" s="136" t="s">
        <v>25</v>
      </c>
      <c r="D15" s="137"/>
      <c r="E15" s="138"/>
      <c r="F15" s="138"/>
      <c r="G15" s="138"/>
      <c r="H15" s="138"/>
      <c r="I15" s="138"/>
      <c r="J15" s="138"/>
      <c r="K15" s="138"/>
      <c r="L15" s="138"/>
      <c r="M15" s="138"/>
      <c r="N15" s="138"/>
      <c r="O15" s="138"/>
      <c r="DT15" s="34" t="s">
        <v>285</v>
      </c>
      <c r="EB15" s="34" t="s">
        <v>291</v>
      </c>
      <c r="ED15" s="34" t="s">
        <v>295</v>
      </c>
    </row>
    <row r="16" spans="1:134" s="34" customFormat="1" ht="15" customHeight="1" x14ac:dyDescent="0.25">
      <c r="A16" s="203"/>
      <c r="B16" s="135" t="s">
        <v>27</v>
      </c>
      <c r="C16" s="136" t="s">
        <v>25</v>
      </c>
      <c r="D16" s="137"/>
      <c r="E16" s="138"/>
      <c r="F16" s="138"/>
      <c r="G16" s="138"/>
      <c r="H16" s="138"/>
      <c r="I16" s="138"/>
      <c r="J16" s="138"/>
      <c r="K16" s="138"/>
      <c r="L16" s="138"/>
      <c r="M16" s="138"/>
      <c r="N16" s="138"/>
      <c r="O16" s="138"/>
      <c r="DT16" s="34" t="s">
        <v>286</v>
      </c>
      <c r="EB16" s="34" t="s">
        <v>291</v>
      </c>
      <c r="ED16" s="34" t="s">
        <v>295</v>
      </c>
    </row>
    <row r="17" spans="1:134" s="34" customFormat="1" ht="15" customHeight="1" x14ac:dyDescent="0.25">
      <c r="A17" s="203"/>
      <c r="B17" s="135" t="s">
        <v>28</v>
      </c>
      <c r="C17" s="136" t="s">
        <v>25</v>
      </c>
      <c r="D17" s="137"/>
      <c r="E17" s="137"/>
      <c r="F17" s="137"/>
      <c r="G17" s="137"/>
      <c r="H17" s="137"/>
      <c r="I17" s="137"/>
      <c r="J17" s="137"/>
      <c r="K17" s="137"/>
      <c r="L17" s="137"/>
      <c r="M17" s="137"/>
      <c r="N17" s="137"/>
      <c r="O17" s="137"/>
      <c r="DT17" s="34" t="s">
        <v>287</v>
      </c>
      <c r="EB17" s="34" t="s">
        <v>291</v>
      </c>
      <c r="ED17" s="34" t="s">
        <v>295</v>
      </c>
    </row>
    <row r="18" spans="1:134" s="34" customFormat="1" ht="15" customHeight="1" x14ac:dyDescent="0.25">
      <c r="A18" s="203"/>
      <c r="B18" s="135" t="s">
        <v>184</v>
      </c>
      <c r="C18" s="136" t="s">
        <v>25</v>
      </c>
      <c r="D18" s="137"/>
      <c r="E18" s="137"/>
      <c r="F18" s="137"/>
      <c r="G18" s="137"/>
      <c r="H18" s="137"/>
      <c r="I18" s="137"/>
      <c r="J18" s="137"/>
      <c r="K18" s="137"/>
      <c r="L18" s="137"/>
      <c r="M18" s="137"/>
      <c r="N18" s="137"/>
      <c r="O18" s="137"/>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B1"/>
    <mergeCell ref="A2:B2"/>
    <mergeCell ref="A3:B3"/>
    <mergeCell ref="A4:B4"/>
    <mergeCell ref="A5:B5"/>
    <mergeCell ref="A14:B14"/>
    <mergeCell ref="A15:A18"/>
    <mergeCell ref="A7:B7"/>
    <mergeCell ref="A8:B8"/>
    <mergeCell ref="A9:B9"/>
    <mergeCell ref="A10:B10"/>
    <mergeCell ref="A11:A13"/>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zoomScale="90" zoomScaleNormal="90" workbookViewId="0">
      <pane xSplit="3" topLeftCell="J1" activePane="topRight" state="frozen"/>
      <selection activeCell="DS1" sqref="DS1:ED1048576"/>
      <selection pane="topRight" activeCell="K6" sqref="K6:K17"/>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8</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c r="E6" s="60"/>
      <c r="F6" s="60"/>
      <c r="G6" s="60"/>
      <c r="H6" s="60"/>
      <c r="I6" s="60"/>
      <c r="J6" s="60"/>
      <c r="K6" s="60">
        <v>147.6</v>
      </c>
      <c r="L6" s="60">
        <v>149.19999999999999</v>
      </c>
      <c r="M6" s="60"/>
      <c r="N6" s="60"/>
      <c r="O6" s="60"/>
      <c r="DS6" s="4" t="str">
        <f>VLOOKUP(Cover!$D$15, Country_list!$B$3:$C$44, 2, 0)</f>
        <v>LT</v>
      </c>
      <c r="DT6" s="33" t="s">
        <v>289</v>
      </c>
      <c r="DV6" s="33" t="s">
        <v>304</v>
      </c>
      <c r="EB6" s="33" t="s">
        <v>291</v>
      </c>
      <c r="ED6" s="33" t="s">
        <v>294</v>
      </c>
    </row>
    <row r="7" spans="1:134" ht="24" customHeight="1" x14ac:dyDescent="0.25">
      <c r="A7" s="183" t="s">
        <v>15</v>
      </c>
      <c r="B7" s="200"/>
      <c r="C7" s="9" t="s">
        <v>25</v>
      </c>
      <c r="D7" s="61"/>
      <c r="E7" s="58"/>
      <c r="F7" s="58"/>
      <c r="G7" s="58"/>
      <c r="H7" s="58"/>
      <c r="I7" s="58"/>
      <c r="J7" s="58"/>
      <c r="K7" s="58">
        <v>3101</v>
      </c>
      <c r="L7" s="58">
        <v>2866</v>
      </c>
      <c r="M7" s="58"/>
      <c r="N7" s="58"/>
      <c r="O7" s="58"/>
      <c r="DT7" s="33" t="s">
        <v>290</v>
      </c>
      <c r="EB7" s="33" t="s">
        <v>291</v>
      </c>
      <c r="ED7" s="33" t="s">
        <v>295</v>
      </c>
    </row>
    <row r="8" spans="1:134" ht="24" customHeight="1" x14ac:dyDescent="0.25">
      <c r="A8" s="183" t="s">
        <v>29</v>
      </c>
      <c r="B8" s="200"/>
      <c r="C8" s="9" t="s">
        <v>17</v>
      </c>
      <c r="D8" s="61"/>
      <c r="E8" s="58"/>
      <c r="F8" s="58"/>
      <c r="G8" s="58"/>
      <c r="H8" s="58"/>
      <c r="I8" s="58"/>
      <c r="J8" s="58"/>
      <c r="K8" s="58">
        <v>787</v>
      </c>
      <c r="L8" s="58">
        <v>828</v>
      </c>
      <c r="M8" s="58"/>
      <c r="N8" s="58"/>
      <c r="O8" s="58"/>
      <c r="DT8" s="33" t="s">
        <v>231</v>
      </c>
      <c r="EB8" s="33" t="s">
        <v>291</v>
      </c>
      <c r="ED8" s="33" t="s">
        <v>296</v>
      </c>
    </row>
    <row r="9" spans="1:134" ht="24" customHeight="1" x14ac:dyDescent="0.25">
      <c r="A9" s="183" t="s">
        <v>156</v>
      </c>
      <c r="B9" s="200"/>
      <c r="C9" s="9" t="s">
        <v>19</v>
      </c>
      <c r="D9" s="61"/>
      <c r="E9" s="58"/>
      <c r="F9" s="58"/>
      <c r="G9" s="58"/>
      <c r="H9" s="58"/>
      <c r="I9" s="58"/>
      <c r="J9" s="58"/>
      <c r="K9" s="58">
        <v>7.1</v>
      </c>
      <c r="L9" s="58">
        <v>7.3</v>
      </c>
      <c r="M9" s="58"/>
      <c r="N9" s="58"/>
      <c r="O9" s="58"/>
      <c r="DT9" s="33" t="s">
        <v>279</v>
      </c>
      <c r="EB9" s="33" t="s">
        <v>292</v>
      </c>
      <c r="ED9" s="33" t="s">
        <v>293</v>
      </c>
    </row>
    <row r="10" spans="1:134" ht="24" customHeight="1" x14ac:dyDescent="0.25">
      <c r="A10" s="183" t="s">
        <v>20</v>
      </c>
      <c r="B10" s="200"/>
      <c r="C10" s="9" t="s">
        <v>19</v>
      </c>
      <c r="D10" s="61"/>
      <c r="E10" s="58"/>
      <c r="F10" s="58"/>
      <c r="G10" s="58"/>
      <c r="H10" s="58"/>
      <c r="I10" s="58"/>
      <c r="J10" s="58"/>
      <c r="K10" s="58">
        <v>4.5999999999999996</v>
      </c>
      <c r="L10" s="58">
        <v>5.2</v>
      </c>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c r="J11" s="113"/>
      <c r="K11" s="113">
        <v>0.1</v>
      </c>
      <c r="L11" s="113">
        <v>0.1</v>
      </c>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c r="J13" s="113"/>
      <c r="K13" s="113">
        <v>4.5</v>
      </c>
      <c r="L13" s="113">
        <v>5.0999999999999996</v>
      </c>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c r="J14" s="58"/>
      <c r="K14" s="58">
        <v>925</v>
      </c>
      <c r="L14" s="58">
        <v>1008</v>
      </c>
      <c r="M14" s="58"/>
      <c r="N14" s="58"/>
      <c r="O14" s="58"/>
      <c r="DT14" s="139" t="s">
        <v>284</v>
      </c>
      <c r="EB14" s="33" t="s">
        <v>291</v>
      </c>
      <c r="ED14" s="33" t="s">
        <v>295</v>
      </c>
    </row>
    <row r="15" spans="1:134" s="34" customFormat="1" ht="15" customHeight="1" x14ac:dyDescent="0.25">
      <c r="A15" s="182"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182"/>
      <c r="B16" s="110" t="s">
        <v>27</v>
      </c>
      <c r="C16" s="111" t="s">
        <v>25</v>
      </c>
      <c r="D16" s="112"/>
      <c r="E16" s="113"/>
      <c r="F16" s="113"/>
      <c r="G16" s="113"/>
      <c r="H16" s="113"/>
      <c r="I16" s="113"/>
      <c r="J16" s="113"/>
      <c r="K16" s="113">
        <v>925</v>
      </c>
      <c r="L16" s="113">
        <v>887</v>
      </c>
      <c r="M16" s="113"/>
      <c r="N16" s="113"/>
      <c r="O16" s="113"/>
      <c r="DT16" s="34" t="s">
        <v>286</v>
      </c>
      <c r="EB16" s="34" t="s">
        <v>291</v>
      </c>
      <c r="ED16" s="34" t="s">
        <v>295</v>
      </c>
    </row>
    <row r="17" spans="1:134" s="34" customFormat="1" ht="15" customHeight="1" x14ac:dyDescent="0.25">
      <c r="A17" s="182"/>
      <c r="B17" s="110" t="s">
        <v>28</v>
      </c>
      <c r="C17" s="111" t="s">
        <v>25</v>
      </c>
      <c r="D17" s="112"/>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182"/>
      <c r="B18" s="110" t="s">
        <v>185</v>
      </c>
      <c r="C18" s="111" t="s">
        <v>25</v>
      </c>
      <c r="D18" s="112"/>
      <c r="E18" s="113"/>
      <c r="F18" s="113"/>
      <c r="G18" s="113"/>
      <c r="H18" s="113"/>
      <c r="I18" s="113"/>
      <c r="J18" s="113"/>
      <c r="K18" s="113"/>
      <c r="L18" s="113">
        <v>121</v>
      </c>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ED19"/>
  <sheetViews>
    <sheetView showGridLines="0" zoomScale="90" zoomScaleNormal="90" workbookViewId="0">
      <pane xSplit="3" topLeftCell="H1" activePane="topRight" state="frozen"/>
      <selection activeCell="DS1" sqref="DS1:ED1048576"/>
      <selection pane="topRight" activeCell="K6" sqref="K6:K17"/>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9</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c r="E6" s="60"/>
      <c r="F6" s="60"/>
      <c r="G6" s="60"/>
      <c r="H6" s="60"/>
      <c r="I6" s="60"/>
      <c r="J6" s="60"/>
      <c r="K6" s="60">
        <v>170.2</v>
      </c>
      <c r="L6" s="60">
        <v>176.1</v>
      </c>
      <c r="M6" s="60"/>
      <c r="N6" s="60"/>
      <c r="O6" s="60"/>
      <c r="DS6" s="4" t="str">
        <f>VLOOKUP(Cover!$D$15, Country_list!$B$3:$C$44, 2, 0)</f>
        <v>LT</v>
      </c>
      <c r="DT6" s="33" t="s">
        <v>289</v>
      </c>
      <c r="DV6" s="33" t="s">
        <v>305</v>
      </c>
      <c r="EB6" s="33" t="s">
        <v>291</v>
      </c>
      <c r="ED6" s="33" t="s">
        <v>294</v>
      </c>
    </row>
    <row r="7" spans="1:134" ht="24" customHeight="1" x14ac:dyDescent="0.25">
      <c r="A7" s="183" t="s">
        <v>15</v>
      </c>
      <c r="B7" s="200"/>
      <c r="C7" s="9" t="s">
        <v>25</v>
      </c>
      <c r="D7" s="61"/>
      <c r="E7" s="58"/>
      <c r="F7" s="58"/>
      <c r="G7" s="58"/>
      <c r="H7" s="58"/>
      <c r="I7" s="58"/>
      <c r="J7" s="58"/>
      <c r="K7" s="58"/>
      <c r="L7" s="58"/>
      <c r="M7" s="58"/>
      <c r="N7" s="58"/>
      <c r="O7" s="58"/>
      <c r="DT7" s="33" t="s">
        <v>290</v>
      </c>
      <c r="EB7" s="33" t="s">
        <v>291</v>
      </c>
      <c r="ED7" s="33" t="s">
        <v>295</v>
      </c>
    </row>
    <row r="8" spans="1:134" ht="24" customHeight="1" x14ac:dyDescent="0.25">
      <c r="A8" s="183" t="s">
        <v>29</v>
      </c>
      <c r="B8" s="200"/>
      <c r="C8" s="9" t="s">
        <v>17</v>
      </c>
      <c r="D8" s="61"/>
      <c r="E8" s="58"/>
      <c r="F8" s="58"/>
      <c r="G8" s="58"/>
      <c r="H8" s="58"/>
      <c r="I8" s="58"/>
      <c r="J8" s="58"/>
      <c r="K8" s="58">
        <v>1687</v>
      </c>
      <c r="L8" s="58">
        <v>1787</v>
      </c>
      <c r="M8" s="58"/>
      <c r="N8" s="58"/>
      <c r="O8" s="58"/>
      <c r="DT8" s="33" t="s">
        <v>231</v>
      </c>
      <c r="EB8" s="33" t="s">
        <v>291</v>
      </c>
      <c r="ED8" s="33" t="s">
        <v>296</v>
      </c>
    </row>
    <row r="9" spans="1:134" ht="24" customHeight="1" x14ac:dyDescent="0.25">
      <c r="A9" s="183" t="s">
        <v>156</v>
      </c>
      <c r="B9" s="200"/>
      <c r="C9" s="9" t="s">
        <v>19</v>
      </c>
      <c r="D9" s="61"/>
      <c r="E9" s="58"/>
      <c r="F9" s="58"/>
      <c r="G9" s="58"/>
      <c r="H9" s="58"/>
      <c r="I9" s="58"/>
      <c r="J9" s="58"/>
      <c r="K9" s="58">
        <v>1.3</v>
      </c>
      <c r="L9" s="58">
        <v>1.4</v>
      </c>
      <c r="M9" s="58"/>
      <c r="N9" s="58"/>
      <c r="O9" s="58"/>
      <c r="DT9" s="33" t="s">
        <v>279</v>
      </c>
      <c r="EB9" s="33" t="s">
        <v>292</v>
      </c>
      <c r="ED9" s="33" t="s">
        <v>293</v>
      </c>
    </row>
    <row r="10" spans="1:134" ht="24" customHeight="1" x14ac:dyDescent="0.25">
      <c r="A10" s="183" t="s">
        <v>20</v>
      </c>
      <c r="B10" s="200"/>
      <c r="C10" s="9" t="s">
        <v>19</v>
      </c>
      <c r="D10" s="61"/>
      <c r="E10" s="58"/>
      <c r="F10" s="58"/>
      <c r="G10" s="58"/>
      <c r="H10" s="58"/>
      <c r="I10" s="58"/>
      <c r="J10" s="58"/>
      <c r="K10" s="58">
        <v>31.9</v>
      </c>
      <c r="L10" s="58">
        <v>30.8</v>
      </c>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c r="J11" s="113"/>
      <c r="K11" s="113">
        <v>31.9</v>
      </c>
      <c r="L11" s="113">
        <v>30.8</v>
      </c>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c r="J14" s="58"/>
      <c r="K14" s="58">
        <v>394</v>
      </c>
      <c r="L14" s="58">
        <v>366</v>
      </c>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c r="J16" s="113"/>
      <c r="K16" s="113">
        <v>394</v>
      </c>
      <c r="L16" s="113">
        <v>366</v>
      </c>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D1" activePane="topRight" state="frozen"/>
      <selection activeCell="DS1" sqref="DS1:ED1048576"/>
      <selection pane="topRight" activeCell="K18" sqref="K18"/>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10</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7" t="s">
        <v>13</v>
      </c>
      <c r="B6" s="208"/>
      <c r="C6" s="32" t="s">
        <v>14</v>
      </c>
      <c r="D6" s="62"/>
      <c r="E6" s="63"/>
      <c r="F6" s="63"/>
      <c r="G6" s="63"/>
      <c r="H6" s="63"/>
      <c r="I6" s="63"/>
      <c r="J6" s="63"/>
      <c r="K6" s="63">
        <v>2369.4</v>
      </c>
      <c r="L6" s="63">
        <v>2498</v>
      </c>
      <c r="M6" s="63"/>
      <c r="N6" s="63"/>
      <c r="O6" s="63"/>
      <c r="DS6" s="4" t="str">
        <f>VLOOKUP(Cover!$D$15, Country_list!$B$3:$C$44, 2, 0)</f>
        <v>LT</v>
      </c>
      <c r="DT6" s="33" t="s">
        <v>289</v>
      </c>
      <c r="DV6" s="155" t="s">
        <v>306</v>
      </c>
      <c r="EB6" s="33" t="s">
        <v>291</v>
      </c>
      <c r="ED6" s="33" t="s">
        <v>294</v>
      </c>
    </row>
    <row r="7" spans="1:134" ht="21" customHeight="1" x14ac:dyDescent="0.25"/>
    <row r="10" spans="1:134" x14ac:dyDescent="0.25">
      <c r="DT10" s="139"/>
    </row>
    <row r="14" spans="1:134" x14ac:dyDescent="0.25">
      <c r="DT14" s="139"/>
    </row>
    <row r="18" spans="124:124" x14ac:dyDescent="0.25">
      <c r="DT18" s="139"/>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zoomScale="90" zoomScaleNormal="90" workbookViewId="0">
      <pane xSplit="3" topLeftCell="D1" activePane="topRight" state="frozen"/>
      <selection activeCell="DS1" sqref="DS1:ED1048576"/>
      <selection pane="topRight" activeCell="B32" sqref="B32"/>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11</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209"/>
      <c r="C6" s="8" t="s">
        <v>14</v>
      </c>
      <c r="D6" s="59"/>
      <c r="E6" s="60"/>
      <c r="F6" s="60"/>
      <c r="G6" s="60"/>
      <c r="H6" s="60"/>
      <c r="I6" s="60"/>
      <c r="J6" s="60"/>
      <c r="K6" s="60"/>
      <c r="L6" s="60"/>
      <c r="M6" s="60"/>
      <c r="N6" s="60"/>
      <c r="O6" s="60"/>
      <c r="DS6" s="4" t="str">
        <f>VLOOKUP(Cover!$D$15, Country_list!$B$3:$C$44, 2, 0)</f>
        <v>LT</v>
      </c>
      <c r="DT6" s="33" t="s">
        <v>289</v>
      </c>
      <c r="DV6" s="33" t="s">
        <v>307</v>
      </c>
      <c r="EB6" s="33" t="s">
        <v>291</v>
      </c>
      <c r="ED6" s="33" t="s">
        <v>294</v>
      </c>
    </row>
    <row r="7" spans="1:134" ht="24" customHeight="1" x14ac:dyDescent="0.25">
      <c r="A7" s="183" t="s">
        <v>15</v>
      </c>
      <c r="B7" s="210"/>
      <c r="C7" s="9" t="s">
        <v>25</v>
      </c>
      <c r="D7" s="61"/>
      <c r="E7" s="58"/>
      <c r="F7" s="58"/>
      <c r="G7" s="58"/>
      <c r="H7" s="58"/>
      <c r="I7" s="58"/>
      <c r="J7" s="58"/>
      <c r="K7" s="58"/>
      <c r="L7" s="58"/>
      <c r="M7" s="58"/>
      <c r="N7" s="58"/>
      <c r="O7" s="58"/>
      <c r="DT7" s="33" t="s">
        <v>290</v>
      </c>
      <c r="EB7" s="33" t="s">
        <v>291</v>
      </c>
      <c r="ED7" s="33" t="s">
        <v>295</v>
      </c>
    </row>
    <row r="8" spans="1:134" ht="24" customHeight="1" x14ac:dyDescent="0.25">
      <c r="A8" s="183" t="s">
        <v>29</v>
      </c>
      <c r="B8" s="210"/>
      <c r="C8" s="9" t="s">
        <v>17</v>
      </c>
      <c r="D8" s="61"/>
      <c r="E8" s="58"/>
      <c r="F8" s="58"/>
      <c r="G8" s="58"/>
      <c r="H8" s="58"/>
      <c r="I8" s="58"/>
      <c r="J8" s="58"/>
      <c r="K8" s="58"/>
      <c r="L8" s="58"/>
      <c r="M8" s="58"/>
      <c r="N8" s="58"/>
      <c r="O8" s="58"/>
      <c r="DT8" s="33" t="s">
        <v>231</v>
      </c>
      <c r="EB8" s="33" t="s">
        <v>291</v>
      </c>
      <c r="ED8" s="33" t="s">
        <v>296</v>
      </c>
    </row>
    <row r="9" spans="1:134" ht="24" customHeight="1" x14ac:dyDescent="0.25">
      <c r="A9" s="183" t="s">
        <v>156</v>
      </c>
      <c r="B9" s="200"/>
      <c r="C9" s="9" t="s">
        <v>19</v>
      </c>
      <c r="D9" s="61"/>
      <c r="E9" s="58"/>
      <c r="F9" s="58"/>
      <c r="G9" s="58"/>
      <c r="H9" s="58"/>
      <c r="I9" s="58"/>
      <c r="J9" s="58"/>
      <c r="K9" s="58"/>
      <c r="L9" s="58"/>
      <c r="M9" s="58"/>
      <c r="N9" s="58"/>
      <c r="O9" s="58"/>
      <c r="DT9" s="33" t="s">
        <v>279</v>
      </c>
      <c r="EB9" s="33" t="s">
        <v>292</v>
      </c>
      <c r="ED9" s="33" t="s">
        <v>293</v>
      </c>
    </row>
    <row r="10" spans="1:134" ht="24" customHeight="1" x14ac:dyDescent="0.25">
      <c r="A10" s="183" t="s">
        <v>20</v>
      </c>
      <c r="B10" s="200"/>
      <c r="C10" s="9" t="s">
        <v>19</v>
      </c>
      <c r="D10" s="61"/>
      <c r="E10" s="58"/>
      <c r="F10" s="58"/>
      <c r="G10" s="58"/>
      <c r="H10" s="58"/>
      <c r="I10" s="58"/>
      <c r="J10" s="58"/>
      <c r="K10" s="58"/>
      <c r="L10" s="58"/>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c r="J14" s="58"/>
      <c r="K14" s="58"/>
      <c r="L14" s="58"/>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zoomScale="90" zoomScaleNormal="90" workbookViewId="0">
      <selection activeCell="C4" sqref="C4"/>
    </sheetView>
  </sheetViews>
  <sheetFormatPr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1" t="s">
        <v>44</v>
      </c>
      <c r="C3" s="212"/>
      <c r="D3" s="213"/>
    </row>
    <row r="4" spans="2:4" ht="15.75" thickBot="1" x14ac:dyDescent="0.3"/>
    <row r="5" spans="2:4" ht="15" customHeight="1" x14ac:dyDescent="0.25">
      <c r="B5" s="39"/>
      <c r="C5" s="214"/>
      <c r="D5" s="95"/>
    </row>
    <row r="6" spans="2:4" x14ac:dyDescent="0.25">
      <c r="B6" s="40"/>
      <c r="C6" s="215"/>
      <c r="D6" s="41"/>
    </row>
    <row r="7" spans="2:4" x14ac:dyDescent="0.25">
      <c r="B7" s="40"/>
      <c r="C7" s="215"/>
      <c r="D7" s="41"/>
    </row>
    <row r="8" spans="2:4" x14ac:dyDescent="0.25">
      <c r="B8" s="40"/>
      <c r="C8" s="215"/>
      <c r="D8" s="41"/>
    </row>
    <row r="9" spans="2:4" x14ac:dyDescent="0.25">
      <c r="B9" s="40"/>
      <c r="C9" s="215"/>
      <c r="D9" s="41"/>
    </row>
    <row r="10" spans="2:4" x14ac:dyDescent="0.25">
      <c r="B10" s="40"/>
      <c r="C10" s="215"/>
      <c r="D10" s="41"/>
    </row>
    <row r="11" spans="2:4" x14ac:dyDescent="0.25">
      <c r="B11" s="40"/>
      <c r="C11" s="215"/>
      <c r="D11" s="41"/>
    </row>
    <row r="12" spans="2:4" x14ac:dyDescent="0.25">
      <c r="B12" s="40"/>
      <c r="C12" s="215"/>
      <c r="D12" s="41"/>
    </row>
    <row r="13" spans="2:4" x14ac:dyDescent="0.25">
      <c r="B13" s="40"/>
      <c r="C13" s="215"/>
      <c r="D13" s="41"/>
    </row>
    <row r="14" spans="2:4" x14ac:dyDescent="0.25">
      <c r="B14" s="40"/>
      <c r="C14" s="215"/>
      <c r="D14" s="41"/>
    </row>
    <row r="15" spans="2:4" x14ac:dyDescent="0.25">
      <c r="B15" s="40"/>
      <c r="C15" s="215"/>
      <c r="D15" s="41"/>
    </row>
    <row r="16" spans="2:4" x14ac:dyDescent="0.25">
      <c r="B16" s="40"/>
      <c r="C16" s="215"/>
      <c r="D16" s="41"/>
    </row>
    <row r="17" spans="2:4" x14ac:dyDescent="0.25">
      <c r="B17" s="40"/>
      <c r="C17" s="215"/>
      <c r="D17" s="41"/>
    </row>
    <row r="18" spans="2:4" x14ac:dyDescent="0.25">
      <c r="B18" s="40"/>
      <c r="C18" s="215"/>
      <c r="D18" s="41"/>
    </row>
    <row r="19" spans="2:4" x14ac:dyDescent="0.25">
      <c r="B19" s="40"/>
      <c r="C19" s="215"/>
      <c r="D19" s="41"/>
    </row>
    <row r="20" spans="2:4" x14ac:dyDescent="0.25">
      <c r="B20" s="40"/>
      <c r="C20" s="215"/>
      <c r="D20" s="41"/>
    </row>
    <row r="21" spans="2:4" x14ac:dyDescent="0.25">
      <c r="B21" s="40"/>
      <c r="C21" s="215"/>
      <c r="D21" s="41"/>
    </row>
    <row r="22" spans="2:4" x14ac:dyDescent="0.25">
      <c r="B22" s="40"/>
      <c r="C22" s="215"/>
      <c r="D22" s="41"/>
    </row>
    <row r="23" spans="2:4" x14ac:dyDescent="0.25">
      <c r="B23" s="40"/>
      <c r="C23" s="215"/>
      <c r="D23" s="41"/>
    </row>
    <row r="24" spans="2:4" x14ac:dyDescent="0.25">
      <c r="B24" s="40"/>
      <c r="C24" s="215"/>
      <c r="D24" s="41"/>
    </row>
    <row r="25" spans="2:4" x14ac:dyDescent="0.25">
      <c r="B25" s="40"/>
      <c r="C25" s="215"/>
      <c r="D25" s="41"/>
    </row>
    <row r="26" spans="2:4" x14ac:dyDescent="0.25">
      <c r="B26" s="40"/>
      <c r="C26" s="215"/>
      <c r="D26" s="41"/>
    </row>
    <row r="27" spans="2:4" x14ac:dyDescent="0.25">
      <c r="B27" s="40"/>
      <c r="C27" s="215"/>
      <c r="D27" s="41"/>
    </row>
    <row r="28" spans="2:4" x14ac:dyDescent="0.25">
      <c r="B28" s="40"/>
      <c r="C28" s="215"/>
      <c r="D28" s="41"/>
    </row>
    <row r="29" spans="2:4" x14ac:dyDescent="0.25">
      <c r="B29" s="40"/>
      <c r="C29" s="215"/>
      <c r="D29" s="41"/>
    </row>
    <row r="30" spans="2:4" x14ac:dyDescent="0.25">
      <c r="B30" s="40"/>
      <c r="C30" s="215"/>
      <c r="D30" s="41"/>
    </row>
    <row r="31" spans="2:4" x14ac:dyDescent="0.25">
      <c r="B31" s="40"/>
      <c r="C31" s="215"/>
      <c r="D31" s="41"/>
    </row>
    <row r="32" spans="2:4" x14ac:dyDescent="0.25">
      <c r="B32" s="40"/>
      <c r="C32" s="215"/>
      <c r="D32" s="41"/>
    </row>
    <row r="33" spans="2:4" x14ac:dyDescent="0.25">
      <c r="B33" s="40"/>
      <c r="C33" s="215"/>
      <c r="D33" s="41"/>
    </row>
    <row r="34" spans="2:4" x14ac:dyDescent="0.25">
      <c r="B34" s="40"/>
      <c r="C34" s="215"/>
      <c r="D34" s="41"/>
    </row>
    <row r="35" spans="2:4" x14ac:dyDescent="0.25">
      <c r="B35" s="40"/>
      <c r="C35" s="215"/>
      <c r="D35" s="41"/>
    </row>
    <row r="36" spans="2:4" x14ac:dyDescent="0.25">
      <c r="B36" s="40"/>
      <c r="C36" s="215"/>
      <c r="D36" s="41"/>
    </row>
    <row r="37" spans="2:4" x14ac:dyDescent="0.25">
      <c r="B37" s="40"/>
      <c r="C37" s="215"/>
      <c r="D37" s="41"/>
    </row>
    <row r="38" spans="2:4" x14ac:dyDescent="0.25">
      <c r="B38" s="40"/>
      <c r="C38" s="215"/>
      <c r="D38" s="41"/>
    </row>
    <row r="39" spans="2:4" x14ac:dyDescent="0.25">
      <c r="B39" s="40"/>
      <c r="C39" s="215"/>
      <c r="D39" s="41"/>
    </row>
    <row r="40" spans="2:4" x14ac:dyDescent="0.25">
      <c r="B40" s="40"/>
      <c r="C40" s="215"/>
      <c r="D40" s="41"/>
    </row>
    <row r="41" spans="2:4" x14ac:dyDescent="0.25">
      <c r="B41" s="40"/>
      <c r="C41" s="215"/>
      <c r="D41" s="41"/>
    </row>
    <row r="42" spans="2:4" x14ac:dyDescent="0.25">
      <c r="B42" s="40"/>
      <c r="C42" s="215"/>
      <c r="D42" s="41"/>
    </row>
    <row r="43" spans="2:4" ht="15.75" thickBot="1" x14ac:dyDescent="0.3">
      <c r="B43" s="42"/>
      <c r="C43" s="216"/>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zoomScale="90" zoomScaleNormal="90" workbookViewId="0">
      <selection activeCell="J17" sqref="J17"/>
    </sheetView>
  </sheetViews>
  <sheetFormatPr defaultRowHeight="15" x14ac:dyDescent="0.25"/>
  <cols>
    <col min="1" max="1" width="18.7109375" customWidth="1"/>
    <col min="2" max="2" width="123.7109375" customWidth="1"/>
    <col min="3" max="14" width="9.140625" style="99"/>
  </cols>
  <sheetData>
    <row r="1" spans="1:14" ht="15.75" x14ac:dyDescent="0.25">
      <c r="A1" s="105" t="s">
        <v>170</v>
      </c>
    </row>
    <row r="4" spans="1:14" ht="15.75" x14ac:dyDescent="0.25">
      <c r="B4" s="106" t="s">
        <v>149</v>
      </c>
      <c r="C4" s="107" t="b">
        <f>COUNTIF(C7:J46, FALSE) = 0</f>
        <v>1</v>
      </c>
    </row>
    <row r="6" spans="1:14" x14ac:dyDescent="0.25">
      <c r="A6" s="103" t="s">
        <v>150</v>
      </c>
      <c r="B6" s="103" t="s">
        <v>151</v>
      </c>
      <c r="C6" s="104">
        <v>2010</v>
      </c>
      <c r="D6" s="104">
        <v>2011</v>
      </c>
      <c r="E6" s="104">
        <v>2012</v>
      </c>
      <c r="F6" s="104">
        <v>2013</v>
      </c>
      <c r="G6" s="104">
        <v>2014</v>
      </c>
      <c r="H6" s="104">
        <v>2015</v>
      </c>
      <c r="I6" s="104">
        <v>2016</v>
      </c>
      <c r="J6" s="104">
        <v>2017</v>
      </c>
      <c r="K6" s="104">
        <v>2018</v>
      </c>
      <c r="L6" s="104">
        <v>2019</v>
      </c>
      <c r="M6" s="104">
        <v>2020</v>
      </c>
      <c r="N6" s="104">
        <v>2021</v>
      </c>
    </row>
    <row r="7" spans="1:14" x14ac:dyDescent="0.25">
      <c r="A7" t="s">
        <v>152</v>
      </c>
      <c r="B7" t="s">
        <v>160</v>
      </c>
      <c r="C7" s="99" t="b">
        <f>'1a_SpaceHeating'!D10&gt;=SUM('1a_SpaceHeating'!D11+'1a_SpaceHeating'!D12+'1a_SpaceHeating'!D13)</f>
        <v>1</v>
      </c>
      <c r="D7" s="99" t="b">
        <f>'1a_SpaceHeating'!E10 &gt;= SUM('1a_SpaceHeating'!E11+'1a_SpaceHeating'!E12+'1a_SpaceHeating'!E13)</f>
        <v>1</v>
      </c>
      <c r="E7" s="99" t="b">
        <f>'1a_SpaceHeating'!F10 &gt;= SUM('1a_SpaceHeating'!F11+'1a_SpaceHeating'!F12+'1a_SpaceHeating'!F13)</f>
        <v>1</v>
      </c>
      <c r="F7" s="99" t="b">
        <f>'1a_SpaceHeating'!G10 &gt;= SUM('1a_SpaceHeating'!G11+'1a_SpaceHeating'!G12+'1a_SpaceHeating'!G13)</f>
        <v>1</v>
      </c>
      <c r="G7" s="99" t="b">
        <f>'1a_SpaceHeating'!H10 &gt;= SUM('1a_SpaceHeating'!H11+'1a_SpaceHeating'!H12+'1a_SpaceHeating'!H13)</f>
        <v>1</v>
      </c>
      <c r="H7" s="99" t="b">
        <f>'1a_SpaceHeating'!I10 &gt;= SUM('1a_SpaceHeating'!I11+'1a_SpaceHeating'!I12+'1a_SpaceHeating'!I13)</f>
        <v>1</v>
      </c>
      <c r="I7" s="99" t="b">
        <f>'1a_SpaceHeating'!J10 &gt;= SUM('1a_SpaceHeating'!J11+'1a_SpaceHeating'!J12+'1a_SpaceHeating'!J13)</f>
        <v>1</v>
      </c>
      <c r="J7" s="99" t="b">
        <f>'1a_SpaceHeating'!K10 &gt;= SUM('1a_SpaceHeating'!K11+'1a_SpaceHeating'!K12+'1a_SpaceHeating'!K13)</f>
        <v>1</v>
      </c>
      <c r="K7" s="99" t="b">
        <f>'1a_SpaceHeating'!L10 &gt;= SUM('1a_SpaceHeating'!L11+'1a_SpaceHeating'!L12+'1a_SpaceHeating'!L13)</f>
        <v>1</v>
      </c>
      <c r="L7" s="99" t="b">
        <f>'1a_SpaceHeating'!M10 &gt;= SUM('1a_SpaceHeating'!M11+'1a_SpaceHeating'!M12+'1a_SpaceHeating'!M13)</f>
        <v>1</v>
      </c>
      <c r="M7" s="99" t="b">
        <f>'1a_SpaceHeating'!N10 &gt;= SUM('1a_SpaceHeating'!N11+'1a_SpaceHeating'!N12+'1a_SpaceHeating'!N13)</f>
        <v>1</v>
      </c>
      <c r="N7" s="99" t="b">
        <f>'1a_SpaceHeating'!O10 &gt;= SUM('1a_SpaceHeating'!O11+'1a_SpaceHeating'!O12+'1a_SpaceHeating'!O13)</f>
        <v>1</v>
      </c>
    </row>
    <row r="8" spans="1:14" x14ac:dyDescent="0.25">
      <c r="A8" t="s">
        <v>152</v>
      </c>
      <c r="B8" t="s">
        <v>161</v>
      </c>
      <c r="C8" s="99" t="b">
        <f>'1a_SpaceHeating'!D14&gt;=SUM('1a_SpaceHeating'!D15+'1a_SpaceHeating'!D16+'1a_SpaceHeating'!D17+'1a_SpaceHeating'!D18)</f>
        <v>1</v>
      </c>
      <c r="D8" s="99" t="b">
        <f>'1a_SpaceHeating'!E14&gt;=SUM('1a_SpaceHeating'!E15+'1a_SpaceHeating'!E16+'1a_SpaceHeating'!E17+'1a_SpaceHeating'!E18)</f>
        <v>1</v>
      </c>
      <c r="E8" s="99" t="b">
        <f>'1a_SpaceHeating'!F14&gt;=SUM('1a_SpaceHeating'!F15+'1a_SpaceHeating'!F16+'1a_SpaceHeating'!F17+'1a_SpaceHeating'!F18)</f>
        <v>1</v>
      </c>
      <c r="F8" s="99" t="b">
        <f>'1a_SpaceHeating'!G14&gt;=SUM('1a_SpaceHeating'!G15+'1a_SpaceHeating'!G16+'1a_SpaceHeating'!G17+'1a_SpaceHeating'!G18)</f>
        <v>1</v>
      </c>
      <c r="G8" s="99" t="b">
        <f>'1a_SpaceHeating'!H14&gt;=SUM('1a_SpaceHeating'!H15+'1a_SpaceHeating'!H16+'1a_SpaceHeating'!H17+'1a_SpaceHeating'!H18)</f>
        <v>1</v>
      </c>
      <c r="H8" s="99" t="b">
        <f>'1a_SpaceHeating'!I14&gt;=SUM('1a_SpaceHeating'!I15+'1a_SpaceHeating'!I16+'1a_SpaceHeating'!I17+'1a_SpaceHeating'!I18)</f>
        <v>1</v>
      </c>
      <c r="I8" s="99" t="b">
        <f>'1a_SpaceHeating'!J14&gt;=SUM('1a_SpaceHeating'!J15+'1a_SpaceHeating'!J16+'1a_SpaceHeating'!J17+'1a_SpaceHeating'!J18)</f>
        <v>1</v>
      </c>
      <c r="J8" s="99" t="b">
        <f>'1a_SpaceHeating'!K14&gt;=SUM('1a_SpaceHeating'!K15+'1a_SpaceHeating'!K16+'1a_SpaceHeating'!K17+'1a_SpaceHeating'!K18)</f>
        <v>1</v>
      </c>
      <c r="K8" s="99" t="b">
        <f>'1a_SpaceHeating'!L14&gt;=SUM('1a_SpaceHeating'!L15+'1a_SpaceHeating'!L16+'1a_SpaceHeating'!L17+'1a_SpaceHeating'!L18)</f>
        <v>1</v>
      </c>
      <c r="L8" s="99" t="b">
        <f>'1a_SpaceHeating'!M14&gt;=SUM('1a_SpaceHeating'!M15+'1a_SpaceHeating'!M16+'1a_SpaceHeating'!M17+'1a_SpaceHeating'!M18)</f>
        <v>1</v>
      </c>
      <c r="M8" s="99" t="b">
        <f>'1a_SpaceHeating'!N14&gt;=SUM('1a_SpaceHeating'!N15+'1a_SpaceHeating'!N16+'1a_SpaceHeating'!N17+'1a_SpaceHeating'!N18)</f>
        <v>1</v>
      </c>
      <c r="N8" s="99" t="b">
        <f>'1a_SpaceHeating'!O14&gt;=SUM('1a_SpaceHeating'!O15+'1a_SpaceHeating'!O16+'1a_SpaceHeating'!O17+'1a_SpaceHeating'!O18)</f>
        <v>1</v>
      </c>
    </row>
    <row r="9" spans="1:14" x14ac:dyDescent="0.25">
      <c r="A9" t="s">
        <v>169</v>
      </c>
      <c r="B9" t="s">
        <v>160</v>
      </c>
      <c r="C9" s="99" t="b">
        <f>'1b_SpaceCooling'!D10&gt;=SUM('1b_SpaceCooling'!D11+'1b_SpaceCooling'!D12+'1b_SpaceCooling'!D13)</f>
        <v>1</v>
      </c>
      <c r="D9" s="99" t="b">
        <f>'1b_SpaceCooling'!E10&gt;=SUM('1b_SpaceCooling'!E11+'1b_SpaceCooling'!E12+'1b_SpaceCooling'!E13)</f>
        <v>1</v>
      </c>
      <c r="E9" s="99" t="b">
        <f>'1b_SpaceCooling'!F10&gt;=SUM('1b_SpaceCooling'!F11+'1b_SpaceCooling'!F12+'1b_SpaceCooling'!F13)</f>
        <v>1</v>
      </c>
      <c r="F9" s="99" t="b">
        <f>'1b_SpaceCooling'!G10&gt;=SUM('1b_SpaceCooling'!G11+'1b_SpaceCooling'!G12+'1b_SpaceCooling'!G13)</f>
        <v>1</v>
      </c>
      <c r="G9" s="99" t="b">
        <f>'1b_SpaceCooling'!H10&gt;=SUM('1b_SpaceCooling'!H11+'1b_SpaceCooling'!H12+'1b_SpaceCooling'!H13)</f>
        <v>1</v>
      </c>
      <c r="H9" s="99" t="b">
        <f>'1b_SpaceCooling'!I10&gt;=SUM('1b_SpaceCooling'!I11+'1b_SpaceCooling'!I12+'1b_SpaceCooling'!I13)</f>
        <v>1</v>
      </c>
      <c r="I9" s="99" t="b">
        <f>'1b_SpaceCooling'!J10&gt;=SUM('1b_SpaceCooling'!J11+'1b_SpaceCooling'!J12+'1b_SpaceCooling'!J13)</f>
        <v>1</v>
      </c>
      <c r="J9" s="99" t="b">
        <f>'1b_SpaceCooling'!K10&gt;=SUM('1b_SpaceCooling'!K11+'1b_SpaceCooling'!K12+'1b_SpaceCooling'!K13)</f>
        <v>1</v>
      </c>
      <c r="K9" s="99" t="b">
        <f>'1b_SpaceCooling'!L10&gt;=SUM('1b_SpaceCooling'!L11+'1b_SpaceCooling'!L12+'1b_SpaceCooling'!L13)</f>
        <v>1</v>
      </c>
      <c r="L9" s="99" t="b">
        <f>'1b_SpaceCooling'!M10&gt;=SUM('1b_SpaceCooling'!M11+'1b_SpaceCooling'!M12+'1b_SpaceCooling'!M13)</f>
        <v>1</v>
      </c>
      <c r="M9" s="99" t="b">
        <f>'1b_SpaceCooling'!N10&gt;=SUM('1b_SpaceCooling'!N11+'1b_SpaceCooling'!N12+'1b_SpaceCooling'!N13)</f>
        <v>1</v>
      </c>
      <c r="N9" s="99" t="b">
        <f>'1b_SpaceCooling'!O10&gt;=SUM('1b_SpaceCooling'!O11+'1b_SpaceCooling'!O12+'1b_SpaceCooling'!O13)</f>
        <v>1</v>
      </c>
    </row>
    <row r="10" spans="1:14" x14ac:dyDescent="0.25">
      <c r="A10" t="s">
        <v>169</v>
      </c>
      <c r="B10" t="s">
        <v>161</v>
      </c>
      <c r="C10" s="99" t="b">
        <f>'1b_SpaceCooling'!D14&gt;=SUM('1b_SpaceCooling'!D15+'1b_SpaceCooling'!D16+'1b_SpaceCooling'!D17+'1b_SpaceCooling'!D18)</f>
        <v>1</v>
      </c>
      <c r="D10" s="99" t="b">
        <f>'1b_SpaceCooling'!E14&gt;=SUM('1b_SpaceCooling'!E15+'1b_SpaceCooling'!E16+'1b_SpaceCooling'!E17+'1b_SpaceCooling'!E18)</f>
        <v>1</v>
      </c>
      <c r="E10" s="99" t="b">
        <f>'1b_SpaceCooling'!F14&gt;=SUM('1b_SpaceCooling'!F15+'1b_SpaceCooling'!F16+'1b_SpaceCooling'!F17+'1b_SpaceCooling'!F18)</f>
        <v>1</v>
      </c>
      <c r="F10" s="99" t="b">
        <f>'1b_SpaceCooling'!G14&gt;=SUM('1b_SpaceCooling'!G15+'1b_SpaceCooling'!G16+'1b_SpaceCooling'!G17+'1b_SpaceCooling'!G18)</f>
        <v>1</v>
      </c>
      <c r="G10" s="99" t="b">
        <f>'1b_SpaceCooling'!H14&gt;=SUM('1b_SpaceCooling'!H15+'1b_SpaceCooling'!H16+'1b_SpaceCooling'!H17+'1b_SpaceCooling'!H18)</f>
        <v>1</v>
      </c>
      <c r="H10" s="99" t="b">
        <f>'1b_SpaceCooling'!I14&gt;=SUM('1b_SpaceCooling'!I15+'1b_SpaceCooling'!I16+'1b_SpaceCooling'!I17+'1b_SpaceCooling'!I18)</f>
        <v>1</v>
      </c>
      <c r="I10" s="99" t="b">
        <f>'1b_SpaceCooling'!J14&gt;=SUM('1b_SpaceCooling'!J15+'1b_SpaceCooling'!J16+'1b_SpaceCooling'!J17+'1b_SpaceCooling'!J18)</f>
        <v>1</v>
      </c>
      <c r="J10" s="99" t="b">
        <f>'1b_SpaceCooling'!K14&gt;=SUM('1b_SpaceCooling'!K15+'1b_SpaceCooling'!K16+'1b_SpaceCooling'!K17+'1b_SpaceCooling'!K18)</f>
        <v>1</v>
      </c>
      <c r="K10" s="99" t="b">
        <f>'1b_SpaceCooling'!L14&gt;=SUM('1b_SpaceCooling'!L15+'1b_SpaceCooling'!L16+'1b_SpaceCooling'!L17+'1b_SpaceCooling'!L18)</f>
        <v>1</v>
      </c>
      <c r="L10" s="99" t="b">
        <f>'1b_SpaceCooling'!M14&gt;=SUM('1b_SpaceCooling'!M15+'1b_SpaceCooling'!M16+'1b_SpaceCooling'!M17+'1b_SpaceCooling'!M18)</f>
        <v>1</v>
      </c>
      <c r="M10" s="99" t="b">
        <f>'1b_SpaceCooling'!N14&gt;=SUM('1b_SpaceCooling'!N15+'1b_SpaceCooling'!N16+'1b_SpaceCooling'!N17+'1b_SpaceCooling'!N18)</f>
        <v>1</v>
      </c>
      <c r="N10" s="99" t="b">
        <f>'1b_SpaceCooling'!O14&gt;=SUM('1b_SpaceCooling'!O15+'1b_SpaceCooling'!O16+'1b_SpaceCooling'!O17+'1b_SpaceCooling'!O18)</f>
        <v>1</v>
      </c>
    </row>
    <row r="11" spans="1:14" x14ac:dyDescent="0.25">
      <c r="A11" t="s">
        <v>153</v>
      </c>
      <c r="B11" t="s">
        <v>159</v>
      </c>
      <c r="C11" s="99" t="b">
        <f>'1c_WaterHeating'!D10&gt;=SUM('1c_WaterHeating'!D11+'1c_WaterHeating'!D12+'1c_WaterHeating'!D13)</f>
        <v>1</v>
      </c>
      <c r="D11" s="99" t="b">
        <f>'1c_WaterHeating'!E10&gt;=SUM('1c_WaterHeating'!E11+'1c_WaterHeating'!E12+'1c_WaterHeating'!E13)</f>
        <v>1</v>
      </c>
      <c r="E11" s="99" t="b">
        <f>'1c_WaterHeating'!F10&gt;=SUM('1c_WaterHeating'!F11+'1c_WaterHeating'!F12+'1c_WaterHeating'!F13)</f>
        <v>1</v>
      </c>
      <c r="F11" s="99" t="b">
        <f>'1c_WaterHeating'!G10&gt;=SUM('1c_WaterHeating'!G11+'1c_WaterHeating'!G12+'1c_WaterHeating'!G13)</f>
        <v>1</v>
      </c>
      <c r="G11" s="99" t="b">
        <f>'1c_WaterHeating'!H10&gt;=SUM('1c_WaterHeating'!H11+'1c_WaterHeating'!H12+'1c_WaterHeating'!H13)</f>
        <v>1</v>
      </c>
      <c r="H11" s="99" t="b">
        <f>'1c_WaterHeating'!I10&gt;=SUM('1c_WaterHeating'!I11+'1c_WaterHeating'!I12+'1c_WaterHeating'!I13)</f>
        <v>1</v>
      </c>
      <c r="I11" s="99" t="b">
        <f>'1c_WaterHeating'!J10&gt;=SUM('1c_WaterHeating'!J11+'1c_WaterHeating'!J12+'1c_WaterHeating'!J13)</f>
        <v>1</v>
      </c>
      <c r="J11" s="99" t="b">
        <f>'1c_WaterHeating'!K10&gt;=SUM('1c_WaterHeating'!K11+'1c_WaterHeating'!K12+'1c_WaterHeating'!K13)</f>
        <v>1</v>
      </c>
      <c r="K11" s="99" t="b">
        <f>'1c_WaterHeating'!L10&gt;=SUM('1c_WaterHeating'!L11+'1c_WaterHeating'!L12+'1c_WaterHeating'!L13)</f>
        <v>1</v>
      </c>
      <c r="L11" s="99" t="b">
        <f>'1c_WaterHeating'!M10&gt;=SUM('1c_WaterHeating'!M11+'1c_WaterHeating'!M12+'1c_WaterHeating'!M13)</f>
        <v>1</v>
      </c>
      <c r="M11" s="99" t="b">
        <f>'1c_WaterHeating'!N10&gt;=SUM('1c_WaterHeating'!N11+'1c_WaterHeating'!N12+'1c_WaterHeating'!N13)</f>
        <v>1</v>
      </c>
      <c r="N11" s="99" t="b">
        <f>'1c_WaterHeating'!O10&gt;=SUM('1c_WaterHeating'!O11+'1c_WaterHeating'!O12+'1c_WaterHeating'!O13)</f>
        <v>1</v>
      </c>
    </row>
    <row r="12" spans="1:14" x14ac:dyDescent="0.25">
      <c r="A12" t="s">
        <v>153</v>
      </c>
      <c r="B12" t="s">
        <v>161</v>
      </c>
      <c r="C12" s="99" t="b">
        <f>'1c_WaterHeating'!D14&gt;=SUM('1c_WaterHeating'!D15+'1c_WaterHeating'!D16+'1c_WaterHeating'!D17+'1c_WaterHeating'!D18)</f>
        <v>1</v>
      </c>
      <c r="D12" s="99" t="b">
        <f>'1c_WaterHeating'!E14&gt;=SUM('1c_WaterHeating'!E15+'1c_WaterHeating'!E16+'1c_WaterHeating'!E17+'1c_WaterHeating'!E18)</f>
        <v>1</v>
      </c>
      <c r="E12" s="99" t="b">
        <f>'1c_WaterHeating'!F14&gt;=SUM('1c_WaterHeating'!F15+'1c_WaterHeating'!F16+'1c_WaterHeating'!F17+'1c_WaterHeating'!F18)</f>
        <v>1</v>
      </c>
      <c r="F12" s="99" t="b">
        <f>'1c_WaterHeating'!G14&gt;=SUM('1c_WaterHeating'!G15+'1c_WaterHeating'!G16+'1c_WaterHeating'!G17+'1c_WaterHeating'!G18)</f>
        <v>1</v>
      </c>
      <c r="G12" s="99" t="b">
        <f>'1c_WaterHeating'!H14&gt;=SUM('1c_WaterHeating'!H15+'1c_WaterHeating'!H16+'1c_WaterHeating'!H17+'1c_WaterHeating'!H18)</f>
        <v>1</v>
      </c>
      <c r="H12" s="99" t="b">
        <f>'1c_WaterHeating'!I14&gt;=SUM('1c_WaterHeating'!I15+'1c_WaterHeating'!I16+'1c_WaterHeating'!I17+'1c_WaterHeating'!I18)</f>
        <v>1</v>
      </c>
      <c r="I12" s="99" t="b">
        <f>'1c_WaterHeating'!J14&gt;=SUM('1c_WaterHeating'!J15+'1c_WaterHeating'!J16+'1c_WaterHeating'!J17+'1c_WaterHeating'!J18)</f>
        <v>1</v>
      </c>
      <c r="J12" s="99" t="b">
        <f>'1c_WaterHeating'!K14&gt;=SUM('1c_WaterHeating'!K15+'1c_WaterHeating'!K16+'1c_WaterHeating'!K17+'1c_WaterHeating'!K18)</f>
        <v>1</v>
      </c>
      <c r="K12" s="99" t="b">
        <f>'1c_WaterHeating'!L14&gt;=SUM('1c_WaterHeating'!L15+'1c_WaterHeating'!L16+'1c_WaterHeating'!L17+'1c_WaterHeating'!L18)</f>
        <v>1</v>
      </c>
      <c r="L12" s="99" t="b">
        <f>'1c_WaterHeating'!M14&gt;=SUM('1c_WaterHeating'!M15+'1c_WaterHeating'!M16+'1c_WaterHeating'!M17+'1c_WaterHeating'!M18)</f>
        <v>1</v>
      </c>
      <c r="M12" s="99" t="b">
        <f>'1c_WaterHeating'!N14&gt;=SUM('1c_WaterHeating'!N15+'1c_WaterHeating'!N16+'1c_WaterHeating'!N17+'1c_WaterHeating'!N18)</f>
        <v>1</v>
      </c>
      <c r="N12" s="99" t="b">
        <f>'1c_WaterHeating'!O14&gt;=SUM('1c_WaterHeating'!O15+'1c_WaterHeating'!O16+'1c_WaterHeating'!O17+'1c_WaterHeating'!O18)</f>
        <v>1</v>
      </c>
    </row>
    <row r="13" spans="1:14" x14ac:dyDescent="0.25">
      <c r="A13" t="s">
        <v>154</v>
      </c>
      <c r="B13" t="s">
        <v>160</v>
      </c>
      <c r="C13" s="99" t="b">
        <f>'1d_Cooking'!D10&gt;=SUM('1d_Cooking'!D11+'1d_Cooking'!D12+'1d_Cooking'!D13)</f>
        <v>1</v>
      </c>
      <c r="D13" s="99" t="b">
        <f>'1d_Cooking'!E10&gt;=SUM('1d_Cooking'!E11+'1d_Cooking'!E12+'1d_Cooking'!E13)</f>
        <v>1</v>
      </c>
      <c r="E13" s="99" t="b">
        <f>'1d_Cooking'!F10&gt;=SUM('1d_Cooking'!F11+'1d_Cooking'!F12+'1d_Cooking'!F13)</f>
        <v>1</v>
      </c>
      <c r="F13" s="99" t="b">
        <f>'1d_Cooking'!G10&gt;=SUM('1d_Cooking'!G11+'1d_Cooking'!G12+'1d_Cooking'!G13)</f>
        <v>1</v>
      </c>
      <c r="G13" s="99" t="b">
        <f>'1d_Cooking'!H10&gt;=SUM('1d_Cooking'!H11+'1d_Cooking'!H12+'1d_Cooking'!H13)</f>
        <v>1</v>
      </c>
      <c r="H13" s="99" t="b">
        <f>'1d_Cooking'!I10&gt;=SUM('1d_Cooking'!I11+'1d_Cooking'!I12+'1d_Cooking'!I13)</f>
        <v>1</v>
      </c>
      <c r="I13" s="99" t="b">
        <f>'1d_Cooking'!J10&gt;=SUM('1d_Cooking'!J11+'1d_Cooking'!J12+'1d_Cooking'!J13)</f>
        <v>1</v>
      </c>
      <c r="J13" s="99" t="b">
        <f>'1d_Cooking'!K10&gt;=SUM('1d_Cooking'!K11+'1d_Cooking'!K12+'1d_Cooking'!K13)</f>
        <v>1</v>
      </c>
      <c r="K13" s="99" t="b">
        <f>'1d_Cooking'!L10&gt;=SUM('1d_Cooking'!L11+'1d_Cooking'!L12+'1d_Cooking'!L13)</f>
        <v>1</v>
      </c>
      <c r="L13" s="99" t="b">
        <f>'1d_Cooking'!M10&gt;=SUM('1d_Cooking'!M11+'1d_Cooking'!M12+'1d_Cooking'!M13)</f>
        <v>1</v>
      </c>
      <c r="M13" s="99" t="b">
        <f>'1d_Cooking'!N10&gt;=SUM('1d_Cooking'!N11+'1d_Cooking'!N12+'1d_Cooking'!N13)</f>
        <v>1</v>
      </c>
      <c r="N13" s="99" t="b">
        <f>'1d_Cooking'!O10&gt;=SUM('1d_Cooking'!O11+'1d_Cooking'!O12+'1d_Cooking'!O13)</f>
        <v>1</v>
      </c>
    </row>
    <row r="14" spans="1:14" x14ac:dyDescent="0.25">
      <c r="A14" t="s">
        <v>154</v>
      </c>
      <c r="B14" t="s">
        <v>161</v>
      </c>
      <c r="C14" s="99" t="b">
        <f>'1d_Cooking'!D14&gt;=SUM('1d_Cooking'!D15+'1d_Cooking'!D16+'1d_Cooking'!D17+'1d_Cooking'!D18)</f>
        <v>1</v>
      </c>
      <c r="D14" s="99" t="b">
        <f>'1d_Cooking'!E14&gt;=SUM('1d_Cooking'!E15+'1d_Cooking'!E16+'1d_Cooking'!E17+'1d_Cooking'!E18)</f>
        <v>1</v>
      </c>
      <c r="E14" s="99" t="b">
        <f>'1d_Cooking'!F14&gt;=SUM('1d_Cooking'!F15+'1d_Cooking'!F16+'1d_Cooking'!F17+'1d_Cooking'!F18)</f>
        <v>1</v>
      </c>
      <c r="F14" s="99" t="b">
        <f>'1d_Cooking'!G14&gt;=SUM('1d_Cooking'!G15+'1d_Cooking'!G16+'1d_Cooking'!G17+'1d_Cooking'!G18)</f>
        <v>1</v>
      </c>
      <c r="G14" s="99" t="b">
        <f>'1d_Cooking'!H14&gt;=SUM('1d_Cooking'!H15+'1d_Cooking'!H16+'1d_Cooking'!H17+'1d_Cooking'!H18)</f>
        <v>1</v>
      </c>
      <c r="H14" s="99" t="b">
        <f>'1d_Cooking'!I14&gt;=SUM('1d_Cooking'!I15+'1d_Cooking'!I16+'1d_Cooking'!I17+'1d_Cooking'!I18)</f>
        <v>1</v>
      </c>
      <c r="I14" s="99" t="b">
        <f>'1d_Cooking'!J14&gt;=SUM('1d_Cooking'!J15+'1d_Cooking'!J16+'1d_Cooking'!J17+'1d_Cooking'!J18)</f>
        <v>1</v>
      </c>
      <c r="J14" s="99" t="b">
        <f>'1d_Cooking'!K14&gt;=SUM('1d_Cooking'!K15+'1d_Cooking'!K16+'1d_Cooking'!K17+'1d_Cooking'!K18)</f>
        <v>1</v>
      </c>
      <c r="K14" s="99" t="b">
        <f>'1d_Cooking'!L14&gt;=SUM('1d_Cooking'!L15+'1d_Cooking'!L16+'1d_Cooking'!L17+'1d_Cooking'!L18)</f>
        <v>1</v>
      </c>
      <c r="L14" s="99" t="b">
        <f>'1d_Cooking'!M14&gt;=SUM('1d_Cooking'!M15+'1d_Cooking'!M16+'1d_Cooking'!M17+'1d_Cooking'!M18)</f>
        <v>1</v>
      </c>
      <c r="M14" s="99" t="b">
        <f>'1d_Cooking'!N14&gt;=SUM('1d_Cooking'!N15+'1d_Cooking'!N16+'1d_Cooking'!N17+'1d_Cooking'!N18)</f>
        <v>1</v>
      </c>
      <c r="N14" s="99" t="b">
        <f>'1d_Cooking'!O14&gt;=SUM('1d_Cooking'!O15+'1d_Cooking'!O16+'1d_Cooking'!O17+'1d_Cooking'!O18)</f>
        <v>1</v>
      </c>
    </row>
    <row r="15" spans="1:14" x14ac:dyDescent="0.25">
      <c r="A15" t="s">
        <v>155</v>
      </c>
      <c r="B15" t="s">
        <v>160</v>
      </c>
      <c r="C15" s="99" t="b">
        <f>'1f_OtherEndUses'!D10&gt;=SUM('1f_OtherEndUses'!D11+'1f_OtherEndUses'!D12+'1f_OtherEndUses'!D13)</f>
        <v>1</v>
      </c>
      <c r="D15" s="99" t="b">
        <f>'1f_OtherEndUses'!E10&gt;=SUM('1f_OtherEndUses'!E11+'1f_OtherEndUses'!E12+'1f_OtherEndUses'!E13)</f>
        <v>1</v>
      </c>
      <c r="E15" s="99" t="b">
        <f>'1f_OtherEndUses'!F10&gt;=SUM('1f_OtherEndUses'!F11+'1f_OtherEndUses'!F12+'1f_OtherEndUses'!F13)</f>
        <v>1</v>
      </c>
      <c r="F15" s="99" t="b">
        <f>'1f_OtherEndUses'!G10&gt;=SUM('1f_OtherEndUses'!G11+'1f_OtherEndUses'!G12+'1f_OtherEndUses'!G13)</f>
        <v>1</v>
      </c>
      <c r="G15" s="99" t="b">
        <f>'1f_OtherEndUses'!H10&gt;=SUM('1f_OtherEndUses'!H11+'1f_OtherEndUses'!H12+'1f_OtherEndUses'!H13)</f>
        <v>1</v>
      </c>
      <c r="H15" s="99" t="b">
        <f>'1f_OtherEndUses'!I10&gt;=SUM('1f_OtherEndUses'!I11+'1f_OtherEndUses'!I12+'1f_OtherEndUses'!I13)</f>
        <v>1</v>
      </c>
      <c r="I15" s="99" t="b">
        <f>'1f_OtherEndUses'!J10&gt;=SUM('1f_OtherEndUses'!J11+'1f_OtherEndUses'!J12+'1f_OtherEndUses'!J13)</f>
        <v>1</v>
      </c>
      <c r="J15" s="99" t="b">
        <f>'1f_OtherEndUses'!K10&gt;=SUM('1f_OtherEndUses'!K11+'1f_OtherEndUses'!K12+'1f_OtherEndUses'!K13)</f>
        <v>1</v>
      </c>
      <c r="K15" s="99" t="b">
        <f>'1f_OtherEndUses'!L10&gt;=SUM('1f_OtherEndUses'!L11+'1f_OtherEndUses'!L12+'1f_OtherEndUses'!L13)</f>
        <v>1</v>
      </c>
      <c r="L15" s="99" t="b">
        <f>'1f_OtherEndUses'!M10&gt;=SUM('1f_OtherEndUses'!M11+'1f_OtherEndUses'!M12+'1f_OtherEndUses'!M13)</f>
        <v>1</v>
      </c>
      <c r="M15" s="99" t="b">
        <f>'1f_OtherEndUses'!N10&gt;=SUM('1f_OtherEndUses'!N11+'1f_OtherEndUses'!N12+'1f_OtherEndUses'!N13)</f>
        <v>1</v>
      </c>
      <c r="N15" s="99" t="b">
        <f>'1f_OtherEndUses'!O10&gt;=SUM('1f_OtherEndUses'!O11+'1f_OtherEndUses'!O12+'1f_OtherEndUses'!O13)</f>
        <v>1</v>
      </c>
    </row>
    <row r="16" spans="1:14" x14ac:dyDescent="0.25">
      <c r="A16" t="s">
        <v>155</v>
      </c>
      <c r="B16" t="s">
        <v>161</v>
      </c>
      <c r="C16" s="99" t="b">
        <f>'1f_OtherEndUses'!D14&gt;=SUM('1f_OtherEndUses'!D15+'1f_OtherEndUses'!D16+'1f_OtherEndUses'!D17++'1f_OtherEndUses'!D18)</f>
        <v>1</v>
      </c>
      <c r="D16" s="99" t="b">
        <f>'1f_OtherEndUses'!E14&gt;=SUM('1f_OtherEndUses'!E15+'1f_OtherEndUses'!E16+'1f_OtherEndUses'!E17++'1f_OtherEndUses'!E18)</f>
        <v>1</v>
      </c>
      <c r="E16" s="99" t="b">
        <f>'1f_OtherEndUses'!F14&gt;=SUM('1f_OtherEndUses'!F15+'1f_OtherEndUses'!F16+'1f_OtherEndUses'!F17++'1f_OtherEndUses'!F18)</f>
        <v>1</v>
      </c>
      <c r="F16" s="99" t="b">
        <f>'1f_OtherEndUses'!G14&gt;=SUM('1f_OtherEndUses'!G15+'1f_OtherEndUses'!G16+'1f_OtherEndUses'!G17++'1f_OtherEndUses'!G18)</f>
        <v>1</v>
      </c>
      <c r="G16" s="99" t="b">
        <f>'1f_OtherEndUses'!H14&gt;=SUM('1f_OtherEndUses'!H15+'1f_OtherEndUses'!H16+'1f_OtherEndUses'!H17++'1f_OtherEndUses'!H18)</f>
        <v>1</v>
      </c>
      <c r="H16" s="99" t="b">
        <f>'1f_OtherEndUses'!I14&gt;=SUM('1f_OtherEndUses'!I15+'1f_OtherEndUses'!I16+'1f_OtherEndUses'!I17++'1f_OtherEndUses'!I18)</f>
        <v>1</v>
      </c>
      <c r="I16" s="99" t="b">
        <f>'1f_OtherEndUses'!J14&gt;=SUM('1f_OtherEndUses'!J15+'1f_OtherEndUses'!J16+'1f_OtherEndUses'!J17++'1f_OtherEndUses'!J18)</f>
        <v>1</v>
      </c>
      <c r="J16" s="99" t="b">
        <f>'1f_OtherEndUses'!K14&gt;=SUM('1f_OtherEndUses'!K15+'1f_OtherEndUses'!K16+'1f_OtherEndUses'!K17++'1f_OtherEndUses'!K18)</f>
        <v>1</v>
      </c>
      <c r="K16" s="99" t="b">
        <f>'1f_OtherEndUses'!L14&gt;=SUM('1f_OtherEndUses'!L15+'1f_OtherEndUses'!L16+'1f_OtherEndUses'!L17++'1f_OtherEndUses'!L18)</f>
        <v>1</v>
      </c>
      <c r="L16" s="99" t="b">
        <f>'1f_OtherEndUses'!M14&gt;=SUM('1f_OtherEndUses'!M15+'1f_OtherEndUses'!M16+'1f_OtherEndUses'!M17++'1f_OtherEndUses'!M18)</f>
        <v>1</v>
      </c>
      <c r="M16" s="99" t="b">
        <f>'1f_OtherEndUses'!N14&gt;=SUM('1f_OtherEndUses'!N15+'1f_OtherEndUses'!N16+'1f_OtherEndUses'!N17++'1f_OtherEndUses'!N18)</f>
        <v>1</v>
      </c>
      <c r="N16" s="99" t="b">
        <f>'1f_OtherEndUses'!O14&gt;=SUM('1f_OtherEndUses'!O15+'1f_OtherEndUses'!O16+'1f_OtherEndUses'!O17++'1f_OtherEndUses'!O18)</f>
        <v>1</v>
      </c>
    </row>
    <row r="17" spans="1:14" x14ac:dyDescent="0.25">
      <c r="A17" t="s">
        <v>152</v>
      </c>
      <c r="B17" t="s">
        <v>162</v>
      </c>
      <c r="C17" s="99" t="str">
        <f>IF('1a_SpaceHeating'!D9&gt;0,IF(AND(Calorific_Values!D9&lt;=30000,Calorific_Values!D9&gt;=5000),"TRUE","FALSE"),"TRUE")</f>
        <v>TRUE</v>
      </c>
      <c r="D17" s="99" t="str">
        <f>IF('1a_SpaceHeating'!E9&gt;0,IF(AND(Calorific_Values!E9&lt;=30000,Calorific_Values!E9&gt;=5000),"TRUE","FALSE"),"TRUE")</f>
        <v>TRUE</v>
      </c>
      <c r="E17" s="99" t="str">
        <f>IF('1a_SpaceHeating'!F9&gt;0,IF(AND(Calorific_Values!F9&lt;=30000,Calorific_Values!F9&gt;=5000),"TRUE","FALSE"),"TRUE")</f>
        <v>TRUE</v>
      </c>
      <c r="F17" s="99" t="str">
        <f>IF('1a_SpaceHeating'!G9&gt;0,IF(AND(Calorific_Values!G9&lt;=30000,Calorific_Values!G9&gt;=5000),"TRUE","FALSE"),"TRUE")</f>
        <v>TRUE</v>
      </c>
      <c r="G17" s="99" t="str">
        <f>IF('1a_SpaceHeating'!H9&gt;0,IF(AND(Calorific_Values!H9&lt;=30000,Calorific_Values!H9&gt;=5000),"TRUE","FALSE"),"TRUE")</f>
        <v>TRUE</v>
      </c>
      <c r="H17" s="99" t="str">
        <f>IF('1a_SpaceHeating'!I9&gt;0,IF(AND(Calorific_Values!I9&lt;=30000,Calorific_Values!I9&gt;=5000),"TRUE","FALSE"),"TRUE")</f>
        <v>TRUE</v>
      </c>
      <c r="I17" s="99" t="str">
        <f>IF('1a_SpaceHeating'!J9&gt;0,IF(AND(Calorific_Values!J9&lt;=30000,Calorific_Values!J9&gt;=5000),"TRUE","FALSE"),"TRUE")</f>
        <v>TRUE</v>
      </c>
      <c r="J17" s="99" t="str">
        <f>IF('1a_SpaceHeating'!K9&gt;0,IF(AND(Calorific_Values!K9&lt;=30000,Calorific_Values!K9&gt;=5000),"TRUE","FALSE"),"TRUE")</f>
        <v>TRUE</v>
      </c>
      <c r="K17" s="99" t="str">
        <f>IF('1a_SpaceHeating'!L9&gt;0,IF(AND(Calorific_Values!L9&lt;=30000,Calorific_Values!L9&gt;=5000),"TRUE","FALSE"),"TRUE")</f>
        <v>TRUE</v>
      </c>
      <c r="L17" s="99" t="str">
        <f>IF('1a_SpaceHeating'!M9&gt;0,IF(AND(Calorific_Values!M9&lt;=30000,Calorific_Values!M9&gt;=5000),"TRUE","FALSE"),"TRUE")</f>
        <v>TRUE</v>
      </c>
      <c r="M17" s="99" t="str">
        <f>IF('1a_SpaceHeating'!N9&gt;0,IF(AND(Calorific_Values!N9&lt;=30000,Calorific_Values!N9&gt;=5000),"TRUE","FALSE"),"TRUE")</f>
        <v>TRUE</v>
      </c>
      <c r="N17" s="99" t="str">
        <f>IF('1a_SpaceHeating'!O9&gt;0,IF(AND(Calorific_Values!O9&lt;=30000,Calorific_Values!O9&gt;=5000),"TRUE","FALSE"),"TRUE")</f>
        <v>TRUE</v>
      </c>
    </row>
    <row r="18" spans="1:14" x14ac:dyDescent="0.25">
      <c r="A18" t="s">
        <v>152</v>
      </c>
      <c r="B18" t="s">
        <v>163</v>
      </c>
      <c r="C18" s="99" t="str">
        <f>IF('1a_SpaceHeating'!D10&gt;0,IF(AND(Calorific_Values!D10&lt;=50000,Calorific_Values!D10&gt;=40000),"TRUE","FALSE"),"TRUE")</f>
        <v>TRUE</v>
      </c>
      <c r="D18" s="99" t="str">
        <f>IF('1a_SpaceHeating'!E10&gt;0,IF(AND(Calorific_Values!E10&lt;=50000,Calorific_Values!E10&gt;=40000),"TRUE","FALSE"),"TRUE")</f>
        <v>TRUE</v>
      </c>
      <c r="E18" s="99" t="str">
        <f>IF('1a_SpaceHeating'!F10&gt;0,IF(AND(Calorific_Values!F10&lt;=50000,Calorific_Values!F10&gt;=40000),"TRUE","FALSE"),"TRUE")</f>
        <v>TRUE</v>
      </c>
      <c r="F18" s="99" t="str">
        <f>IF('1a_SpaceHeating'!G10&gt;0,IF(AND(Calorific_Values!G10&lt;=50000,Calorific_Values!G10&gt;=40000),"TRUE","FALSE"),"TRUE")</f>
        <v>TRUE</v>
      </c>
      <c r="G18" s="99" t="str">
        <f>IF('1a_SpaceHeating'!H10&gt;0,IF(AND(Calorific_Values!H10&lt;=50000,Calorific_Values!H10&gt;=40000),"TRUE","FALSE"),"TRUE")</f>
        <v>TRUE</v>
      </c>
      <c r="H18" s="99" t="str">
        <f>IF('1a_SpaceHeating'!I10&gt;0,IF(AND(Calorific_Values!I10&lt;=50000,Calorific_Values!I10&gt;=40000),"TRUE","FALSE"),"TRUE")</f>
        <v>TRUE</v>
      </c>
      <c r="I18" s="99" t="str">
        <f>IF('1a_SpaceHeating'!J10&gt;0,IF(AND(Calorific_Values!J10&lt;=50000,Calorific_Values!J10&gt;=40000),"TRUE","FALSE"),"TRUE")</f>
        <v>TRUE</v>
      </c>
      <c r="J18" s="99" t="str">
        <f>IF('1a_SpaceHeating'!K10&gt;0,IF(AND(Calorific_Values!K10&lt;=50000,Calorific_Values!K10&gt;=40000),"TRUE","FALSE"),"TRUE")</f>
        <v>TRUE</v>
      </c>
      <c r="K18" s="99" t="str">
        <f>IF('1a_SpaceHeating'!L10&gt;0,IF(AND(Calorific_Values!L10&lt;=50000,Calorific_Values!L10&gt;=40000),"TRUE","FALSE"),"TRUE")</f>
        <v>TRUE</v>
      </c>
      <c r="L18" s="99" t="str">
        <f>IF('1a_SpaceHeating'!M10&gt;0,IF(AND(Calorific_Values!M10&lt;=50000,Calorific_Values!M10&gt;=40000),"TRUE","FALSE"),"TRUE")</f>
        <v>TRUE</v>
      </c>
      <c r="M18" s="99" t="str">
        <f>IF('1a_SpaceHeating'!N10&gt;0,IF(AND(Calorific_Values!N10&lt;=50000,Calorific_Values!N10&gt;=40000),"TRUE","FALSE"),"TRUE")</f>
        <v>TRUE</v>
      </c>
      <c r="N18" s="99" t="str">
        <f>IF('1a_SpaceHeating'!O10&gt;0,IF(AND(Calorific_Values!O10&lt;=50000,Calorific_Values!O10&gt;=40000),"TRUE","FALSE"),"TRUE")</f>
        <v>TRUE</v>
      </c>
    </row>
    <row r="19" spans="1:14" x14ac:dyDescent="0.25">
      <c r="A19" t="s">
        <v>152</v>
      </c>
      <c r="B19" t="s">
        <v>164</v>
      </c>
      <c r="C19" s="99" t="str">
        <f>IF('1a_SpaceHeating'!D11&gt;0,IF(AND(Calorific_Values!D11&lt;=50000,Calorific_Values!D11&gt;=40000),"TRUE","FALSE"),"TRUE")</f>
        <v>TRUE</v>
      </c>
      <c r="D19" s="99" t="str">
        <f>IF('1a_SpaceHeating'!E11&gt;0,IF(AND(Calorific_Values!E11&lt;=50000,Calorific_Values!E11&gt;=40000),"TRUE","FALSE"),"TRUE")</f>
        <v>TRUE</v>
      </c>
      <c r="E19" s="99" t="str">
        <f>IF('1a_SpaceHeating'!F11&gt;0,IF(AND(Calorific_Values!F11&lt;=50000,Calorific_Values!F11&gt;=40000),"TRUE","FALSE"),"TRUE")</f>
        <v>TRUE</v>
      </c>
      <c r="F19" s="99" t="str">
        <f>IF('1a_SpaceHeating'!G11&gt;0,IF(AND(Calorific_Values!G11&lt;=50000,Calorific_Values!G11&gt;=40000),"TRUE","FALSE"),"TRUE")</f>
        <v>TRUE</v>
      </c>
      <c r="G19" s="99" t="str">
        <f>IF('1a_SpaceHeating'!H11&gt;0,IF(AND(Calorific_Values!H11&lt;=50000,Calorific_Values!H11&gt;=40000),"TRUE","FALSE"),"TRUE")</f>
        <v>TRUE</v>
      </c>
      <c r="H19" s="99" t="str">
        <f>IF('1a_SpaceHeating'!I11&gt;0,IF(AND(Calorific_Values!I11&lt;=50000,Calorific_Values!I11&gt;=40000),"TRUE","FALSE"),"TRUE")</f>
        <v>TRUE</v>
      </c>
      <c r="I19" s="99" t="str">
        <f>IF('1a_SpaceHeating'!J11&gt;0,IF(AND(Calorific_Values!J11&lt;=50000,Calorific_Values!J11&gt;=40000),"TRUE","FALSE"),"TRUE")</f>
        <v>TRUE</v>
      </c>
      <c r="J19" s="99" t="str">
        <f>IF('1a_SpaceHeating'!K11&gt;0,IF(AND(Calorific_Values!K11&lt;=50000,Calorific_Values!K11&gt;=40000),"TRUE","FALSE"),"TRUE")</f>
        <v>TRUE</v>
      </c>
      <c r="K19" s="99" t="str">
        <f>IF('1a_SpaceHeating'!L11&gt;0,IF(AND(Calorific_Values!L11&lt;=50000,Calorific_Values!L11&gt;=40000),"TRUE","FALSE"),"TRUE")</f>
        <v>TRUE</v>
      </c>
      <c r="L19" s="99" t="str">
        <f>IF('1a_SpaceHeating'!M11&gt;0,IF(AND(Calorific_Values!M11&lt;=50000,Calorific_Values!M11&gt;=40000),"TRUE","FALSE"),"TRUE")</f>
        <v>TRUE</v>
      </c>
      <c r="M19" s="99" t="str">
        <f>IF('1a_SpaceHeating'!N11&gt;0,IF(AND(Calorific_Values!N11&lt;=50000,Calorific_Values!N11&gt;=40000),"TRUE","FALSE"),"TRUE")</f>
        <v>TRUE</v>
      </c>
      <c r="N19" s="99" t="str">
        <f>IF('1a_SpaceHeating'!O11&gt;0,IF(AND(Calorific_Values!O11&lt;=50000,Calorific_Values!O11&gt;=40000),"TRUE","FALSE"),"TRUE")</f>
        <v>TRUE</v>
      </c>
    </row>
    <row r="20" spans="1:14" x14ac:dyDescent="0.25">
      <c r="A20" t="s">
        <v>152</v>
      </c>
      <c r="B20" t="s">
        <v>165</v>
      </c>
      <c r="C20" s="99" t="str">
        <f>IF('1a_SpaceHeating'!D12&gt;0,IF(AND(Calorific_Values!D12&lt;=45000,Calorific_Values!D12&gt;=40000),"TRUE","FALSE"),"TRUE")</f>
        <v>TRUE</v>
      </c>
      <c r="D20" s="99" t="str">
        <f>IF('1a_SpaceHeating'!E12&gt;0,IF(AND(Calorific_Values!E12&lt;=45000,Calorific_Values!E12&gt;=40000),"TRUE","FALSE"),"TRUE")</f>
        <v>TRUE</v>
      </c>
      <c r="E20" s="99" t="str">
        <f>IF('1a_SpaceHeating'!F12&gt;0,IF(AND(Calorific_Values!F12&lt;=45000,Calorific_Values!F12&gt;=40000),"TRUE","FALSE"),"TRUE")</f>
        <v>TRUE</v>
      </c>
      <c r="F20" s="99" t="str">
        <f>IF('1a_SpaceHeating'!G12&gt;0,IF(AND(Calorific_Values!G12&lt;=45000,Calorific_Values!G12&gt;=40000),"TRUE","FALSE"),"TRUE")</f>
        <v>TRUE</v>
      </c>
      <c r="G20" s="99" t="str">
        <f>IF('1a_SpaceHeating'!H12&gt;0,IF(AND(Calorific_Values!H12&lt;=45000,Calorific_Values!H12&gt;=40000),"TRUE","FALSE"),"TRUE")</f>
        <v>TRUE</v>
      </c>
      <c r="H20" s="99" t="str">
        <f>IF('1a_SpaceHeating'!I12&gt;0,IF(AND(Calorific_Values!I12&lt;=45000,Calorific_Values!I12&gt;=40000),"TRUE","FALSE"),"TRUE")</f>
        <v>TRUE</v>
      </c>
      <c r="I20" s="99" t="str">
        <f>IF('1a_SpaceHeating'!J12&gt;0,IF(AND(Calorific_Values!J12&lt;=45000,Calorific_Values!J12&gt;=40000),"TRUE","FALSE"),"TRUE")</f>
        <v>TRUE</v>
      </c>
      <c r="J20" s="99" t="str">
        <f>IF('1a_SpaceHeating'!K12&gt;0,IF(AND(Calorific_Values!K12&lt;=45000,Calorific_Values!K12&gt;=40000),"TRUE","FALSE"),"TRUE")</f>
        <v>TRUE</v>
      </c>
      <c r="K20" s="99" t="str">
        <f>IF('1a_SpaceHeating'!L12&gt;0,IF(AND(Calorific_Values!L12&lt;=45000,Calorific_Values!L12&gt;=40000),"TRUE","FALSE"),"TRUE")</f>
        <v>TRUE</v>
      </c>
      <c r="L20" s="99" t="str">
        <f>IF('1a_SpaceHeating'!M12&gt;0,IF(AND(Calorific_Values!M12&lt;=45000,Calorific_Values!M12&gt;=40000),"TRUE","FALSE"),"TRUE")</f>
        <v>TRUE</v>
      </c>
      <c r="M20" s="99" t="str">
        <f>IF('1a_SpaceHeating'!N12&gt;0,IF(AND(Calorific_Values!N12&lt;=45000,Calorific_Values!N12&gt;=40000),"TRUE","FALSE"),"TRUE")</f>
        <v>TRUE</v>
      </c>
      <c r="N20" s="99" t="str">
        <f>IF('1a_SpaceHeating'!O12&gt;0,IF(AND(Calorific_Values!O12&lt;=45000,Calorific_Values!O12&gt;=40000),"TRUE","FALSE"),"TRUE")</f>
        <v>TRUE</v>
      </c>
    </row>
    <row r="21" spans="1:14" x14ac:dyDescent="0.25">
      <c r="A21" t="s">
        <v>152</v>
      </c>
      <c r="B21" t="s">
        <v>166</v>
      </c>
      <c r="C21" s="99" t="str">
        <f>IF('1a_SpaceHeating'!D13&gt;0,IF(AND(Calorific_Values!D13&lt;=45000,Calorific_Values!D13&gt;=40000),"TRUE","FALSE"),"TRUE")</f>
        <v>TRUE</v>
      </c>
      <c r="D21" s="99" t="str">
        <f>IF('1a_SpaceHeating'!E13&gt;0,IF(AND(Calorific_Values!E13&lt;=45000,Calorific_Values!E13&gt;=40000),"TRUE","FALSE"),"TRUE")</f>
        <v>TRUE</v>
      </c>
      <c r="E21" s="99" t="str">
        <f>IF('1a_SpaceHeating'!F13&gt;0,IF(AND(Calorific_Values!F13&lt;=45000,Calorific_Values!F13&gt;=40000),"TRUE","FALSE"),"TRUE")</f>
        <v>TRUE</v>
      </c>
      <c r="F21" s="99" t="str">
        <f>IF('1a_SpaceHeating'!G13&gt;0,IF(AND(Calorific_Values!G13&lt;=45000,Calorific_Values!G13&gt;=40000),"TRUE","FALSE"),"TRUE")</f>
        <v>TRUE</v>
      </c>
      <c r="G21" s="99" t="str">
        <f>IF('1a_SpaceHeating'!H13&gt;0,IF(AND(Calorific_Values!H13&lt;=45000,Calorific_Values!H13&gt;=40000),"TRUE","FALSE"),"TRUE")</f>
        <v>TRUE</v>
      </c>
      <c r="H21" s="99" t="str">
        <f>IF('1a_SpaceHeating'!I13&gt;0,IF(AND(Calorific_Values!I13&lt;=45000,Calorific_Values!I13&gt;=40000),"TRUE","FALSE"),"TRUE")</f>
        <v>TRUE</v>
      </c>
      <c r="I21" s="99" t="str">
        <f>IF('1a_SpaceHeating'!J13&gt;0,IF(AND(Calorific_Values!J13&lt;=45000,Calorific_Values!J13&gt;=40000),"TRUE","FALSE"),"TRUE")</f>
        <v>TRUE</v>
      </c>
      <c r="J21" s="99" t="str">
        <f>IF('1a_SpaceHeating'!K13&gt;0,IF(AND(Calorific_Values!K13&lt;=45000,Calorific_Values!K13&gt;=40000),"TRUE","FALSE"),"TRUE")</f>
        <v>TRUE</v>
      </c>
      <c r="K21" s="99" t="str">
        <f>IF('1a_SpaceHeating'!L13&gt;0,IF(AND(Calorific_Values!L13&lt;=45000,Calorific_Values!L13&gt;=40000),"TRUE","FALSE"),"TRUE")</f>
        <v>TRUE</v>
      </c>
      <c r="L21" s="99" t="str">
        <f>IF('1a_SpaceHeating'!M13&gt;0,IF(AND(Calorific_Values!M13&lt;=45000,Calorific_Values!M13&gt;=40000),"TRUE","FALSE"),"TRUE")</f>
        <v>TRUE</v>
      </c>
      <c r="M21" s="99" t="str">
        <f>IF('1a_SpaceHeating'!N13&gt;0,IF(AND(Calorific_Values!N13&lt;=45000,Calorific_Values!N13&gt;=40000),"TRUE","FALSE"),"TRUE")</f>
        <v>TRUE</v>
      </c>
      <c r="N21" s="99" t="str">
        <f>IF('1a_SpaceHeating'!O13&gt;0,IF(AND(Calorific_Values!O13&lt;=45000,Calorific_Values!O13&gt;=40000),"TRUE","FALSE"),"TRUE")</f>
        <v>TRUE</v>
      </c>
    </row>
    <row r="22" spans="1:14" x14ac:dyDescent="0.25">
      <c r="A22" t="s">
        <v>169</v>
      </c>
      <c r="B22" t="s">
        <v>162</v>
      </c>
      <c r="C22" s="99" t="str">
        <f>IF('1b_SpaceCooling'!D9&gt;0,IF(AND(Calorific_Values!D9&lt;=30000,Calorific_Values!D9&gt;=5000),"TRUE","FALSE"),"TRUE")</f>
        <v>TRUE</v>
      </c>
      <c r="D22" s="99" t="str">
        <f>IF('1b_SpaceCooling'!E9&gt;0,IF(AND(Calorific_Values!E9&lt;=30000,Calorific_Values!E9&gt;=5000),"TRUE","FALSE"),"TRUE")</f>
        <v>TRUE</v>
      </c>
      <c r="E22" s="99" t="str">
        <f>IF('1b_SpaceCooling'!F9&gt;0,IF(AND(Calorific_Values!F9&lt;=30000,Calorific_Values!F9&gt;=5000),"TRUE","FALSE"),"TRUE")</f>
        <v>TRUE</v>
      </c>
      <c r="F22" s="99" t="str">
        <f>IF('1b_SpaceCooling'!G9&gt;0,IF(AND(Calorific_Values!G9&lt;=30000,Calorific_Values!G9&gt;=5000),"TRUE","FALSE"),"TRUE")</f>
        <v>TRUE</v>
      </c>
      <c r="G22" s="99" t="str">
        <f>IF('1b_SpaceCooling'!H9&gt;0,IF(AND(Calorific_Values!H9&lt;=30000,Calorific_Values!H9&gt;=5000),"TRUE","FALSE"),"TRUE")</f>
        <v>TRUE</v>
      </c>
      <c r="H22" s="99" t="str">
        <f>IF('1b_SpaceCooling'!I9&gt;0,IF(AND(Calorific_Values!I9&lt;=30000,Calorific_Values!I9&gt;=5000),"TRUE","FALSE"),"TRUE")</f>
        <v>TRUE</v>
      </c>
      <c r="I22" s="99" t="str">
        <f>IF('1b_SpaceCooling'!J9&gt;0,IF(AND(Calorific_Values!J9&lt;=30000,Calorific_Values!J9&gt;=5000),"TRUE","FALSE"),"TRUE")</f>
        <v>TRUE</v>
      </c>
      <c r="J22" s="99" t="str">
        <f>IF('1b_SpaceCooling'!K9&gt;0,IF(AND(Calorific_Values!K9&lt;=30000,Calorific_Values!K9&gt;=5000),"TRUE","FALSE"),"TRUE")</f>
        <v>TRUE</v>
      </c>
      <c r="K22" s="99" t="str">
        <f>IF('1b_SpaceCooling'!L9&gt;0,IF(AND(Calorific_Values!L9&lt;=30000,Calorific_Values!L9&gt;=5000),"TRUE","FALSE"),"TRUE")</f>
        <v>TRUE</v>
      </c>
      <c r="L22" s="99" t="str">
        <f>IF('1b_SpaceCooling'!M9&gt;0,IF(AND(Calorific_Values!M9&lt;=30000,Calorific_Values!M9&gt;=5000),"TRUE","FALSE"),"TRUE")</f>
        <v>TRUE</v>
      </c>
      <c r="M22" s="99" t="str">
        <f>IF('1b_SpaceCooling'!N9&gt;0,IF(AND(Calorific_Values!N9&lt;=30000,Calorific_Values!N9&gt;=5000),"TRUE","FALSE"),"TRUE")</f>
        <v>TRUE</v>
      </c>
      <c r="N22" s="99" t="str">
        <f>IF('1b_SpaceCooling'!O9&gt;0,IF(AND(Calorific_Values!O9&lt;=30000,Calorific_Values!O9&gt;=5000),"TRUE","FALSE"),"TRUE")</f>
        <v>TRUE</v>
      </c>
    </row>
    <row r="23" spans="1:14" x14ac:dyDescent="0.25">
      <c r="A23" t="s">
        <v>169</v>
      </c>
      <c r="B23" t="s">
        <v>163</v>
      </c>
      <c r="C23" s="99" t="str">
        <f>IF('1b_SpaceCooling'!D10&gt;0,IF(AND(Calorific_Values!D10&lt;=30000,Calorific_Values!D10&gt;=5000),"TRUE","FALSE"),"TRUE")</f>
        <v>TRUE</v>
      </c>
      <c r="D23" s="99" t="str">
        <f>IF('1b_SpaceCooling'!E10&gt;0,IF(AND(Calorific_Values!E10&lt;=30000,Calorific_Values!E10&gt;=5000),"TRUE","FALSE"),"TRUE")</f>
        <v>TRUE</v>
      </c>
      <c r="E23" s="99" t="str">
        <f>IF('1b_SpaceCooling'!F10&gt;0,IF(AND(Calorific_Values!F10&lt;=30000,Calorific_Values!F10&gt;=5000),"TRUE","FALSE"),"TRUE")</f>
        <v>TRUE</v>
      </c>
      <c r="F23" s="99" t="str">
        <f>IF('1b_SpaceCooling'!G10&gt;0,IF(AND(Calorific_Values!G10&lt;=30000,Calorific_Values!G10&gt;=5000),"TRUE","FALSE"),"TRUE")</f>
        <v>TRUE</v>
      </c>
      <c r="G23" s="99" t="str">
        <f>IF('1b_SpaceCooling'!H10&gt;0,IF(AND(Calorific_Values!H10&lt;=30000,Calorific_Values!H10&gt;=5000),"TRUE","FALSE"),"TRUE")</f>
        <v>TRUE</v>
      </c>
      <c r="H23" s="99" t="str">
        <f>IF('1b_SpaceCooling'!I10&gt;0,IF(AND(Calorific_Values!I10&lt;=30000,Calorific_Values!I10&gt;=5000),"TRUE","FALSE"),"TRUE")</f>
        <v>TRUE</v>
      </c>
      <c r="I23" s="99" t="str">
        <f>IF('1b_SpaceCooling'!J10&gt;0,IF(AND(Calorific_Values!J10&lt;=30000,Calorific_Values!J10&gt;=5000),"TRUE","FALSE"),"TRUE")</f>
        <v>TRUE</v>
      </c>
      <c r="J23" s="99" t="str">
        <f>IF('1b_SpaceCooling'!K10&gt;0,IF(AND(Calorific_Values!K10&lt;=30000,Calorific_Values!K10&gt;=5000),"TRUE","FALSE"),"TRUE")</f>
        <v>TRUE</v>
      </c>
      <c r="K23" s="99" t="str">
        <f>IF('1b_SpaceCooling'!L10&gt;0,IF(AND(Calorific_Values!L10&lt;=30000,Calorific_Values!L10&gt;=5000),"TRUE","FALSE"),"TRUE")</f>
        <v>TRUE</v>
      </c>
      <c r="L23" s="99" t="str">
        <f>IF('1b_SpaceCooling'!M10&gt;0,IF(AND(Calorific_Values!M10&lt;=30000,Calorific_Values!M10&gt;=5000),"TRUE","FALSE"),"TRUE")</f>
        <v>TRUE</v>
      </c>
      <c r="M23" s="99" t="str">
        <f>IF('1b_SpaceCooling'!N10&gt;0,IF(AND(Calorific_Values!N10&lt;=30000,Calorific_Values!N10&gt;=5000),"TRUE","FALSE"),"TRUE")</f>
        <v>TRUE</v>
      </c>
      <c r="N23" s="99" t="str">
        <f>IF('1b_SpaceCooling'!O10&gt;0,IF(AND(Calorific_Values!O10&lt;=30000,Calorific_Values!O10&gt;=5000),"TRUE","FALSE"),"TRUE")</f>
        <v>TRUE</v>
      </c>
    </row>
    <row r="24" spans="1:14" x14ac:dyDescent="0.25">
      <c r="A24" t="s">
        <v>169</v>
      </c>
      <c r="B24" t="s">
        <v>164</v>
      </c>
      <c r="C24" s="99" t="str">
        <f>IF('1b_SpaceCooling'!D11&gt;0,IF(AND(Calorific_Values!D11&lt;=30000,Calorific_Values!D11&gt;=5000),"TRUE","FALSE"),"TRUE")</f>
        <v>TRUE</v>
      </c>
      <c r="D24" s="99" t="str">
        <f>IF('1b_SpaceCooling'!E11&gt;0,IF(AND(Calorific_Values!E11&lt;=30000,Calorific_Values!E11&gt;=5000),"TRUE","FALSE"),"TRUE")</f>
        <v>TRUE</v>
      </c>
      <c r="E24" s="99" t="str">
        <f>IF('1b_SpaceCooling'!F11&gt;0,IF(AND(Calorific_Values!F11&lt;=30000,Calorific_Values!F11&gt;=5000),"TRUE","FALSE"),"TRUE")</f>
        <v>TRUE</v>
      </c>
      <c r="F24" s="99" t="str">
        <f>IF('1b_SpaceCooling'!G11&gt;0,IF(AND(Calorific_Values!G11&lt;=30000,Calorific_Values!G11&gt;=5000),"TRUE","FALSE"),"TRUE")</f>
        <v>TRUE</v>
      </c>
      <c r="G24" s="99" t="str">
        <f>IF('1b_SpaceCooling'!H11&gt;0,IF(AND(Calorific_Values!H11&lt;=30000,Calorific_Values!H11&gt;=5000),"TRUE","FALSE"),"TRUE")</f>
        <v>TRUE</v>
      </c>
      <c r="H24" s="99" t="str">
        <f>IF('1b_SpaceCooling'!I11&gt;0,IF(AND(Calorific_Values!I11&lt;=30000,Calorific_Values!I11&gt;=5000),"TRUE","FALSE"),"TRUE")</f>
        <v>TRUE</v>
      </c>
      <c r="I24" s="99" t="str">
        <f>IF('1b_SpaceCooling'!J11&gt;0,IF(AND(Calorific_Values!J11&lt;=30000,Calorific_Values!J11&gt;=5000),"TRUE","FALSE"),"TRUE")</f>
        <v>TRUE</v>
      </c>
      <c r="J24" s="99" t="str">
        <f>IF('1b_SpaceCooling'!K11&gt;0,IF(AND(Calorific_Values!K11&lt;=30000,Calorific_Values!K11&gt;=5000),"TRUE","FALSE"),"TRUE")</f>
        <v>TRUE</v>
      </c>
      <c r="K24" s="99" t="str">
        <f>IF('1b_SpaceCooling'!L11&gt;0,IF(AND(Calorific_Values!L11&lt;=30000,Calorific_Values!L11&gt;=5000),"TRUE","FALSE"),"TRUE")</f>
        <v>TRUE</v>
      </c>
      <c r="L24" s="99" t="str">
        <f>IF('1b_SpaceCooling'!M11&gt;0,IF(AND(Calorific_Values!M11&lt;=30000,Calorific_Values!M11&gt;=5000),"TRUE","FALSE"),"TRUE")</f>
        <v>TRUE</v>
      </c>
      <c r="M24" s="99" t="str">
        <f>IF('1b_SpaceCooling'!N11&gt;0,IF(AND(Calorific_Values!N11&lt;=30000,Calorific_Values!N11&gt;=5000),"TRUE","FALSE"),"TRUE")</f>
        <v>TRUE</v>
      </c>
      <c r="N24" s="99" t="str">
        <f>IF('1b_SpaceCooling'!O11&gt;0,IF(AND(Calorific_Values!O11&lt;=30000,Calorific_Values!O11&gt;=5000),"TRUE","FALSE"),"TRUE")</f>
        <v>TRUE</v>
      </c>
    </row>
    <row r="25" spans="1:14" x14ac:dyDescent="0.25">
      <c r="A25" t="s">
        <v>169</v>
      </c>
      <c r="B25" t="s">
        <v>165</v>
      </c>
      <c r="C25" s="99" t="str">
        <f>IF('1b_SpaceCooling'!D12&gt;0,IF(AND(Calorific_Values!D12&lt;=30000,Calorific_Values!D12&gt;=5000),"TRUE","FALSE"),"TRUE")</f>
        <v>TRUE</v>
      </c>
      <c r="D25" s="99" t="str">
        <f>IF('1b_SpaceCooling'!E12&gt;0,IF(AND(Calorific_Values!E12&lt;=30000,Calorific_Values!E12&gt;=5000),"TRUE","FALSE"),"TRUE")</f>
        <v>TRUE</v>
      </c>
      <c r="E25" s="99" t="str">
        <f>IF('1b_SpaceCooling'!F12&gt;0,IF(AND(Calorific_Values!F12&lt;=30000,Calorific_Values!F12&gt;=5000),"TRUE","FALSE"),"TRUE")</f>
        <v>TRUE</v>
      </c>
      <c r="F25" s="99" t="str">
        <f>IF('1b_SpaceCooling'!G12&gt;0,IF(AND(Calorific_Values!G12&lt;=30000,Calorific_Values!G12&gt;=5000),"TRUE","FALSE"),"TRUE")</f>
        <v>TRUE</v>
      </c>
      <c r="G25" s="99" t="str">
        <f>IF('1b_SpaceCooling'!H12&gt;0,IF(AND(Calorific_Values!H12&lt;=30000,Calorific_Values!H12&gt;=5000),"TRUE","FALSE"),"TRUE")</f>
        <v>TRUE</v>
      </c>
      <c r="H25" s="99" t="str">
        <f>IF('1b_SpaceCooling'!I12&gt;0,IF(AND(Calorific_Values!I12&lt;=30000,Calorific_Values!I12&gt;=5000),"TRUE","FALSE"),"TRUE")</f>
        <v>TRUE</v>
      </c>
      <c r="I25" s="99" t="str">
        <f>IF('1b_SpaceCooling'!J12&gt;0,IF(AND(Calorific_Values!J12&lt;=30000,Calorific_Values!J12&gt;=5000),"TRUE","FALSE"),"TRUE")</f>
        <v>TRUE</v>
      </c>
      <c r="J25" s="99" t="str">
        <f>IF('1b_SpaceCooling'!K12&gt;0,IF(AND(Calorific_Values!K12&lt;=30000,Calorific_Values!K12&gt;=5000),"TRUE","FALSE"),"TRUE")</f>
        <v>TRUE</v>
      </c>
      <c r="K25" s="99" t="str">
        <f>IF('1b_SpaceCooling'!L12&gt;0,IF(AND(Calorific_Values!L12&lt;=30000,Calorific_Values!L12&gt;=5000),"TRUE","FALSE"),"TRUE")</f>
        <v>TRUE</v>
      </c>
      <c r="L25" s="99" t="str">
        <f>IF('1b_SpaceCooling'!M12&gt;0,IF(AND(Calorific_Values!M12&lt;=30000,Calorific_Values!M12&gt;=5000),"TRUE","FALSE"),"TRUE")</f>
        <v>TRUE</v>
      </c>
      <c r="M25" s="99" t="str">
        <f>IF('1b_SpaceCooling'!N12&gt;0,IF(AND(Calorific_Values!N12&lt;=30000,Calorific_Values!N12&gt;=5000),"TRUE","FALSE"),"TRUE")</f>
        <v>TRUE</v>
      </c>
      <c r="N25" s="99" t="str">
        <f>IF('1b_SpaceCooling'!O12&gt;0,IF(AND(Calorific_Values!O12&lt;=30000,Calorific_Values!O12&gt;=5000),"TRUE","FALSE"),"TRUE")</f>
        <v>TRUE</v>
      </c>
    </row>
    <row r="26" spans="1:14" x14ac:dyDescent="0.25">
      <c r="A26" t="s">
        <v>169</v>
      </c>
      <c r="B26" t="s">
        <v>166</v>
      </c>
      <c r="C26" s="99" t="str">
        <f>IF('1b_SpaceCooling'!D13&gt;0,IF(AND(Calorific_Values!D13&lt;=30000,Calorific_Values!D13&gt;=5000),"TRUE","FALSE"),"TRUE")</f>
        <v>TRUE</v>
      </c>
      <c r="D26" s="99" t="str">
        <f>IF('1b_SpaceCooling'!E13&gt;0,IF(AND(Calorific_Values!E13&lt;=30000,Calorific_Values!E13&gt;=5000),"TRUE","FALSE"),"TRUE")</f>
        <v>TRUE</v>
      </c>
      <c r="E26" s="99" t="str">
        <f>IF('1b_SpaceCooling'!F13&gt;0,IF(AND(Calorific_Values!F13&lt;=30000,Calorific_Values!F13&gt;=5000),"TRUE","FALSE"),"TRUE")</f>
        <v>TRUE</v>
      </c>
      <c r="F26" s="99" t="str">
        <f>IF('1b_SpaceCooling'!G13&gt;0,IF(AND(Calorific_Values!G13&lt;=30000,Calorific_Values!G13&gt;=5000),"TRUE","FALSE"),"TRUE")</f>
        <v>TRUE</v>
      </c>
      <c r="G26" s="99" t="str">
        <f>IF('1b_SpaceCooling'!H13&gt;0,IF(AND(Calorific_Values!H13&lt;=30000,Calorific_Values!H13&gt;=5000),"TRUE","FALSE"),"TRUE")</f>
        <v>TRUE</v>
      </c>
      <c r="H26" s="99" t="str">
        <f>IF('1b_SpaceCooling'!I13&gt;0,IF(AND(Calorific_Values!I13&lt;=30000,Calorific_Values!I13&gt;=5000),"TRUE","FALSE"),"TRUE")</f>
        <v>TRUE</v>
      </c>
      <c r="I26" s="99" t="str">
        <f>IF('1b_SpaceCooling'!J13&gt;0,IF(AND(Calorific_Values!J13&lt;=30000,Calorific_Values!J13&gt;=5000),"TRUE","FALSE"),"TRUE")</f>
        <v>TRUE</v>
      </c>
      <c r="J26" s="99" t="str">
        <f>IF('1b_SpaceCooling'!K13&gt;0,IF(AND(Calorific_Values!K13&lt;=30000,Calorific_Values!K13&gt;=5000),"TRUE","FALSE"),"TRUE")</f>
        <v>TRUE</v>
      </c>
      <c r="K26" s="99" t="str">
        <f>IF('1b_SpaceCooling'!L13&gt;0,IF(AND(Calorific_Values!L13&lt;=30000,Calorific_Values!L13&gt;=5000),"TRUE","FALSE"),"TRUE")</f>
        <v>TRUE</v>
      </c>
      <c r="L26" s="99" t="str">
        <f>IF('1b_SpaceCooling'!M13&gt;0,IF(AND(Calorific_Values!M13&lt;=30000,Calorific_Values!M13&gt;=5000),"TRUE","FALSE"),"TRUE")</f>
        <v>TRUE</v>
      </c>
      <c r="M26" s="99" t="str">
        <f>IF('1b_SpaceCooling'!N13&gt;0,IF(AND(Calorific_Values!N13&lt;=30000,Calorific_Values!N13&gt;=5000),"TRUE","FALSE"),"TRUE")</f>
        <v>TRUE</v>
      </c>
      <c r="N26" s="99" t="str">
        <f>IF('1b_SpaceCooling'!O13&gt;0,IF(AND(Calorific_Values!O13&lt;=30000,Calorific_Values!O13&gt;=5000),"TRUE","FALSE"),"TRUE")</f>
        <v>TRUE</v>
      </c>
    </row>
    <row r="27" spans="1:14" x14ac:dyDescent="0.25">
      <c r="A27" t="s">
        <v>153</v>
      </c>
      <c r="B27" t="s">
        <v>167</v>
      </c>
      <c r="C27" s="99" t="str">
        <f>IF('1c_WaterHeating'!D9&gt;0,IF(AND(Calorific_Values!D9&lt;=30000,Calorific_Values!D9&gt;=5000),"TRUE","FALSE"),"TRUE")</f>
        <v>TRUE</v>
      </c>
      <c r="D27" s="99" t="str">
        <f>IF('1c_WaterHeating'!E9&gt;0,IF(AND(Calorific_Values!E9&lt;=30000,Calorific_Values!E9&gt;=5000),"TRUE","FALSE"),"TRUE")</f>
        <v>TRUE</v>
      </c>
      <c r="E27" s="99" t="str">
        <f>IF('1c_WaterHeating'!F9&gt;0,IF(AND(Calorific_Values!F9&lt;=30000,Calorific_Values!F9&gt;=5000),"TRUE","FALSE"),"TRUE")</f>
        <v>TRUE</v>
      </c>
      <c r="F27" s="99" t="str">
        <f>IF('1c_WaterHeating'!G9&gt;0,IF(AND(Calorific_Values!G9&lt;=30000,Calorific_Values!G9&gt;=5000),"TRUE","FALSE"),"TRUE")</f>
        <v>TRUE</v>
      </c>
      <c r="G27" s="99" t="str">
        <f>IF('1c_WaterHeating'!H9&gt;0,IF(AND(Calorific_Values!H9&lt;=30000,Calorific_Values!H9&gt;=5000),"TRUE","FALSE"),"TRUE")</f>
        <v>TRUE</v>
      </c>
      <c r="H27" s="99" t="str">
        <f>IF('1c_WaterHeating'!I9&gt;0,IF(AND(Calorific_Values!I9&lt;=30000,Calorific_Values!I9&gt;=5000),"TRUE","FALSE"),"TRUE")</f>
        <v>TRUE</v>
      </c>
      <c r="I27" s="99" t="str">
        <f>IF('1c_WaterHeating'!J9&gt;0,IF(AND(Calorific_Values!J9&lt;=30000,Calorific_Values!J9&gt;=5000),"TRUE","FALSE"),"TRUE")</f>
        <v>TRUE</v>
      </c>
      <c r="J27" s="99" t="str">
        <f>IF('1c_WaterHeating'!K9&gt;0,IF(AND(Calorific_Values!K9&lt;=30000,Calorific_Values!K9&gt;=5000),"TRUE","FALSE"),"TRUE")</f>
        <v>TRUE</v>
      </c>
      <c r="K27" s="99" t="str">
        <f>IF('1c_WaterHeating'!L9&gt;0,IF(AND(Calorific_Values!L9&lt;=30000,Calorific_Values!L9&gt;=5000),"TRUE","FALSE"),"TRUE")</f>
        <v>TRUE</v>
      </c>
      <c r="L27" s="99" t="str">
        <f>IF('1c_WaterHeating'!M9&gt;0,IF(AND(Calorific_Values!M9&lt;=30000,Calorific_Values!M9&gt;=5000),"TRUE","FALSE"),"TRUE")</f>
        <v>TRUE</v>
      </c>
      <c r="M27" s="99" t="str">
        <f>IF('1c_WaterHeating'!N9&gt;0,IF(AND(Calorific_Values!N9&lt;=30000,Calorific_Values!N9&gt;=5000),"TRUE","FALSE"),"TRUE")</f>
        <v>TRUE</v>
      </c>
      <c r="N27" s="99" t="str">
        <f>IF('1c_WaterHeating'!O9&gt;0,IF(AND(Calorific_Values!O9&lt;=30000,Calorific_Values!O9&gt;=5000),"TRUE","FALSE"),"TRUE")</f>
        <v>TRUE</v>
      </c>
    </row>
    <row r="28" spans="1:14" x14ac:dyDescent="0.25">
      <c r="A28" t="s">
        <v>153</v>
      </c>
      <c r="B28" t="s">
        <v>168</v>
      </c>
      <c r="C28" s="99" t="str">
        <f>IF('1c_WaterHeating'!D10&gt;0,IF(AND(Calorific_Values!D10&lt;=50000,Calorific_Values!D10&gt;=40000),"TRUE","FALSE"),"TRUE")</f>
        <v>TRUE</v>
      </c>
      <c r="D28" s="99" t="str">
        <f>IF('1c_WaterHeating'!E10&gt;0,IF(AND(Calorific_Values!E10&lt;=50000,Calorific_Values!E10&gt;=40000),"TRUE","FALSE"),"TRUE")</f>
        <v>TRUE</v>
      </c>
      <c r="E28" s="99" t="str">
        <f>IF('1c_WaterHeating'!F10&gt;0,IF(AND(Calorific_Values!F10&lt;=50000,Calorific_Values!F10&gt;=40000),"TRUE","FALSE"),"TRUE")</f>
        <v>TRUE</v>
      </c>
      <c r="F28" s="99" t="str">
        <f>IF('1c_WaterHeating'!G10&gt;0,IF(AND(Calorific_Values!G10&lt;=50000,Calorific_Values!G10&gt;=40000),"TRUE","FALSE"),"TRUE")</f>
        <v>TRUE</v>
      </c>
      <c r="G28" s="99" t="str">
        <f>IF('1c_WaterHeating'!H10&gt;0,IF(AND(Calorific_Values!H10&lt;=50000,Calorific_Values!H10&gt;=40000),"TRUE","FALSE"),"TRUE")</f>
        <v>TRUE</v>
      </c>
      <c r="H28" s="99" t="str">
        <f>IF('1c_WaterHeating'!I10&gt;0,IF(AND(Calorific_Values!I10&lt;=50000,Calorific_Values!I10&gt;=40000),"TRUE","FALSE"),"TRUE")</f>
        <v>TRUE</v>
      </c>
      <c r="I28" s="99" t="str">
        <f>IF('1c_WaterHeating'!J10&gt;0,IF(AND(Calorific_Values!J10&lt;=50000,Calorific_Values!J10&gt;=40000),"TRUE","FALSE"),"TRUE")</f>
        <v>TRUE</v>
      </c>
      <c r="J28" s="99" t="str">
        <f>IF('1c_WaterHeating'!K10&gt;0,IF(AND(Calorific_Values!K10&lt;=50000,Calorific_Values!K10&gt;=40000),"TRUE","FALSE"),"TRUE")</f>
        <v>TRUE</v>
      </c>
      <c r="K28" s="99" t="str">
        <f>IF('1c_WaterHeating'!L10&gt;0,IF(AND(Calorific_Values!L10&lt;=50000,Calorific_Values!L10&gt;=40000),"TRUE","FALSE"),"TRUE")</f>
        <v>TRUE</v>
      </c>
      <c r="L28" s="99" t="str">
        <f>IF('1c_WaterHeating'!M10&gt;0,IF(AND(Calorific_Values!M10&lt;=50000,Calorific_Values!M10&gt;=40000),"TRUE","FALSE"),"TRUE")</f>
        <v>TRUE</v>
      </c>
      <c r="M28" s="99" t="str">
        <f>IF('1c_WaterHeating'!N10&gt;0,IF(AND(Calorific_Values!N10&lt;=50000,Calorific_Values!N10&gt;=40000),"TRUE","FALSE"),"TRUE")</f>
        <v>TRUE</v>
      </c>
      <c r="N28" s="99" t="str">
        <f>IF('1c_WaterHeating'!O10&gt;0,IF(AND(Calorific_Values!O10&lt;=50000,Calorific_Values!O10&gt;=40000),"TRUE","FALSE"),"TRUE")</f>
        <v>TRUE</v>
      </c>
    </row>
    <row r="29" spans="1:14" x14ac:dyDescent="0.25">
      <c r="A29" t="s">
        <v>153</v>
      </c>
      <c r="B29" t="s">
        <v>164</v>
      </c>
      <c r="C29" s="99" t="str">
        <f>IF('1c_WaterHeating'!D11&gt;0,IF(AND(Calorific_Values!D11&lt;=50000,Calorific_Values!D11&gt;=4000),"TRUE","FALSE"),"TRUE")</f>
        <v>TRUE</v>
      </c>
      <c r="D29" s="99" t="str">
        <f>IF('1c_WaterHeating'!E11&gt;0,IF(AND(Calorific_Values!E11&lt;=50000,Calorific_Values!E11&gt;=4000),"TRUE","FALSE"),"TRUE")</f>
        <v>TRUE</v>
      </c>
      <c r="E29" s="99" t="str">
        <f>IF('1c_WaterHeating'!F11&gt;0,IF(AND(Calorific_Values!F11&lt;=50000,Calorific_Values!F11&gt;=4000),"TRUE","FALSE"),"TRUE")</f>
        <v>TRUE</v>
      </c>
      <c r="F29" s="99" t="str">
        <f>IF('1c_WaterHeating'!G11&gt;0,IF(AND(Calorific_Values!G11&lt;=50000,Calorific_Values!G11&gt;=4000),"TRUE","FALSE"),"TRUE")</f>
        <v>TRUE</v>
      </c>
      <c r="G29" s="99" t="str">
        <f>IF('1c_WaterHeating'!H11&gt;0,IF(AND(Calorific_Values!H11&lt;=50000,Calorific_Values!H11&gt;=4000),"TRUE","FALSE"),"TRUE")</f>
        <v>TRUE</v>
      </c>
      <c r="H29" s="99" t="str">
        <f>IF('1c_WaterHeating'!I11&gt;0,IF(AND(Calorific_Values!I11&lt;=50000,Calorific_Values!I11&gt;=4000),"TRUE","FALSE"),"TRUE")</f>
        <v>TRUE</v>
      </c>
      <c r="I29" s="99" t="str">
        <f>IF('1c_WaterHeating'!J11&gt;0,IF(AND(Calorific_Values!J11&lt;=50000,Calorific_Values!J11&gt;=4000),"TRUE","FALSE"),"TRUE")</f>
        <v>TRUE</v>
      </c>
      <c r="J29" s="99" t="str">
        <f>IF('1c_WaterHeating'!K11&gt;0,IF(AND(Calorific_Values!K11&lt;=50000,Calorific_Values!K11&gt;=4000),"TRUE","FALSE"),"TRUE")</f>
        <v>TRUE</v>
      </c>
      <c r="K29" s="99" t="str">
        <f>IF('1c_WaterHeating'!L11&gt;0,IF(AND(Calorific_Values!L11&lt;=50000,Calorific_Values!L11&gt;=4000),"TRUE","FALSE"),"TRUE")</f>
        <v>TRUE</v>
      </c>
      <c r="L29" s="99" t="str">
        <f>IF('1c_WaterHeating'!M11&gt;0,IF(AND(Calorific_Values!M11&lt;=50000,Calorific_Values!M11&gt;=4000),"TRUE","FALSE"),"TRUE")</f>
        <v>TRUE</v>
      </c>
      <c r="M29" s="99" t="str">
        <f>IF('1c_WaterHeating'!N11&gt;0,IF(AND(Calorific_Values!N11&lt;=50000,Calorific_Values!N11&gt;=4000),"TRUE","FALSE"),"TRUE")</f>
        <v>TRUE</v>
      </c>
      <c r="N29" s="99" t="str">
        <f>IF('1c_WaterHeating'!O11&gt;0,IF(AND(Calorific_Values!O11&lt;=50000,Calorific_Values!O11&gt;=4000),"TRUE","FALSE"),"TRUE")</f>
        <v>TRUE</v>
      </c>
    </row>
    <row r="30" spans="1:14" x14ac:dyDescent="0.25">
      <c r="A30" t="s">
        <v>153</v>
      </c>
      <c r="B30" t="s">
        <v>165</v>
      </c>
      <c r="C30" s="99" t="str">
        <f>IF('1c_WaterHeating'!D12&gt;0,IF(AND(Calorific_Values!D12&lt;=45000,Calorific_Values!D12&gt;=40000),"TRUE","FALSE"),"TRUE")</f>
        <v>TRUE</v>
      </c>
      <c r="D30" s="99" t="str">
        <f>IF('1c_WaterHeating'!E12&gt;0,IF(AND(Calorific_Values!E12&lt;=45000,Calorific_Values!E12&gt;=40000),"TRUE","FALSE"),"TRUE")</f>
        <v>TRUE</v>
      </c>
      <c r="E30" s="99" t="str">
        <f>IF('1c_WaterHeating'!F12&gt;0,IF(AND(Calorific_Values!F12&lt;=45000,Calorific_Values!F12&gt;=40000),"TRUE","FALSE"),"TRUE")</f>
        <v>TRUE</v>
      </c>
      <c r="F30" s="99" t="str">
        <f>IF('1c_WaterHeating'!G12&gt;0,IF(AND(Calorific_Values!G12&lt;=45000,Calorific_Values!G12&gt;=40000),"TRUE","FALSE"),"TRUE")</f>
        <v>TRUE</v>
      </c>
      <c r="G30" s="99" t="str">
        <f>IF('1c_WaterHeating'!H12&gt;0,IF(AND(Calorific_Values!H12&lt;=45000,Calorific_Values!H12&gt;=40000),"TRUE","FALSE"),"TRUE")</f>
        <v>TRUE</v>
      </c>
      <c r="H30" s="99" t="str">
        <f>IF('1c_WaterHeating'!I12&gt;0,IF(AND(Calorific_Values!I12&lt;=45000,Calorific_Values!I12&gt;=40000),"TRUE","FALSE"),"TRUE")</f>
        <v>TRUE</v>
      </c>
      <c r="I30" s="99" t="str">
        <f>IF('1c_WaterHeating'!J12&gt;0,IF(AND(Calorific_Values!J12&lt;=45000,Calorific_Values!J12&gt;=40000),"TRUE","FALSE"),"TRUE")</f>
        <v>TRUE</v>
      </c>
      <c r="J30" s="99" t="str">
        <f>IF('1c_WaterHeating'!K12&gt;0,IF(AND(Calorific_Values!K12&lt;=45000,Calorific_Values!K12&gt;=40000),"TRUE","FALSE"),"TRUE")</f>
        <v>TRUE</v>
      </c>
      <c r="K30" s="99" t="str">
        <f>IF('1c_WaterHeating'!L12&gt;0,IF(AND(Calorific_Values!L12&lt;=45000,Calorific_Values!L12&gt;=40000),"TRUE","FALSE"),"TRUE")</f>
        <v>TRUE</v>
      </c>
      <c r="L30" s="99" t="str">
        <f>IF('1c_WaterHeating'!M12&gt;0,IF(AND(Calorific_Values!M12&lt;=45000,Calorific_Values!M12&gt;=40000),"TRUE","FALSE"),"TRUE")</f>
        <v>TRUE</v>
      </c>
      <c r="M30" s="99" t="str">
        <f>IF('1c_WaterHeating'!N12&gt;0,IF(AND(Calorific_Values!N12&lt;=45000,Calorific_Values!N12&gt;=40000),"TRUE","FALSE"),"TRUE")</f>
        <v>TRUE</v>
      </c>
      <c r="N30" s="99" t="str">
        <f>IF('1c_WaterHeating'!O12&gt;0,IF(AND(Calorific_Values!O12&lt;=45000,Calorific_Values!O12&gt;=40000),"TRUE","FALSE"),"TRUE")</f>
        <v>TRUE</v>
      </c>
    </row>
    <row r="31" spans="1:14" x14ac:dyDescent="0.25">
      <c r="A31" t="s">
        <v>153</v>
      </c>
      <c r="B31" t="s">
        <v>166</v>
      </c>
      <c r="C31" s="99" t="str">
        <f>IF('1c_WaterHeating'!D13&gt;0,IF(AND(Calorific_Values!D13&lt;=45000,Calorific_Values!D13&gt;=40000),"TRUE","FALSE"),"TRUE")</f>
        <v>TRUE</v>
      </c>
      <c r="D31" s="99" t="str">
        <f>IF('1c_WaterHeating'!E13&gt;0,IF(AND(Calorific_Values!E13&lt;=45000,Calorific_Values!E13&gt;=40000),"TRUE","FALSE"),"TRUE")</f>
        <v>TRUE</v>
      </c>
      <c r="E31" s="99" t="str">
        <f>IF('1c_WaterHeating'!F13&gt;0,IF(AND(Calorific_Values!F13&lt;=45000,Calorific_Values!F13&gt;=40000),"TRUE","FALSE"),"TRUE")</f>
        <v>TRUE</v>
      </c>
      <c r="F31" s="99" t="str">
        <f>IF('1c_WaterHeating'!G13&gt;0,IF(AND(Calorific_Values!G13&lt;=45000,Calorific_Values!G13&gt;=40000),"TRUE","FALSE"),"TRUE")</f>
        <v>TRUE</v>
      </c>
      <c r="G31" s="99" t="str">
        <f>IF('1c_WaterHeating'!H13&gt;0,IF(AND(Calorific_Values!H13&lt;=45000,Calorific_Values!H13&gt;=40000),"TRUE","FALSE"),"TRUE")</f>
        <v>TRUE</v>
      </c>
      <c r="H31" s="99" t="str">
        <f>IF('1c_WaterHeating'!I13&gt;0,IF(AND(Calorific_Values!I13&lt;=45000,Calorific_Values!I13&gt;=40000),"TRUE","FALSE"),"TRUE")</f>
        <v>TRUE</v>
      </c>
      <c r="I31" s="99" t="str">
        <f>IF('1c_WaterHeating'!J13&gt;0,IF(AND(Calorific_Values!J13&lt;=45000,Calorific_Values!J13&gt;=40000),"TRUE","FALSE"),"TRUE")</f>
        <v>TRUE</v>
      </c>
      <c r="J31" s="99" t="str">
        <f>IF('1c_WaterHeating'!K13&gt;0,IF(AND(Calorific_Values!K13&lt;=45000,Calorific_Values!K13&gt;=40000),"TRUE","FALSE"),"TRUE")</f>
        <v>TRUE</v>
      </c>
      <c r="K31" s="99" t="str">
        <f>IF('1c_WaterHeating'!L13&gt;0,IF(AND(Calorific_Values!L13&lt;=45000,Calorific_Values!L13&gt;=40000),"TRUE","FALSE"),"TRUE")</f>
        <v>TRUE</v>
      </c>
      <c r="L31" s="99" t="str">
        <f>IF('1c_WaterHeating'!M13&gt;0,IF(AND(Calorific_Values!M13&lt;=45000,Calorific_Values!M13&gt;=40000),"TRUE","FALSE"),"TRUE")</f>
        <v>TRUE</v>
      </c>
      <c r="M31" s="99" t="str">
        <f>IF('1c_WaterHeating'!N13&gt;0,IF(AND(Calorific_Values!N13&lt;=45000,Calorific_Values!N13&gt;=40000),"TRUE","FALSE"),"TRUE")</f>
        <v>TRUE</v>
      </c>
      <c r="N31" s="99" t="str">
        <f>IF('1c_WaterHeating'!O13&gt;0,IF(AND(Calorific_Values!O13&lt;=45000,Calorific_Values!O13&gt;=40000),"TRUE","FALSE"),"TRUE")</f>
        <v>TRUE</v>
      </c>
    </row>
    <row r="32" spans="1:14" x14ac:dyDescent="0.25">
      <c r="A32" t="s">
        <v>154</v>
      </c>
      <c r="B32" t="s">
        <v>167</v>
      </c>
      <c r="C32" s="99" t="str">
        <f>IF('1d_Cooking'!D9&gt;0,IF(AND(Calorific_Values!D9&lt;=30000,Calorific_Values!D9&gt;=5000),"TRUE","FALSE"),"TRUE")</f>
        <v>TRUE</v>
      </c>
      <c r="D32" s="99" t="str">
        <f>IF('1d_Cooking'!E9&gt;0,IF(AND(Calorific_Values!E9&lt;=30000,Calorific_Values!E9&gt;=5000),"TRUE","FALSE"),"TRUE")</f>
        <v>TRUE</v>
      </c>
      <c r="E32" s="99" t="str">
        <f>IF('1d_Cooking'!F9&gt;0,IF(AND(Calorific_Values!F9&lt;=30000,Calorific_Values!F9&gt;=5000),"TRUE","FALSE"),"TRUE")</f>
        <v>TRUE</v>
      </c>
      <c r="F32" s="99" t="str">
        <f>IF('1d_Cooking'!G9&gt;0,IF(AND(Calorific_Values!G9&lt;=30000,Calorific_Values!G9&gt;=5000),"TRUE","FALSE"),"TRUE")</f>
        <v>TRUE</v>
      </c>
      <c r="G32" s="99" t="str">
        <f>IF('1d_Cooking'!H9&gt;0,IF(AND(Calorific_Values!H9&lt;=30000,Calorific_Values!H9&gt;=5000),"TRUE","FALSE"),"TRUE")</f>
        <v>TRUE</v>
      </c>
      <c r="H32" s="99" t="str">
        <f>IF('1d_Cooking'!I9&gt;0,IF(AND(Calorific_Values!I9&lt;=30000,Calorific_Values!I9&gt;=5000),"TRUE","FALSE"),"TRUE")</f>
        <v>TRUE</v>
      </c>
      <c r="I32" s="99" t="str">
        <f>IF('1d_Cooking'!J9&gt;0,IF(AND(Calorific_Values!J9&lt;=30000,Calorific_Values!J9&gt;=5000),"TRUE","FALSE"),"TRUE")</f>
        <v>TRUE</v>
      </c>
      <c r="J32" s="99" t="str">
        <f>IF('1d_Cooking'!K9&gt;0,IF(AND(Calorific_Values!K9&lt;=30000,Calorific_Values!K9&gt;=5000),"TRUE","FALSE"),"TRUE")</f>
        <v>TRUE</v>
      </c>
      <c r="K32" s="99" t="str">
        <f>IF('1d_Cooking'!L9&gt;0,IF(AND(Calorific_Values!L9&lt;=30000,Calorific_Values!L9&gt;=5000),"TRUE","FALSE"),"TRUE")</f>
        <v>TRUE</v>
      </c>
      <c r="L32" s="99" t="str">
        <f>IF('1d_Cooking'!M9&gt;0,IF(AND(Calorific_Values!M9&lt;=30000,Calorific_Values!M9&gt;=5000),"TRUE","FALSE"),"TRUE")</f>
        <v>TRUE</v>
      </c>
      <c r="M32" s="99" t="str">
        <f>IF('1d_Cooking'!N9&gt;0,IF(AND(Calorific_Values!N9&lt;=30000,Calorific_Values!N9&gt;=5000),"TRUE","FALSE"),"TRUE")</f>
        <v>TRUE</v>
      </c>
      <c r="N32" s="99" t="str">
        <f>IF('1d_Cooking'!O9&gt;0,IF(AND(Calorific_Values!O9&lt;=30000,Calorific_Values!O9&gt;=5000),"TRUE","FALSE"),"TRUE")</f>
        <v>TRUE</v>
      </c>
    </row>
    <row r="33" spans="1:14" x14ac:dyDescent="0.25">
      <c r="A33" t="s">
        <v>154</v>
      </c>
      <c r="B33" t="s">
        <v>168</v>
      </c>
      <c r="C33" s="99" t="str">
        <f>IF('1d_Cooking'!D10&gt;0,IF(AND(Calorific_Values!D10&lt;=50000,Calorific_Values!D10&gt;=40000),"TRUE","FALSE"),"TRUE")</f>
        <v>TRUE</v>
      </c>
      <c r="D33" s="99" t="str">
        <f>IF('1d_Cooking'!E10&gt;0,IF(AND(Calorific_Values!E10&lt;=50000,Calorific_Values!E10&gt;=40000),"TRUE","FALSE"),"TRUE")</f>
        <v>TRUE</v>
      </c>
      <c r="E33" s="99" t="str">
        <f>IF('1d_Cooking'!F10&gt;0,IF(AND(Calorific_Values!F10&lt;=50000,Calorific_Values!F10&gt;=40000),"TRUE","FALSE"),"TRUE")</f>
        <v>TRUE</v>
      </c>
      <c r="F33" s="99" t="str">
        <f>IF('1d_Cooking'!G10&gt;0,IF(AND(Calorific_Values!G10&lt;=50000,Calorific_Values!G10&gt;=40000),"TRUE","FALSE"),"TRUE")</f>
        <v>TRUE</v>
      </c>
      <c r="G33" s="99" t="str">
        <f>IF('1d_Cooking'!H10&gt;0,IF(AND(Calorific_Values!H10&lt;=50000,Calorific_Values!H10&gt;=40000),"TRUE","FALSE"),"TRUE")</f>
        <v>TRUE</v>
      </c>
      <c r="H33" s="99" t="str">
        <f>IF('1d_Cooking'!I10&gt;0,IF(AND(Calorific_Values!I10&lt;=50000,Calorific_Values!I10&gt;=40000),"TRUE","FALSE"),"TRUE")</f>
        <v>TRUE</v>
      </c>
      <c r="I33" s="99" t="str">
        <f>IF('1d_Cooking'!J10&gt;0,IF(AND(Calorific_Values!J10&lt;=50000,Calorific_Values!J10&gt;=40000),"TRUE","FALSE"),"TRUE")</f>
        <v>TRUE</v>
      </c>
      <c r="J33" s="99" t="str">
        <f>IF('1d_Cooking'!K10&gt;0,IF(AND(Calorific_Values!K10&lt;=50000,Calorific_Values!K10&gt;=40000),"TRUE","FALSE"),"TRUE")</f>
        <v>TRUE</v>
      </c>
      <c r="K33" s="99" t="str">
        <f>IF('1d_Cooking'!L10&gt;0,IF(AND(Calorific_Values!L10&lt;=50000,Calorific_Values!L10&gt;=40000),"TRUE","FALSE"),"TRUE")</f>
        <v>TRUE</v>
      </c>
      <c r="L33" s="99" t="str">
        <f>IF('1d_Cooking'!M10&gt;0,IF(AND(Calorific_Values!M10&lt;=50000,Calorific_Values!M10&gt;=40000),"TRUE","FALSE"),"TRUE")</f>
        <v>TRUE</v>
      </c>
      <c r="M33" s="99" t="str">
        <f>IF('1d_Cooking'!N10&gt;0,IF(AND(Calorific_Values!N10&lt;=50000,Calorific_Values!N10&gt;=40000),"TRUE","FALSE"),"TRUE")</f>
        <v>TRUE</v>
      </c>
      <c r="N33" s="99" t="str">
        <f>IF('1d_Cooking'!O10&gt;0,IF(AND(Calorific_Values!O10&lt;=50000,Calorific_Values!O10&gt;=40000),"TRUE","FALSE"),"TRUE")</f>
        <v>TRUE</v>
      </c>
    </row>
    <row r="34" spans="1:14" x14ac:dyDescent="0.25">
      <c r="A34" t="s">
        <v>154</v>
      </c>
      <c r="B34" t="s">
        <v>164</v>
      </c>
      <c r="C34" s="99" t="str">
        <f>IF('1d_Cooking'!D11&gt;0,IF(AND(Calorific_Values!D11&lt;=50000,Calorific_Values!D11&gt;=4000),"TRUE","FALSE"),"TRUE")</f>
        <v>TRUE</v>
      </c>
      <c r="D34" s="99" t="str">
        <f>IF('1d_Cooking'!E11&gt;0,IF(AND(Calorific_Values!E11&lt;=50000,Calorific_Values!E11&gt;=4000),"TRUE","FALSE"),"TRUE")</f>
        <v>TRUE</v>
      </c>
      <c r="E34" s="99" t="str">
        <f>IF('1d_Cooking'!F11&gt;0,IF(AND(Calorific_Values!F11&lt;=50000,Calorific_Values!F11&gt;=4000),"TRUE","FALSE"),"TRUE")</f>
        <v>TRUE</v>
      </c>
      <c r="F34" s="99" t="str">
        <f>IF('1d_Cooking'!G11&gt;0,IF(AND(Calorific_Values!G11&lt;=50000,Calorific_Values!G11&gt;=4000),"TRUE","FALSE"),"TRUE")</f>
        <v>TRUE</v>
      </c>
      <c r="G34" s="99" t="str">
        <f>IF('1d_Cooking'!H11&gt;0,IF(AND(Calorific_Values!H11&lt;=50000,Calorific_Values!H11&gt;=4000),"TRUE","FALSE"),"TRUE")</f>
        <v>TRUE</v>
      </c>
      <c r="H34" s="99" t="str">
        <f>IF('1d_Cooking'!I11&gt;0,IF(AND(Calorific_Values!I11&lt;=50000,Calorific_Values!I11&gt;=4000),"TRUE","FALSE"),"TRUE")</f>
        <v>TRUE</v>
      </c>
      <c r="I34" s="99" t="str">
        <f>IF('1d_Cooking'!J11&gt;0,IF(AND(Calorific_Values!J11&lt;=50000,Calorific_Values!J11&gt;=4000),"TRUE","FALSE"),"TRUE")</f>
        <v>TRUE</v>
      </c>
      <c r="J34" s="99" t="str">
        <f>IF('1d_Cooking'!K11&gt;0,IF(AND(Calorific_Values!K11&lt;=50000,Calorific_Values!K11&gt;=4000),"TRUE","FALSE"),"TRUE")</f>
        <v>TRUE</v>
      </c>
      <c r="K34" s="99" t="str">
        <f>IF('1d_Cooking'!L11&gt;0,IF(AND(Calorific_Values!L11&lt;=50000,Calorific_Values!L11&gt;=4000),"TRUE","FALSE"),"TRUE")</f>
        <v>TRUE</v>
      </c>
      <c r="L34" s="99" t="str">
        <f>IF('1d_Cooking'!M11&gt;0,IF(AND(Calorific_Values!M11&lt;=50000,Calorific_Values!M11&gt;=4000),"TRUE","FALSE"),"TRUE")</f>
        <v>TRUE</v>
      </c>
      <c r="M34" s="99" t="str">
        <f>IF('1d_Cooking'!N11&gt;0,IF(AND(Calorific_Values!N11&lt;=50000,Calorific_Values!N11&gt;=4000),"TRUE","FALSE"),"TRUE")</f>
        <v>TRUE</v>
      </c>
      <c r="N34" s="99" t="str">
        <f>IF('1d_Cooking'!O11&gt;0,IF(AND(Calorific_Values!O11&lt;=50000,Calorific_Values!O11&gt;=4000),"TRUE","FALSE"),"TRUE")</f>
        <v>TRUE</v>
      </c>
    </row>
    <row r="35" spans="1:14" x14ac:dyDescent="0.25">
      <c r="A35" t="s">
        <v>154</v>
      </c>
      <c r="B35" t="s">
        <v>165</v>
      </c>
      <c r="C35" s="99" t="str">
        <f>IF('1d_Cooking'!D12&gt;0,IF(AND(Calorific_Values!D12&lt;=45000,Calorific_Values!D12&gt;=40000),"TRUE","FALSE"),"TRUE")</f>
        <v>TRUE</v>
      </c>
      <c r="D35" s="99" t="str">
        <f>IF('1d_Cooking'!E12&gt;0,IF(AND(Calorific_Values!E12&lt;=45000,Calorific_Values!E12&gt;=40000),"TRUE","FALSE"),"TRUE")</f>
        <v>TRUE</v>
      </c>
      <c r="E35" s="99" t="str">
        <f>IF('1d_Cooking'!F12&gt;0,IF(AND(Calorific_Values!F12&lt;=45000,Calorific_Values!F12&gt;=40000),"TRUE","FALSE"),"TRUE")</f>
        <v>TRUE</v>
      </c>
      <c r="F35" s="99" t="str">
        <f>IF('1d_Cooking'!G12&gt;0,IF(AND(Calorific_Values!G12&lt;=45000,Calorific_Values!G12&gt;=40000),"TRUE","FALSE"),"TRUE")</f>
        <v>TRUE</v>
      </c>
      <c r="G35" s="99" t="str">
        <f>IF('1d_Cooking'!H12&gt;0,IF(AND(Calorific_Values!H12&lt;=45000,Calorific_Values!H12&gt;=40000),"TRUE","FALSE"),"TRUE")</f>
        <v>TRUE</v>
      </c>
      <c r="H35" s="99" t="str">
        <f>IF('1d_Cooking'!I12&gt;0,IF(AND(Calorific_Values!I12&lt;=45000,Calorific_Values!I12&gt;=40000),"TRUE","FALSE"),"TRUE")</f>
        <v>TRUE</v>
      </c>
      <c r="I35" s="99" t="str">
        <f>IF('1d_Cooking'!J12&gt;0,IF(AND(Calorific_Values!J12&lt;=45000,Calorific_Values!J12&gt;=40000),"TRUE","FALSE"),"TRUE")</f>
        <v>TRUE</v>
      </c>
      <c r="J35" s="99" t="str">
        <f>IF('1d_Cooking'!K12&gt;0,IF(AND(Calorific_Values!K12&lt;=45000,Calorific_Values!K12&gt;=40000),"TRUE","FALSE"),"TRUE")</f>
        <v>TRUE</v>
      </c>
      <c r="K35" s="99" t="str">
        <f>IF('1d_Cooking'!L12&gt;0,IF(AND(Calorific_Values!L12&lt;=45000,Calorific_Values!L12&gt;=40000),"TRUE","FALSE"),"TRUE")</f>
        <v>TRUE</v>
      </c>
      <c r="L35" s="99" t="str">
        <f>IF('1d_Cooking'!M12&gt;0,IF(AND(Calorific_Values!M12&lt;=45000,Calorific_Values!M12&gt;=40000),"TRUE","FALSE"),"TRUE")</f>
        <v>TRUE</v>
      </c>
      <c r="M35" s="99" t="str">
        <f>IF('1d_Cooking'!N12&gt;0,IF(AND(Calorific_Values!N12&lt;=45000,Calorific_Values!N12&gt;=40000),"TRUE","FALSE"),"TRUE")</f>
        <v>TRUE</v>
      </c>
      <c r="N35" s="99" t="str">
        <f>IF('1d_Cooking'!O12&gt;0,IF(AND(Calorific_Values!O12&lt;=45000,Calorific_Values!O12&gt;=40000),"TRUE","FALSE"),"TRUE")</f>
        <v>TRUE</v>
      </c>
    </row>
    <row r="36" spans="1:14" x14ac:dyDescent="0.25">
      <c r="A36" t="s">
        <v>154</v>
      </c>
      <c r="B36" t="s">
        <v>166</v>
      </c>
      <c r="C36" s="99" t="str">
        <f>IF('1d_Cooking'!D13&gt;0,IF(AND(Calorific_Values!D13&lt;=45000,Calorific_Values!D13&gt;=40000),"TRUE","FALSE"),"TRUE")</f>
        <v>TRUE</v>
      </c>
      <c r="D36" s="99" t="str">
        <f>IF('1d_Cooking'!E13&gt;0,IF(AND(Calorific_Values!E13&lt;=45000,Calorific_Values!E13&gt;=40000),"TRUE","FALSE"),"TRUE")</f>
        <v>TRUE</v>
      </c>
      <c r="E36" s="99" t="str">
        <f>IF('1d_Cooking'!F13&gt;0,IF(AND(Calorific_Values!F13&lt;=45000,Calorific_Values!F13&gt;=40000),"TRUE","FALSE"),"TRUE")</f>
        <v>TRUE</v>
      </c>
      <c r="F36" s="99" t="str">
        <f>IF('1d_Cooking'!G13&gt;0,IF(AND(Calorific_Values!G13&lt;=45000,Calorific_Values!G13&gt;=40000),"TRUE","FALSE"),"TRUE")</f>
        <v>TRUE</v>
      </c>
      <c r="G36" s="99" t="str">
        <f>IF('1d_Cooking'!H13&gt;0,IF(AND(Calorific_Values!H13&lt;=45000,Calorific_Values!H13&gt;=40000),"TRUE","FALSE"),"TRUE")</f>
        <v>TRUE</v>
      </c>
      <c r="H36" s="99" t="str">
        <f>IF('1d_Cooking'!I13&gt;0,IF(AND(Calorific_Values!I13&lt;=45000,Calorific_Values!I13&gt;=40000),"TRUE","FALSE"),"TRUE")</f>
        <v>TRUE</v>
      </c>
      <c r="I36" s="99" t="str">
        <f>IF('1d_Cooking'!J13&gt;0,IF(AND(Calorific_Values!J13&lt;=45000,Calorific_Values!J13&gt;=40000),"TRUE","FALSE"),"TRUE")</f>
        <v>TRUE</v>
      </c>
      <c r="J36" s="99" t="str">
        <f>IF('1d_Cooking'!K13&gt;0,IF(AND(Calorific_Values!K13&lt;=45000,Calorific_Values!K13&gt;=40000),"TRUE","FALSE"),"TRUE")</f>
        <v>TRUE</v>
      </c>
      <c r="K36" s="99" t="str">
        <f>IF('1d_Cooking'!L13&gt;0,IF(AND(Calorific_Values!L13&lt;=45000,Calorific_Values!L13&gt;=40000),"TRUE","FALSE"),"TRUE")</f>
        <v>TRUE</v>
      </c>
      <c r="L36" s="99" t="str">
        <f>IF('1d_Cooking'!M13&gt;0,IF(AND(Calorific_Values!M13&lt;=45000,Calorific_Values!M13&gt;=40000),"TRUE","FALSE"),"TRUE")</f>
        <v>TRUE</v>
      </c>
      <c r="M36" s="99" t="str">
        <f>IF('1d_Cooking'!N13&gt;0,IF(AND(Calorific_Values!N13&lt;=45000,Calorific_Values!N13&gt;=40000),"TRUE","FALSE"),"TRUE")</f>
        <v>TRUE</v>
      </c>
      <c r="N36" s="99" t="str">
        <f>IF('1d_Cooking'!O13&gt;0,IF(AND(Calorific_Values!O13&lt;=45000,Calorific_Values!O13&gt;=40000),"TRUE","FALSE"),"TRUE")</f>
        <v>TRUE</v>
      </c>
    </row>
    <row r="37" spans="1:14" x14ac:dyDescent="0.25">
      <c r="A37" t="s">
        <v>155</v>
      </c>
      <c r="B37" t="s">
        <v>167</v>
      </c>
      <c r="C37" s="99" t="str">
        <f>IF('1f_OtherEndUses'!D9&gt;0,IF(AND(Calorific_Values!D9&lt;=30000,Calorific_Values!D9&gt;=5000),"TRUE","FALSE"),"TRUE")</f>
        <v>TRUE</v>
      </c>
      <c r="D37" s="99" t="str">
        <f>IF('1f_OtherEndUses'!E9&gt;0,IF(AND(Calorific_Values!E9&lt;=30000,Calorific_Values!E9&gt;=5000),"TRUE","FALSE"),"TRUE")</f>
        <v>TRUE</v>
      </c>
      <c r="E37" s="99" t="str">
        <f>IF('1f_OtherEndUses'!F9&gt;0,IF(AND(Calorific_Values!F9&lt;=30000,Calorific_Values!F9&gt;=5000),"TRUE","FALSE"),"TRUE")</f>
        <v>TRUE</v>
      </c>
      <c r="F37" s="99" t="str">
        <f>IF('1f_OtherEndUses'!G9&gt;0,IF(AND(Calorific_Values!G9&lt;=30000,Calorific_Values!G9&gt;=5000),"TRUE","FALSE"),"TRUE")</f>
        <v>TRUE</v>
      </c>
      <c r="G37" s="99" t="str">
        <f>IF('1f_OtherEndUses'!H9&gt;0,IF(AND(Calorific_Values!H9&lt;=30000,Calorific_Values!H9&gt;=5000),"TRUE","FALSE"),"TRUE")</f>
        <v>TRUE</v>
      </c>
      <c r="H37" s="99" t="str">
        <f>IF('1f_OtherEndUses'!I9&gt;0,IF(AND(Calorific_Values!I9&lt;=30000,Calorific_Values!I9&gt;=5000),"TRUE","FALSE"),"TRUE")</f>
        <v>TRUE</v>
      </c>
      <c r="I37" s="99" t="str">
        <f>IF('1f_OtherEndUses'!J9&gt;0,IF(AND(Calorific_Values!J9&lt;=30000,Calorific_Values!J9&gt;=5000),"TRUE","FALSE"),"TRUE")</f>
        <v>TRUE</v>
      </c>
      <c r="J37" s="99" t="str">
        <f>IF('1f_OtherEndUses'!K9&gt;0,IF(AND(Calorific_Values!K9&lt;=30000,Calorific_Values!K9&gt;=5000),"TRUE","FALSE"),"TRUE")</f>
        <v>TRUE</v>
      </c>
      <c r="K37" s="99" t="str">
        <f>IF('1f_OtherEndUses'!L9&gt;0,IF(AND(Calorific_Values!L9&lt;=30000,Calorific_Values!L9&gt;=5000),"TRUE","FALSE"),"TRUE")</f>
        <v>TRUE</v>
      </c>
      <c r="L37" s="99" t="str">
        <f>IF('1f_OtherEndUses'!M9&gt;0,IF(AND(Calorific_Values!M9&lt;=30000,Calorific_Values!M9&gt;=5000),"TRUE","FALSE"),"TRUE")</f>
        <v>TRUE</v>
      </c>
      <c r="M37" s="99" t="str">
        <f>IF('1f_OtherEndUses'!N9&gt;0,IF(AND(Calorific_Values!N9&lt;=30000,Calorific_Values!N9&gt;=5000),"TRUE","FALSE"),"TRUE")</f>
        <v>TRUE</v>
      </c>
      <c r="N37" s="99" t="str">
        <f>IF('1f_OtherEndUses'!O9&gt;0,IF(AND(Calorific_Values!O9&lt;=30000,Calorific_Values!O9&gt;=5000),"TRUE","FALSE"),"TRUE")</f>
        <v>TRUE</v>
      </c>
    </row>
    <row r="38" spans="1:14" x14ac:dyDescent="0.25">
      <c r="A38" t="s">
        <v>155</v>
      </c>
      <c r="B38" t="s">
        <v>168</v>
      </c>
      <c r="C38" s="99" t="str">
        <f>IF('1f_OtherEndUses'!D10&gt;0,IF(AND(Calorific_Values!D10&lt;=50000,Calorific_Values!D10&gt;=40000),"TRUE","FALSE"),"TRUE")</f>
        <v>TRUE</v>
      </c>
      <c r="D38" s="99" t="str">
        <f>IF('1f_OtherEndUses'!E10&gt;0,IF(AND(Calorific_Values!E10&lt;=50000,Calorific_Values!E10&gt;=40000),"TRUE","FALSE"),"TRUE")</f>
        <v>TRUE</v>
      </c>
      <c r="E38" s="99" t="str">
        <f>IF('1f_OtherEndUses'!F10&gt;0,IF(AND(Calorific_Values!F10&lt;=50000,Calorific_Values!F10&gt;=40000),"TRUE","FALSE"),"TRUE")</f>
        <v>TRUE</v>
      </c>
      <c r="F38" s="99" t="str">
        <f>IF('1f_OtherEndUses'!G10&gt;0,IF(AND(Calorific_Values!G10&lt;=50000,Calorific_Values!G10&gt;=40000),"TRUE","FALSE"),"TRUE")</f>
        <v>TRUE</v>
      </c>
      <c r="G38" s="99" t="str">
        <f>IF('1f_OtherEndUses'!H10&gt;0,IF(AND(Calorific_Values!H10&lt;=50000,Calorific_Values!H10&gt;=40000),"TRUE","FALSE"),"TRUE")</f>
        <v>TRUE</v>
      </c>
      <c r="H38" s="99" t="str">
        <f>IF('1f_OtherEndUses'!I10&gt;0,IF(AND(Calorific_Values!I10&lt;=50000,Calorific_Values!I10&gt;=40000),"TRUE","FALSE"),"TRUE")</f>
        <v>TRUE</v>
      </c>
      <c r="I38" s="99" t="str">
        <f>IF('1f_OtherEndUses'!J10&gt;0,IF(AND(Calorific_Values!J10&lt;=50000,Calorific_Values!J10&gt;=40000),"TRUE","FALSE"),"TRUE")</f>
        <v>TRUE</v>
      </c>
      <c r="J38" s="99" t="str">
        <f>IF('1f_OtherEndUses'!K10&gt;0,IF(AND(Calorific_Values!K10&lt;=50000,Calorific_Values!K10&gt;=40000),"TRUE","FALSE"),"TRUE")</f>
        <v>TRUE</v>
      </c>
      <c r="K38" s="99" t="str">
        <f>IF('1f_OtherEndUses'!L10&gt;0,IF(AND(Calorific_Values!L10&lt;=50000,Calorific_Values!L10&gt;=40000),"TRUE","FALSE"),"TRUE")</f>
        <v>TRUE</v>
      </c>
      <c r="L38" s="99" t="str">
        <f>IF('1f_OtherEndUses'!M10&gt;0,IF(AND(Calorific_Values!M10&lt;=50000,Calorific_Values!M10&gt;=40000),"TRUE","FALSE"),"TRUE")</f>
        <v>TRUE</v>
      </c>
      <c r="M38" s="99" t="str">
        <f>IF('1f_OtherEndUses'!N10&gt;0,IF(AND(Calorific_Values!N10&lt;=50000,Calorific_Values!N10&gt;=40000),"TRUE","FALSE"),"TRUE")</f>
        <v>TRUE</v>
      </c>
      <c r="N38" s="99" t="str">
        <f>IF('1f_OtherEndUses'!O10&gt;0,IF(AND(Calorific_Values!O10&lt;=50000,Calorific_Values!O10&gt;=40000),"TRUE","FALSE"),"TRUE")</f>
        <v>TRUE</v>
      </c>
    </row>
    <row r="39" spans="1:14" x14ac:dyDescent="0.25">
      <c r="A39" t="s">
        <v>155</v>
      </c>
      <c r="B39" t="s">
        <v>164</v>
      </c>
      <c r="C39" s="99" t="str">
        <f>IF('1f_OtherEndUses'!D11&gt;0,IF(AND(Calorific_Values!D11&lt;=50000,Calorific_Values!D11&gt;=40000),"TRUE","FALSE"),"TRUE")</f>
        <v>TRUE</v>
      </c>
      <c r="D39" s="99" t="str">
        <f>IF('1f_OtherEndUses'!E11&gt;0,IF(AND(Calorific_Values!E11&lt;=50000,Calorific_Values!E11&gt;=40000),"TRUE","FALSE"),"TRUE")</f>
        <v>TRUE</v>
      </c>
      <c r="E39" s="99" t="str">
        <f>IF('1f_OtherEndUses'!F11&gt;0,IF(AND(Calorific_Values!F11&lt;=50000,Calorific_Values!F11&gt;=40000),"TRUE","FALSE"),"TRUE")</f>
        <v>TRUE</v>
      </c>
      <c r="F39" s="99" t="str">
        <f>IF('1f_OtherEndUses'!G11&gt;0,IF(AND(Calorific_Values!G11&lt;=50000,Calorific_Values!G11&gt;=40000),"TRUE","FALSE"),"TRUE")</f>
        <v>TRUE</v>
      </c>
      <c r="G39" s="99" t="str">
        <f>IF('1f_OtherEndUses'!H11&gt;0,IF(AND(Calorific_Values!H11&lt;=50000,Calorific_Values!H11&gt;=40000),"TRUE","FALSE"),"TRUE")</f>
        <v>TRUE</v>
      </c>
      <c r="H39" s="99" t="str">
        <f>IF('1f_OtherEndUses'!I11&gt;0,IF(AND(Calorific_Values!I11&lt;=50000,Calorific_Values!I11&gt;=40000),"TRUE","FALSE"),"TRUE")</f>
        <v>TRUE</v>
      </c>
      <c r="I39" s="99" t="str">
        <f>IF('1f_OtherEndUses'!J11&gt;0,IF(AND(Calorific_Values!J11&lt;=50000,Calorific_Values!J11&gt;=40000),"TRUE","FALSE"),"TRUE")</f>
        <v>TRUE</v>
      </c>
      <c r="J39" s="99" t="str">
        <f>IF('1f_OtherEndUses'!K11&gt;0,IF(AND(Calorific_Values!K11&lt;=50000,Calorific_Values!K11&gt;=40000),"TRUE","FALSE"),"TRUE")</f>
        <v>TRUE</v>
      </c>
      <c r="K39" s="99" t="str">
        <f>IF('1f_OtherEndUses'!L11&gt;0,IF(AND(Calorific_Values!L11&lt;=50000,Calorific_Values!L11&gt;=40000),"TRUE","FALSE"),"TRUE")</f>
        <v>TRUE</v>
      </c>
      <c r="L39" s="99" t="str">
        <f>IF('1f_OtherEndUses'!M11&gt;0,IF(AND(Calorific_Values!M11&lt;=50000,Calorific_Values!M11&gt;=40000),"TRUE","FALSE"),"TRUE")</f>
        <v>TRUE</v>
      </c>
      <c r="M39" s="99" t="str">
        <f>IF('1f_OtherEndUses'!N11&gt;0,IF(AND(Calorific_Values!N11&lt;=50000,Calorific_Values!N11&gt;=40000),"TRUE","FALSE"),"TRUE")</f>
        <v>TRUE</v>
      </c>
      <c r="N39" s="99" t="str">
        <f>IF('1f_OtherEndUses'!O11&gt;0,IF(AND(Calorific_Values!O11&lt;=50000,Calorific_Values!O11&gt;=40000),"TRUE","FALSE"),"TRUE")</f>
        <v>TRUE</v>
      </c>
    </row>
    <row r="40" spans="1:14" x14ac:dyDescent="0.25">
      <c r="A40" t="s">
        <v>155</v>
      </c>
      <c r="B40" t="s">
        <v>165</v>
      </c>
      <c r="C40" s="99" t="str">
        <f>IF('1f_OtherEndUses'!D12&gt;0,IF(AND(Calorific_Values!D12&lt;=45000,Calorific_Values!D12&gt;=40000),"TRUE","FALSE"),"TRUE")</f>
        <v>TRUE</v>
      </c>
      <c r="D40" s="99" t="str">
        <f>IF('1f_OtherEndUses'!E12&gt;0,IF(AND(Calorific_Values!E12&lt;=45000,Calorific_Values!E12&gt;=40000),"TRUE","FALSE"),"TRUE")</f>
        <v>TRUE</v>
      </c>
      <c r="E40" s="99" t="str">
        <f>IF('1f_OtherEndUses'!F12&gt;0,IF(AND(Calorific_Values!F12&lt;=45000,Calorific_Values!F12&gt;=40000),"TRUE","FALSE"),"TRUE")</f>
        <v>TRUE</v>
      </c>
      <c r="F40" s="99" t="str">
        <f>IF('1f_OtherEndUses'!G12&gt;0,IF(AND(Calorific_Values!G12&lt;=45000,Calorific_Values!G12&gt;=40000),"TRUE","FALSE"),"TRUE")</f>
        <v>TRUE</v>
      </c>
      <c r="G40" s="99" t="str">
        <f>IF('1f_OtherEndUses'!H12&gt;0,IF(AND(Calorific_Values!H12&lt;=45000,Calorific_Values!H12&gt;=40000),"TRUE","FALSE"),"TRUE")</f>
        <v>TRUE</v>
      </c>
      <c r="H40" s="99" t="str">
        <f>IF('1f_OtherEndUses'!I12&gt;0,IF(AND(Calorific_Values!I12&lt;=45000,Calorific_Values!I12&gt;=40000),"TRUE","FALSE"),"TRUE")</f>
        <v>TRUE</v>
      </c>
      <c r="I40" s="99" t="str">
        <f>IF('1f_OtherEndUses'!J12&gt;0,IF(AND(Calorific_Values!J12&lt;=45000,Calorific_Values!J12&gt;=40000),"TRUE","FALSE"),"TRUE")</f>
        <v>TRUE</v>
      </c>
      <c r="J40" s="99" t="str">
        <f>IF('1f_OtherEndUses'!K12&gt;0,IF(AND(Calorific_Values!K12&lt;=45000,Calorific_Values!K12&gt;=40000),"TRUE","FALSE"),"TRUE")</f>
        <v>TRUE</v>
      </c>
      <c r="K40" s="99" t="str">
        <f>IF('1f_OtherEndUses'!L12&gt;0,IF(AND(Calorific_Values!L12&lt;=45000,Calorific_Values!L12&gt;=40000),"TRUE","FALSE"),"TRUE")</f>
        <v>TRUE</v>
      </c>
      <c r="L40" s="99" t="str">
        <f>IF('1f_OtherEndUses'!M12&gt;0,IF(AND(Calorific_Values!M12&lt;=45000,Calorific_Values!M12&gt;=40000),"TRUE","FALSE"),"TRUE")</f>
        <v>TRUE</v>
      </c>
      <c r="M40" s="99" t="str">
        <f>IF('1f_OtherEndUses'!N12&gt;0,IF(AND(Calorific_Values!N12&lt;=45000,Calorific_Values!N12&gt;=40000),"TRUE","FALSE"),"TRUE")</f>
        <v>TRUE</v>
      </c>
      <c r="N40" s="99" t="str">
        <f>IF('1f_OtherEndUses'!O12&gt;0,IF(AND(Calorific_Values!O12&lt;=45000,Calorific_Values!O12&gt;=40000),"TRUE","FALSE"),"TRUE")</f>
        <v>TRUE</v>
      </c>
    </row>
    <row r="41" spans="1:14" x14ac:dyDescent="0.25">
      <c r="A41" t="s">
        <v>155</v>
      </c>
      <c r="B41" t="s">
        <v>166</v>
      </c>
      <c r="C41" s="99" t="str">
        <f>IF('1f_OtherEndUses'!D13&gt;0,IF(AND(Calorific_Values!D13&lt;=45000,Calorific_Values!D13&gt;=40000),"TRUE","FALSE"),"TRUE")</f>
        <v>TRUE</v>
      </c>
      <c r="D41" s="99" t="str">
        <f>IF('1f_OtherEndUses'!E13&gt;0,IF(AND(Calorific_Values!E13&lt;=45000,Calorific_Values!E13&gt;=40000),"TRUE","FALSE"),"TRUE")</f>
        <v>TRUE</v>
      </c>
      <c r="E41" s="99" t="str">
        <f>IF('1f_OtherEndUses'!F13&gt;0,IF(AND(Calorific_Values!F13&lt;=45000,Calorific_Values!F13&gt;=40000),"TRUE","FALSE"),"TRUE")</f>
        <v>TRUE</v>
      </c>
      <c r="F41" s="99" t="str">
        <f>IF('1f_OtherEndUses'!G13&gt;0,IF(AND(Calorific_Values!G13&lt;=45000,Calorific_Values!G13&gt;=40000),"TRUE","FALSE"),"TRUE")</f>
        <v>TRUE</v>
      </c>
      <c r="G41" s="99" t="str">
        <f>IF('1f_OtherEndUses'!H13&gt;0,IF(AND(Calorific_Values!H13&lt;=45000,Calorific_Values!H13&gt;=40000),"TRUE","FALSE"),"TRUE")</f>
        <v>TRUE</v>
      </c>
      <c r="H41" s="99" t="str">
        <f>IF('1f_OtherEndUses'!I13&gt;0,IF(AND(Calorific_Values!I13&lt;=45000,Calorific_Values!I13&gt;=40000),"TRUE","FALSE"),"TRUE")</f>
        <v>TRUE</v>
      </c>
      <c r="I41" s="99" t="str">
        <f>IF('1f_OtherEndUses'!J13&gt;0,IF(AND(Calorific_Values!J13&lt;=45000,Calorific_Values!J13&gt;=40000),"TRUE","FALSE"),"TRUE")</f>
        <v>TRUE</v>
      </c>
      <c r="J41" s="99" t="str">
        <f>IF('1f_OtherEndUses'!K13&gt;0,IF(AND(Calorific_Values!K13&lt;=45000,Calorific_Values!K13&gt;=40000),"TRUE","FALSE"),"TRUE")</f>
        <v>TRUE</v>
      </c>
      <c r="K41" s="99" t="str">
        <f>IF('1f_OtherEndUses'!L13&gt;0,IF(AND(Calorific_Values!L13&lt;=45000,Calorific_Values!L13&gt;=40000),"TRUE","FALSE"),"TRUE")</f>
        <v>TRUE</v>
      </c>
      <c r="L41" s="99" t="str">
        <f>IF('1f_OtherEndUses'!M13&gt;0,IF(AND(Calorific_Values!M13&lt;=45000,Calorific_Values!M13&gt;=40000),"TRUE","FALSE"),"TRUE")</f>
        <v>TRUE</v>
      </c>
      <c r="M41" s="99" t="str">
        <f>IF('1f_OtherEndUses'!N13&gt;0,IF(AND(Calorific_Values!N13&lt;=45000,Calorific_Values!N13&gt;=40000),"TRUE","FALSE"),"TRUE")</f>
        <v>TRUE</v>
      </c>
      <c r="N41" s="99" t="str">
        <f>IF('1f_OtherEndUses'!O13&gt;0,IF(AND(Calorific_Values!O13&lt;=45000,Calorific_Values!O13&gt;=40000),"TRUE","FALSE"),"TRUE")</f>
        <v>TRUE</v>
      </c>
    </row>
    <row r="42" spans="1:14" x14ac:dyDescent="0.25">
      <c r="A42" t="s">
        <v>158</v>
      </c>
      <c r="B42" t="s">
        <v>173</v>
      </c>
      <c r="C42" s="99" t="str">
        <f>IF(Calorific_Values!D9&lt;&gt;0,IF(AND(5000&lt;=Calorific_Values!D9,Calorific_Values!D9&lt;=30000),"TRUE","FALSE"),"")</f>
        <v/>
      </c>
      <c r="D42" s="99" t="str">
        <f>IF(Calorific_Values!E9&lt;&gt;0,IF(AND(5000&lt;=Calorific_Values!E9,Calorific_Values!E9&lt;=30000),"TRUE","FALSE"),"")</f>
        <v/>
      </c>
      <c r="E42" s="99" t="str">
        <f>IF(Calorific_Values!F9&lt;&gt;0,IF(AND(5000&lt;=Calorific_Values!F9,Calorific_Values!F9&lt;=30000),"TRUE","FALSE"),"")</f>
        <v/>
      </c>
      <c r="F42" s="99" t="str">
        <f>IF(Calorific_Values!G9&lt;&gt;0,IF(AND(5000&lt;=Calorific_Values!G9,Calorific_Values!G9&lt;=30000),"TRUE","FALSE"),"")</f>
        <v/>
      </c>
      <c r="G42" s="99" t="str">
        <f>IF(Calorific_Values!H9&lt;&gt;0,IF(AND(5000&lt;=Calorific_Values!H9,Calorific_Values!H9&lt;=30000),"TRUE","FALSE"),"")</f>
        <v/>
      </c>
      <c r="H42" s="99" t="str">
        <f>IF(Calorific_Values!I9&lt;&gt;0,IF(AND(5000&lt;=Calorific_Values!I9,Calorific_Values!I9&lt;=30000),"TRUE","FALSE"),"")</f>
        <v/>
      </c>
      <c r="I42" s="99" t="str">
        <f>IF(Calorific_Values!J9&lt;&gt;0,IF(AND(5000&lt;=Calorific_Values!J9,Calorific_Values!J9&lt;=30000),"TRUE","FALSE"),"")</f>
        <v/>
      </c>
      <c r="J42" s="99" t="str">
        <f>IF(Calorific_Values!K9&lt;&gt;0,IF(AND(5000&lt;=Calorific_Values!K9,Calorific_Values!K9&lt;=30000),"TRUE","FALSE"),"")</f>
        <v>TRUE</v>
      </c>
      <c r="K42" s="99" t="str">
        <f>IF(Calorific_Values!L9&lt;&gt;0,IF(AND(5000&lt;=Calorific_Values!L9,Calorific_Values!L9&lt;=30000),"TRUE","FALSE"),"")</f>
        <v>TRUE</v>
      </c>
      <c r="L42" s="99" t="str">
        <f>IF(Calorific_Values!M9&lt;&gt;0,IF(AND(5000&lt;=Calorific_Values!M9,Calorific_Values!M9&lt;=30000),"TRUE","FALSE"),"")</f>
        <v/>
      </c>
      <c r="M42" s="99" t="str">
        <f>IF(Calorific_Values!N9&lt;&gt;0,IF(AND(5000&lt;=Calorific_Values!N9,Calorific_Values!N9&lt;=30000),"TRUE","FALSE"),"")</f>
        <v/>
      </c>
      <c r="N42" s="99" t="str">
        <f>IF(Calorific_Values!O9&lt;&gt;0,IF(AND(5000&lt;=Calorific_Values!O9,Calorific_Values!O9&lt;=30000),"TRUE","FALSE"),"")</f>
        <v/>
      </c>
    </row>
    <row r="43" spans="1:14" x14ac:dyDescent="0.25">
      <c r="A43" t="s">
        <v>158</v>
      </c>
      <c r="B43" t="s">
        <v>174</v>
      </c>
      <c r="C43" s="99" t="str">
        <f>IF(Calorific_Values!D10&lt;&gt;0,IF(AND(40000&lt;=Calorific_Values!D10,Calorific_Values!D10&lt;=50000),"TRUE","FALSE"),"")</f>
        <v/>
      </c>
      <c r="D43" s="99" t="str">
        <f>IF(Calorific_Values!E10&lt;&gt;0,IF(AND(40000&lt;=Calorific_Values!E10,Calorific_Values!E10&lt;=50000),"TRUE","FALSE"),"")</f>
        <v/>
      </c>
      <c r="E43" s="99" t="str">
        <f>IF(Calorific_Values!F10&lt;&gt;0,IF(AND(40000&lt;=Calorific_Values!F10,Calorific_Values!F10&lt;=50000),"TRUE","FALSE"),"")</f>
        <v/>
      </c>
      <c r="F43" s="99" t="str">
        <f>IF(Calorific_Values!G10&lt;&gt;0,IF(AND(40000&lt;=Calorific_Values!G10,Calorific_Values!G10&lt;=50000),"TRUE","FALSE"),"")</f>
        <v/>
      </c>
      <c r="G43" s="99" t="str">
        <f>IF(Calorific_Values!H10&lt;&gt;0,IF(AND(40000&lt;=Calorific_Values!H10,Calorific_Values!H10&lt;=50000),"TRUE","FALSE"),"")</f>
        <v/>
      </c>
      <c r="H43" s="99" t="str">
        <f>IF(Calorific_Values!I10&lt;&gt;0,IF(AND(40000&lt;=Calorific_Values!I10,Calorific_Values!I10&lt;=50000),"TRUE","FALSE"),"")</f>
        <v/>
      </c>
      <c r="I43" s="99" t="str">
        <f>IF(Calorific_Values!J10&lt;&gt;0,IF(AND(40000&lt;=Calorific_Values!J10,Calorific_Values!J10&lt;=50000),"TRUE","FALSE"),"")</f>
        <v/>
      </c>
      <c r="J43" s="99" t="str">
        <f>IF(Calorific_Values!K10&lt;&gt;0,IF(AND(40000&lt;=Calorific_Values!K10,Calorific_Values!K10&lt;=50000),"TRUE","FALSE"),"")</f>
        <v>TRUE</v>
      </c>
      <c r="K43" s="99" t="str">
        <f>IF(Calorific_Values!L10&lt;&gt;0,IF(AND(40000&lt;=Calorific_Values!L10,Calorific_Values!L10&lt;=50000),"TRUE","FALSE"),"")</f>
        <v>TRUE</v>
      </c>
      <c r="L43" s="99" t="str">
        <f>IF(Calorific_Values!M10&lt;&gt;0,IF(AND(40000&lt;=Calorific_Values!M10,Calorific_Values!M10&lt;=50000),"TRUE","FALSE"),"")</f>
        <v/>
      </c>
      <c r="M43" s="99" t="str">
        <f>IF(Calorific_Values!N10&lt;&gt;0,IF(AND(40000&lt;=Calorific_Values!N10,Calorific_Values!N10&lt;=50000),"TRUE","FALSE"),"")</f>
        <v/>
      </c>
      <c r="N43" s="99" t="str">
        <f>IF(Calorific_Values!O10&lt;&gt;0,IF(AND(40000&lt;=Calorific_Values!O10,Calorific_Values!O10&lt;=50000),"TRUE","FALSE"),"")</f>
        <v/>
      </c>
    </row>
    <row r="44" spans="1:14" x14ac:dyDescent="0.25">
      <c r="A44" t="s">
        <v>158</v>
      </c>
      <c r="B44" t="s">
        <v>175</v>
      </c>
      <c r="C44" s="99" t="str">
        <f>IF(Calorific_Values!D11&lt;&gt;0,IF(AND(40000&lt;=Calorific_Values!D11,Calorific_Values!D11&lt;=50000),"TRUE","FALSE"),"")</f>
        <v/>
      </c>
      <c r="D44" s="99" t="str">
        <f>IF(Calorific_Values!E11&lt;&gt;0,IF(AND(40000&lt;=Calorific_Values!E11,Calorific_Values!E11&lt;=50000),"TRUE","FALSE"),"")</f>
        <v/>
      </c>
      <c r="E44" s="99" t="str">
        <f>IF(Calorific_Values!F11&lt;&gt;0,IF(AND(40000&lt;=Calorific_Values!F11,Calorific_Values!F11&lt;=50000),"TRUE","FALSE"),"")</f>
        <v/>
      </c>
      <c r="F44" s="99" t="str">
        <f>IF(Calorific_Values!G11&lt;&gt;0,IF(AND(40000&lt;=Calorific_Values!G11,Calorific_Values!G11&lt;=50000),"TRUE","FALSE"),"")</f>
        <v/>
      </c>
      <c r="G44" s="99" t="str">
        <f>IF(Calorific_Values!H11&lt;&gt;0,IF(AND(40000&lt;=Calorific_Values!H11,Calorific_Values!H11&lt;=50000),"TRUE","FALSE"),"")</f>
        <v/>
      </c>
      <c r="H44" s="99" t="str">
        <f>IF(Calorific_Values!I11&lt;&gt;0,IF(AND(40000&lt;=Calorific_Values!I11,Calorific_Values!I11&lt;=50000),"TRUE","FALSE"),"")</f>
        <v/>
      </c>
      <c r="I44" s="99" t="str">
        <f>IF(Calorific_Values!J11&lt;&gt;0,IF(AND(40000&lt;=Calorific_Values!J11,Calorific_Values!J11&lt;=50000),"TRUE","FALSE"),"")</f>
        <v/>
      </c>
      <c r="J44" s="99" t="str">
        <f>IF(Calorific_Values!K11&lt;&gt;0,IF(AND(40000&lt;=Calorific_Values!K11,Calorific_Values!K11&lt;=50000),"TRUE","FALSE"),"")</f>
        <v>TRUE</v>
      </c>
      <c r="K44" s="99" t="str">
        <f>IF(Calorific_Values!L11&lt;&gt;0,IF(AND(40000&lt;=Calorific_Values!L11,Calorific_Values!L11&lt;=50000),"TRUE","FALSE"),"")</f>
        <v>TRUE</v>
      </c>
      <c r="L44" s="99" t="str">
        <f>IF(Calorific_Values!M11&lt;&gt;0,IF(AND(40000&lt;=Calorific_Values!M11,Calorific_Values!M11&lt;=50000),"TRUE","FALSE"),"")</f>
        <v/>
      </c>
      <c r="M44" s="99" t="str">
        <f>IF(Calorific_Values!N11&lt;&gt;0,IF(AND(40000&lt;=Calorific_Values!N11,Calorific_Values!N11&lt;=50000),"TRUE","FALSE"),"")</f>
        <v/>
      </c>
      <c r="N44" s="99" t="str">
        <f>IF(Calorific_Values!O11&lt;&gt;0,IF(AND(40000&lt;=Calorific_Values!O11,Calorific_Values!O11&lt;=50000),"TRUE","FALSE"),"")</f>
        <v/>
      </c>
    </row>
    <row r="45" spans="1:14" x14ac:dyDescent="0.25">
      <c r="A45" t="s">
        <v>158</v>
      </c>
      <c r="B45" t="s">
        <v>176</v>
      </c>
      <c r="C45" s="99" t="str">
        <f>IF(Calorific_Values!D12&lt;&gt;0,IF(AND(40000&lt;=Calorific_Values!D12,Calorific_Values!D12&lt;=45000),"TRUE","FALSE"),"")</f>
        <v/>
      </c>
      <c r="D45" s="99" t="str">
        <f>IF(Calorific_Values!E12&lt;&gt;0,IF(AND(40000&lt;=Calorific_Values!E12,Calorific_Values!E12&lt;=45000),"TRUE","FALSE"),"")</f>
        <v/>
      </c>
      <c r="E45" s="99" t="str">
        <f>IF(Calorific_Values!F12&lt;&gt;0,IF(AND(40000&lt;=Calorific_Values!F12,Calorific_Values!F12&lt;=45000),"TRUE","FALSE"),"")</f>
        <v/>
      </c>
      <c r="F45" s="99" t="str">
        <f>IF(Calorific_Values!G12&lt;&gt;0,IF(AND(40000&lt;=Calorific_Values!G12,Calorific_Values!G12&lt;=45000),"TRUE","FALSE"),"")</f>
        <v/>
      </c>
      <c r="G45" s="99" t="str">
        <f>IF(Calorific_Values!H12&lt;&gt;0,IF(AND(40000&lt;=Calorific_Values!H12,Calorific_Values!H12&lt;=45000),"TRUE","FALSE"),"")</f>
        <v/>
      </c>
      <c r="H45" s="99" t="str">
        <f>IF(Calorific_Values!I12&lt;&gt;0,IF(AND(40000&lt;=Calorific_Values!I12,Calorific_Values!I12&lt;=45000),"TRUE","FALSE"),"")</f>
        <v/>
      </c>
      <c r="I45" s="99" t="str">
        <f>IF(Calorific_Values!J12&lt;&gt;0,IF(AND(40000&lt;=Calorific_Values!J12,Calorific_Values!J12&lt;=45000),"TRUE","FALSE"),"")</f>
        <v/>
      </c>
      <c r="J45" s="99" t="str">
        <f>IF(Calorific_Values!K12&lt;&gt;0,IF(AND(40000&lt;=Calorific_Values!K12,Calorific_Values!K12&lt;=45000),"TRUE","FALSE"),"")</f>
        <v/>
      </c>
      <c r="K45" s="99" t="str">
        <f>IF(Calorific_Values!L12&lt;&gt;0,IF(AND(40000&lt;=Calorific_Values!L12,Calorific_Values!L12&lt;=45000),"TRUE","FALSE"),"")</f>
        <v/>
      </c>
      <c r="L45" s="99" t="str">
        <f>IF(Calorific_Values!M12&lt;&gt;0,IF(AND(40000&lt;=Calorific_Values!M12,Calorific_Values!M12&lt;=45000),"TRUE","FALSE"),"")</f>
        <v/>
      </c>
      <c r="M45" s="99" t="str">
        <f>IF(Calorific_Values!N12&lt;&gt;0,IF(AND(40000&lt;=Calorific_Values!N12,Calorific_Values!N12&lt;=45000),"TRUE","FALSE"),"")</f>
        <v/>
      </c>
      <c r="N45" s="99" t="str">
        <f>IF(Calorific_Values!O12&lt;&gt;0,IF(AND(40000&lt;=Calorific_Values!O12,Calorific_Values!O12&lt;=45000),"TRUE","FALSE"),"")</f>
        <v/>
      </c>
    </row>
    <row r="46" spans="1:14" x14ac:dyDescent="0.25">
      <c r="A46" t="s">
        <v>158</v>
      </c>
      <c r="B46" t="s">
        <v>177</v>
      </c>
      <c r="C46" s="99" t="str">
        <f>IF(Calorific_Values!D13&lt;&gt;0,IF(AND(40000&lt;=Calorific_Values!D13,Calorific_Values!D13&lt;=45000),"TRUE","FALSE"),"")</f>
        <v/>
      </c>
      <c r="D46" s="99" t="str">
        <f>IF(Calorific_Values!E13&lt;&gt;0,IF(AND(40000&lt;=Calorific_Values!E13,Calorific_Values!E13&lt;=45000),"TRUE","FALSE"),"")</f>
        <v/>
      </c>
      <c r="E46" s="99" t="str">
        <f>IF(Calorific_Values!F13&lt;&gt;0,IF(AND(40000&lt;=Calorific_Values!F13,Calorific_Values!F13&lt;=45000),"TRUE","FALSE"),"")</f>
        <v/>
      </c>
      <c r="F46" s="99" t="str">
        <f>IF(Calorific_Values!G13&lt;&gt;0,IF(AND(40000&lt;=Calorific_Values!G13,Calorific_Values!G13&lt;=45000),"TRUE","FALSE"),"")</f>
        <v/>
      </c>
      <c r="G46" s="99" t="str">
        <f>IF(Calorific_Values!H13&lt;&gt;0,IF(AND(40000&lt;=Calorific_Values!H13,Calorific_Values!H13&lt;=45000),"TRUE","FALSE"),"")</f>
        <v/>
      </c>
      <c r="H46" s="99" t="str">
        <f>IF(Calorific_Values!I13&lt;&gt;0,IF(AND(40000&lt;=Calorific_Values!I13,Calorific_Values!I13&lt;=45000),"TRUE","FALSE"),"")</f>
        <v/>
      </c>
      <c r="I46" s="99" t="str">
        <f>IF(Calorific_Values!J13&lt;&gt;0,IF(AND(40000&lt;=Calorific_Values!J13,Calorific_Values!J13&lt;=45000),"TRUE","FALSE"),"")</f>
        <v/>
      </c>
      <c r="J46" s="99" t="str">
        <f>IF(Calorific_Values!K13&lt;&gt;0,IF(AND(40000&lt;=Calorific_Values!K13,Calorific_Values!K13&lt;=45000),"TRUE","FALSE"),"")</f>
        <v>TRUE</v>
      </c>
      <c r="K46" s="99" t="str">
        <f>IF(Calorific_Values!L13&lt;&gt;0,IF(AND(40000&lt;=Calorific_Values!L13,Calorific_Values!L13&lt;=45000),"TRUE","FALSE"),"")</f>
        <v>TRUE</v>
      </c>
      <c r="L46" s="99" t="str">
        <f>IF(Calorific_Values!M13&lt;&gt;0,IF(AND(40000&lt;=Calorific_Values!M13,Calorific_Values!M13&lt;=45000),"TRUE","FALSE"),"")</f>
        <v/>
      </c>
      <c r="M46" s="99" t="str">
        <f>IF(Calorific_Values!N13&lt;&gt;0,IF(AND(40000&lt;=Calorific_Values!N13,Calorific_Values!N13&lt;=45000),"TRUE","FALSE"),"")</f>
        <v/>
      </c>
      <c r="N46" s="99"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41" customWidth="1"/>
    <col min="2" max="2" width="27.85546875" style="141" customWidth="1"/>
    <col min="3" max="3" width="9.140625" style="141" customWidth="1"/>
    <col min="4" max="52" width="9.140625" style="141"/>
    <col min="53" max="156" width="9.140625" style="141" customWidth="1"/>
    <col min="157" max="16384" width="9.140625" style="141"/>
  </cols>
  <sheetData>
    <row r="1" spans="1:2" x14ac:dyDescent="0.2">
      <c r="A1" s="140" t="s">
        <v>187</v>
      </c>
      <c r="B1" s="140" t="s">
        <v>188</v>
      </c>
    </row>
    <row r="2" spans="1:2" x14ac:dyDescent="0.2">
      <c r="A2" s="143" t="s">
        <v>158</v>
      </c>
      <c r="B2" s="143" t="s">
        <v>189</v>
      </c>
    </row>
    <row r="3" spans="1:2" x14ac:dyDescent="0.2">
      <c r="A3" s="142" t="s">
        <v>152</v>
      </c>
      <c r="B3" s="143" t="s">
        <v>189</v>
      </c>
    </row>
    <row r="4" spans="1:2" x14ac:dyDescent="0.2">
      <c r="A4" s="142" t="s">
        <v>169</v>
      </c>
      <c r="B4" s="143" t="s">
        <v>189</v>
      </c>
    </row>
    <row r="5" spans="1:2" x14ac:dyDescent="0.2">
      <c r="A5" s="142" t="s">
        <v>153</v>
      </c>
      <c r="B5" s="143" t="s">
        <v>189</v>
      </c>
    </row>
    <row r="6" spans="1:2" x14ac:dyDescent="0.2">
      <c r="A6" s="142" t="s">
        <v>154</v>
      </c>
      <c r="B6" s="143" t="s">
        <v>189</v>
      </c>
    </row>
    <row r="7" spans="1:2" x14ac:dyDescent="0.2">
      <c r="A7" s="142" t="s">
        <v>228</v>
      </c>
      <c r="B7" s="143" t="s">
        <v>189</v>
      </c>
    </row>
    <row r="8" spans="1:2" x14ac:dyDescent="0.2">
      <c r="A8" s="142" t="s">
        <v>155</v>
      </c>
      <c r="B8" s="143"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defaultColWidth="9" defaultRowHeight="12.75" x14ac:dyDescent="0.2"/>
  <cols>
    <col min="1" max="1" width="22" style="141" customWidth="1"/>
    <col min="2" max="3" width="9" style="141" customWidth="1"/>
    <col min="4" max="5" width="9" style="141"/>
    <col min="6" max="6" width="25.28515625" style="141" customWidth="1"/>
    <col min="7" max="52" width="9" style="141"/>
    <col min="53" max="156" width="9" style="141" customWidth="1"/>
    <col min="157" max="16384" width="9" style="141"/>
  </cols>
  <sheetData>
    <row r="1" spans="1:7" ht="15" x14ac:dyDescent="0.25">
      <c r="A1" s="144" t="s">
        <v>190</v>
      </c>
      <c r="B1" s="144" t="s">
        <v>191</v>
      </c>
      <c r="C1" s="144" t="s">
        <v>192</v>
      </c>
      <c r="D1" s="144" t="s">
        <v>193</v>
      </c>
      <c r="E1" s="145"/>
      <c r="F1" s="144" t="s">
        <v>194</v>
      </c>
      <c r="G1" s="153" t="s">
        <v>233</v>
      </c>
    </row>
    <row r="2" spans="1:7" ht="15" x14ac:dyDescent="0.25">
      <c r="A2" s="145" t="s">
        <v>195</v>
      </c>
      <c r="B2" s="145" t="s">
        <v>196</v>
      </c>
      <c r="C2" s="145" t="s">
        <v>197</v>
      </c>
      <c r="D2" s="154" t="s">
        <v>278</v>
      </c>
      <c r="E2" s="145"/>
      <c r="F2" s="147" t="s">
        <v>198</v>
      </c>
      <c r="G2" s="153" t="s">
        <v>234</v>
      </c>
    </row>
    <row r="3" spans="1:7" ht="15" x14ac:dyDescent="0.25">
      <c r="A3" s="145" t="s">
        <v>199</v>
      </c>
      <c r="B3" s="145" t="s">
        <v>196</v>
      </c>
      <c r="C3" s="145" t="s">
        <v>197</v>
      </c>
      <c r="D3" s="145" t="s">
        <v>200</v>
      </c>
      <c r="E3" s="145"/>
      <c r="F3" s="147" t="s">
        <v>201</v>
      </c>
      <c r="G3" s="148" t="s">
        <v>202</v>
      </c>
    </row>
    <row r="4" spans="1:7" ht="15" x14ac:dyDescent="0.25">
      <c r="A4" s="145" t="s">
        <v>203</v>
      </c>
      <c r="B4" s="145" t="s">
        <v>196</v>
      </c>
      <c r="C4" s="154" t="s">
        <v>235</v>
      </c>
      <c r="D4" s="154" t="s">
        <v>236</v>
      </c>
      <c r="E4" s="145"/>
      <c r="F4" s="144"/>
      <c r="G4" s="149"/>
    </row>
    <row r="5" spans="1:7" ht="15" x14ac:dyDescent="0.25">
      <c r="A5" s="145" t="s">
        <v>205</v>
      </c>
      <c r="B5" s="145" t="s">
        <v>196</v>
      </c>
      <c r="C5" s="145" t="s">
        <v>204</v>
      </c>
      <c r="D5" s="146" t="s">
        <v>206</v>
      </c>
      <c r="E5" s="145"/>
      <c r="F5" s="150"/>
      <c r="G5" s="151"/>
    </row>
    <row r="6" spans="1:7" ht="15" x14ac:dyDescent="0.25">
      <c r="A6" s="145" t="s">
        <v>207</v>
      </c>
      <c r="B6" s="145" t="s">
        <v>196</v>
      </c>
      <c r="C6" s="154" t="s">
        <v>197</v>
      </c>
      <c r="D6" s="154" t="s">
        <v>297</v>
      </c>
      <c r="E6" s="145"/>
      <c r="F6" s="144"/>
      <c r="G6" s="149"/>
    </row>
    <row r="7" spans="1:7" ht="15" x14ac:dyDescent="0.25">
      <c r="A7" s="145" t="s">
        <v>208</v>
      </c>
      <c r="B7" s="145" t="s">
        <v>196</v>
      </c>
      <c r="C7" s="154" t="s">
        <v>235</v>
      </c>
      <c r="D7" s="154" t="s">
        <v>299</v>
      </c>
      <c r="E7" s="145"/>
      <c r="F7" s="144"/>
      <c r="G7" s="149"/>
    </row>
    <row r="8" spans="1:7" ht="15" x14ac:dyDescent="0.25">
      <c r="A8" s="145" t="s">
        <v>209</v>
      </c>
      <c r="B8" s="145" t="s">
        <v>196</v>
      </c>
      <c r="C8" s="154" t="s">
        <v>197</v>
      </c>
      <c r="D8" s="154" t="s">
        <v>232</v>
      </c>
      <c r="E8" s="145"/>
      <c r="F8" s="144"/>
      <c r="G8" s="149"/>
    </row>
    <row r="9" spans="1:7" ht="15" x14ac:dyDescent="0.25">
      <c r="A9" s="145" t="s">
        <v>210</v>
      </c>
      <c r="B9" s="145" t="s">
        <v>196</v>
      </c>
      <c r="C9" s="154" t="s">
        <v>197</v>
      </c>
      <c r="D9" s="154" t="s">
        <v>232</v>
      </c>
      <c r="E9" s="145"/>
      <c r="F9" s="144"/>
      <c r="G9" s="149"/>
    </row>
    <row r="10" spans="1:7" ht="15" x14ac:dyDescent="0.25">
      <c r="A10" s="145" t="s">
        <v>211</v>
      </c>
      <c r="B10" s="145" t="s">
        <v>196</v>
      </c>
      <c r="C10" s="154" t="s">
        <v>197</v>
      </c>
      <c r="D10" s="154" t="s">
        <v>232</v>
      </c>
      <c r="E10" s="145"/>
      <c r="F10" s="144"/>
      <c r="G10" s="149"/>
    </row>
    <row r="11" spans="1:7" ht="15" x14ac:dyDescent="0.25">
      <c r="A11" s="145" t="s">
        <v>212</v>
      </c>
      <c r="B11" s="145" t="s">
        <v>196</v>
      </c>
      <c r="C11" s="154" t="s">
        <v>197</v>
      </c>
      <c r="D11" s="154" t="s">
        <v>232</v>
      </c>
      <c r="E11" s="145"/>
      <c r="F11" s="144"/>
      <c r="G11" s="149"/>
    </row>
    <row r="12" spans="1:7" ht="15" x14ac:dyDescent="0.25">
      <c r="A12" s="145" t="s">
        <v>213</v>
      </c>
      <c r="B12" s="145" t="s">
        <v>196</v>
      </c>
      <c r="C12" s="154" t="s">
        <v>197</v>
      </c>
      <c r="D12" s="154" t="s">
        <v>232</v>
      </c>
      <c r="E12" s="145"/>
      <c r="F12" s="144"/>
      <c r="G12" s="149"/>
    </row>
    <row r="13" spans="1:7" ht="15" x14ac:dyDescent="0.25">
      <c r="A13" s="145" t="s">
        <v>214</v>
      </c>
      <c r="B13" s="145" t="s">
        <v>196</v>
      </c>
      <c r="C13" s="145" t="s">
        <v>204</v>
      </c>
      <c r="D13" s="146" t="s">
        <v>215</v>
      </c>
      <c r="E13" s="145"/>
      <c r="F13" s="144"/>
      <c r="G13" s="149"/>
    </row>
    <row r="14" spans="1:7" ht="15" x14ac:dyDescent="0.25">
      <c r="A14" s="145" t="s">
        <v>216</v>
      </c>
      <c r="B14" s="145" t="s">
        <v>196</v>
      </c>
      <c r="C14" s="145" t="s">
        <v>217</v>
      </c>
      <c r="D14" s="145">
        <v>5</v>
      </c>
      <c r="E14" s="145"/>
      <c r="F14" s="144"/>
      <c r="G14" s="149"/>
    </row>
    <row r="15" spans="1:7" ht="15" x14ac:dyDescent="0.25">
      <c r="A15" s="145" t="s">
        <v>218</v>
      </c>
      <c r="B15" s="145" t="s">
        <v>196</v>
      </c>
      <c r="C15" s="154" t="s">
        <v>197</v>
      </c>
      <c r="D15" s="154" t="s">
        <v>232</v>
      </c>
      <c r="E15" s="145"/>
      <c r="F15" s="144"/>
      <c r="G15" s="149"/>
    </row>
    <row r="16" spans="1:7" ht="15" x14ac:dyDescent="0.25">
      <c r="A16" s="145" t="s">
        <v>219</v>
      </c>
      <c r="B16" s="145" t="s">
        <v>220</v>
      </c>
      <c r="C16" s="145" t="s">
        <v>204</v>
      </c>
      <c r="D16" s="146" t="s">
        <v>221</v>
      </c>
      <c r="E16" s="145"/>
      <c r="F16" s="144"/>
      <c r="G16" s="149"/>
    </row>
    <row r="17" spans="1:7" ht="15" x14ac:dyDescent="0.25">
      <c r="A17" s="145" t="s">
        <v>222</v>
      </c>
      <c r="B17" s="145" t="s">
        <v>220</v>
      </c>
      <c r="C17" s="145" t="s">
        <v>223</v>
      </c>
      <c r="D17" s="145"/>
      <c r="E17" s="145"/>
      <c r="F17" s="144"/>
      <c r="G17" s="149"/>
    </row>
    <row r="18" spans="1:7" ht="15" x14ac:dyDescent="0.25">
      <c r="A18" s="145" t="s">
        <v>224</v>
      </c>
      <c r="B18" s="145" t="s">
        <v>220</v>
      </c>
      <c r="C18" s="145" t="s">
        <v>223</v>
      </c>
      <c r="D18" s="145"/>
      <c r="E18" s="145"/>
      <c r="F18" s="144"/>
      <c r="G18" s="149"/>
    </row>
    <row r="19" spans="1:7" ht="15" x14ac:dyDescent="0.25">
      <c r="A19" s="145" t="s">
        <v>225</v>
      </c>
      <c r="B19" s="145" t="s">
        <v>220</v>
      </c>
      <c r="C19" s="145" t="s">
        <v>223</v>
      </c>
      <c r="D19" s="145"/>
      <c r="E19" s="145"/>
      <c r="F19" s="144"/>
      <c r="G19" s="149"/>
    </row>
    <row r="20" spans="1:7" ht="15" x14ac:dyDescent="0.25">
      <c r="A20" s="145" t="s">
        <v>226</v>
      </c>
      <c r="B20" s="145" t="s">
        <v>220</v>
      </c>
      <c r="C20" s="145" t="s">
        <v>223</v>
      </c>
      <c r="D20" s="145"/>
      <c r="E20" s="145"/>
      <c r="F20" s="144"/>
      <c r="G20" s="149"/>
    </row>
    <row r="21" spans="1:7" ht="15" x14ac:dyDescent="0.25">
      <c r="A21" s="145" t="s">
        <v>227</v>
      </c>
      <c r="B21" s="145" t="s">
        <v>220</v>
      </c>
      <c r="C21" s="145" t="s">
        <v>223</v>
      </c>
      <c r="D21" s="145"/>
      <c r="E21" s="145"/>
      <c r="F21" s="144"/>
      <c r="G21" s="149"/>
    </row>
    <row r="22" spans="1:7" x14ac:dyDescent="0.2">
      <c r="G22" s="1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KATRANTZI Ioanna (ESTAT)</cp:lastModifiedBy>
  <cp:lastPrinted>2019-11-28T13:30:24Z</cp:lastPrinted>
  <dcterms:created xsi:type="dcterms:W3CDTF">2014-09-17T09:30:01Z</dcterms:created>
  <dcterms:modified xsi:type="dcterms:W3CDTF">2020-01-30T14:09:58Z</dcterms:modified>
  <cp:category>Annual questionnaires</cp:category>
</cp:coreProperties>
</file>