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G17" i="5"/>
  <c r="E17" i="5"/>
  <c r="J17" i="5"/>
  <c r="H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J12" i="5"/>
  <c r="G11" i="5"/>
  <c r="H10" i="5"/>
  <c r="G7" i="5"/>
  <c r="J18" i="5"/>
  <c r="J16" i="5"/>
  <c r="E8" i="5"/>
  <c r="G13" i="5"/>
  <c r="H15" i="5"/>
  <c r="E6" i="5"/>
  <c r="J15" i="5"/>
  <c r="G9" i="5"/>
  <c r="H9" i="5"/>
  <c r="J13" i="5"/>
  <c r="J14" i="5"/>
  <c r="K9" i="5"/>
  <c r="E15" i="5"/>
  <c r="G14" i="5"/>
  <c r="E9" i="5"/>
  <c r="E16" i="5"/>
  <c r="H16" i="5"/>
  <c r="E18" i="5"/>
  <c r="E14" i="5"/>
  <c r="G12" i="5"/>
  <c r="J8" i="5"/>
  <c r="H11" i="5"/>
  <c r="J11" i="5"/>
  <c r="G18" i="5"/>
  <c r="G10" i="5"/>
  <c r="J10" i="5"/>
  <c r="I6" i="5"/>
  <c r="H8" i="5"/>
  <c r="F6" i="5"/>
  <c r="G6" i="5"/>
  <c r="G8" i="5"/>
  <c r="J9" i="5"/>
  <c r="H12" i="5"/>
  <c r="E13" i="5"/>
  <c r="E12" i="5"/>
  <c r="H14" i="5"/>
  <c r="H6" i="5"/>
  <c r="H18" i="5"/>
  <c r="G15" i="5"/>
  <c r="E7" i="5"/>
  <c r="J6" i="5"/>
  <c r="H7" i="5"/>
  <c r="J7" i="5"/>
  <c r="H13" i="5"/>
  <c r="G16" i="5"/>
  <c r="E11"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<sst xmlns="http://schemas.openxmlformats.org/spreadsheetml/2006/main" count="952" uniqueCount="315">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</sst>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68</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topLeftCell="A51"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J22" sqref="J22"/>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6" t="s">
        <v>0</v>
      </c>
      <c r="B1" s="177"/>
      <c r="C1" s="20"/>
      <c r="D1" s="1"/>
      <c r="E1" s="2"/>
      <c r="F1" s="2"/>
      <c r="G1" s="2"/>
      <c r="H1" s="2"/>
      <c r="I1" s="2"/>
      <c r="J1" s="2"/>
      <c r="K1" s="2"/>
      <c r="L1" s="2"/>
      <c r="M1" s="2"/>
      <c r="N1" s="2"/>
      <c r="O1" s="2"/>
    </row>
    <row r="2" spans="1:134" ht="18" customHeight="1" x14ac:dyDescent="0.25">
      <c r="A2" s="178"/>
      <c r="B2" s="179"/>
      <c r="C2" s="1"/>
      <c r="D2" s="1"/>
      <c r="E2" s="5"/>
      <c r="F2" s="3"/>
      <c r="G2" s="3"/>
      <c r="H2" s="3"/>
      <c r="I2" s="3"/>
      <c r="J2" s="3"/>
      <c r="K2" s="3"/>
      <c r="L2" s="3"/>
      <c r="M2" s="3"/>
      <c r="N2" s="3"/>
      <c r="O2" s="3"/>
    </row>
    <row r="3" spans="1:134" ht="18" customHeight="1" x14ac:dyDescent="0.3">
      <c r="A3" s="180" t="s">
        <v>12</v>
      </c>
      <c r="B3" s="181"/>
      <c r="C3" s="1"/>
      <c r="D3" s="1"/>
      <c r="E3" s="5"/>
      <c r="F3" s="3"/>
      <c r="G3" s="3"/>
      <c r="H3" s="3"/>
      <c r="I3" s="3"/>
      <c r="J3" s="3"/>
      <c r="K3" s="3"/>
      <c r="L3" s="3"/>
      <c r="M3" s="3"/>
      <c r="N3" s="3"/>
      <c r="O3" s="3"/>
      <c r="DS3" s="4" t="s">
        <v>229</v>
      </c>
    </row>
    <row r="4" spans="1:134" ht="18" customHeight="1" x14ac:dyDescent="0.25">
      <c r="A4" s="182"/>
      <c r="B4" s="179"/>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3" t="s">
        <v>3</v>
      </c>
      <c r="B5" s="18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2"/>
      <c r="C6" s="47"/>
      <c r="D6" s="48"/>
      <c r="E6" s="49"/>
      <c r="F6" s="49"/>
      <c r="G6" s="49"/>
      <c r="H6" s="49"/>
      <c r="I6" s="49"/>
      <c r="J6" s="49"/>
      <c r="K6" s="49"/>
      <c r="L6" s="49"/>
      <c r="M6" s="49"/>
      <c r="N6" s="49"/>
      <c r="O6" s="49"/>
      <c r="DS6" s="4" t="str">
        <f>VLOOKUP(Cover!$D$15, Country_list!$B$3:$C$44, 2, 0)</f>
        <v>SI</v>
      </c>
      <c r="DV6" s="4" t="s">
        <v>298</v>
      </c>
    </row>
    <row r="7" spans="1:134" ht="24" customHeight="1" x14ac:dyDescent="0.2">
      <c r="A7" s="174" t="s">
        <v>15</v>
      </c>
      <c r="B7" s="175"/>
      <c r="C7" s="45"/>
      <c r="D7" s="15"/>
      <c r="E7" s="46"/>
      <c r="F7" s="46"/>
      <c r="G7" s="46"/>
      <c r="H7" s="46"/>
      <c r="I7" s="46"/>
      <c r="J7" s="46"/>
      <c r="K7" s="46"/>
      <c r="L7" s="46"/>
      <c r="M7" s="46"/>
      <c r="N7" s="46"/>
      <c r="O7" s="46"/>
    </row>
    <row r="8" spans="1:134" ht="24" customHeight="1" x14ac:dyDescent="0.2">
      <c r="A8" s="174" t="s">
        <v>29</v>
      </c>
      <c r="B8" s="175"/>
      <c r="C8" s="45"/>
      <c r="D8" s="15"/>
      <c r="E8" s="46"/>
      <c r="F8" s="46"/>
      <c r="G8" s="46"/>
      <c r="H8" s="46"/>
      <c r="I8" s="46"/>
      <c r="J8" s="46"/>
      <c r="K8" s="46"/>
      <c r="L8" s="46"/>
      <c r="M8" s="46"/>
      <c r="N8" s="46"/>
      <c r="O8" s="46"/>
    </row>
    <row r="9" spans="1:134" ht="24" customHeight="1" x14ac:dyDescent="0.2">
      <c r="A9" s="174" t="s">
        <v>156</v>
      </c>
      <c r="B9" s="175"/>
      <c r="C9" s="9" t="s">
        <v>132</v>
      </c>
      <c r="D9" s="93">
        <v>16000</v>
      </c>
      <c r="E9" s="93">
        <v>16000</v>
      </c>
      <c r="F9" s="93">
        <v>16000</v>
      </c>
      <c r="G9" s="93">
        <v>16000</v>
      </c>
      <c r="H9" s="93">
        <v>16000</v>
      </c>
      <c r="I9" s="93">
        <v>16000</v>
      </c>
      <c r="J9" s="93">
        <v>16000</v>
      </c>
      <c r="K9" s="93">
        <v>16000</v>
      </c>
      <c r="L9" s="93">
        <v>16000</v>
      </c>
      <c r="M9" s="94"/>
      <c r="N9" s="94"/>
      <c r="O9" s="94"/>
      <c r="DT9" s="4" t="s">
        <v>279</v>
      </c>
      <c r="EB9" s="4" t="s">
        <v>300</v>
      </c>
      <c r="ED9" s="4" t="s">
        <v>301</v>
      </c>
    </row>
    <row r="10" spans="1:134" ht="24" customHeight="1" x14ac:dyDescent="0.2">
      <c r="A10" s="174" t="s">
        <v>20</v>
      </c>
      <c r="B10" s="175"/>
      <c r="C10" s="9" t="s">
        <v>132</v>
      </c>
      <c r="D10" s="93">
        <v>42981.212267169089</v>
      </c>
      <c r="E10" s="93">
        <v>43100.768249209519</v>
      </c>
      <c r="F10" s="93">
        <v>43115.212285032612</v>
      </c>
      <c r="G10" s="93">
        <v>43135.029124465604</v>
      </c>
      <c r="H10" s="93">
        <v>43134.819574573368</v>
      </c>
      <c r="I10" s="93">
        <v>43288.654373039106</v>
      </c>
      <c r="J10" s="93">
        <v>43314.099129423601</v>
      </c>
      <c r="K10" s="93">
        <v>43368.409964274433</v>
      </c>
      <c r="L10" s="93">
        <v>43339.98129768436</v>
      </c>
      <c r="M10" s="94"/>
      <c r="N10" s="94"/>
      <c r="O10" s="94"/>
      <c r="DT10" s="4" t="s">
        <v>280</v>
      </c>
      <c r="EB10" s="4" t="s">
        <v>300</v>
      </c>
      <c r="ED10" s="4" t="s">
        <v>301</v>
      </c>
    </row>
    <row r="11" spans="1:134" s="13" customFormat="1" ht="15" customHeight="1" x14ac:dyDescent="0.2">
      <c r="A11" s="173" t="s">
        <v>18</v>
      </c>
      <c r="B11" s="110" t="s">
        <v>21</v>
      </c>
      <c r="C11" s="111" t="s">
        <v>132</v>
      </c>
      <c r="D11" s="115">
        <v>46050</v>
      </c>
      <c r="E11" s="115">
        <v>46050</v>
      </c>
      <c r="F11" s="115">
        <v>46050</v>
      </c>
      <c r="G11" s="115">
        <v>46050</v>
      </c>
      <c r="H11" s="115">
        <v>46050</v>
      </c>
      <c r="I11" s="115">
        <v>46050</v>
      </c>
      <c r="J11" s="115">
        <v>46050</v>
      </c>
      <c r="K11" s="115">
        <v>46050</v>
      </c>
      <c r="L11" s="115">
        <v>46050</v>
      </c>
      <c r="M11" s="116"/>
      <c r="N11" s="116"/>
      <c r="O11" s="116"/>
      <c r="DT11" s="13" t="s">
        <v>281</v>
      </c>
      <c r="EB11" s="13" t="s">
        <v>300</v>
      </c>
      <c r="ED11" s="13" t="s">
        <v>301</v>
      </c>
    </row>
    <row r="12" spans="1:134" s="13" customFormat="1" ht="15" customHeight="1" x14ac:dyDescent="0.2">
      <c r="A12" s="173"/>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73"/>
      <c r="B13" s="110" t="s">
        <v>23</v>
      </c>
      <c r="C13" s="111" t="s">
        <v>132</v>
      </c>
      <c r="D13" s="115">
        <v>42600</v>
      </c>
      <c r="E13" s="115">
        <v>42600</v>
      </c>
      <c r="F13" s="115">
        <v>42600</v>
      </c>
      <c r="G13" s="115">
        <v>42600</v>
      </c>
      <c r="H13" s="115">
        <v>42600</v>
      </c>
      <c r="I13" s="115">
        <v>42600</v>
      </c>
      <c r="J13" s="115">
        <v>42600</v>
      </c>
      <c r="K13" s="115">
        <v>42600</v>
      </c>
      <c r="L13" s="115">
        <v>42600</v>
      </c>
      <c r="M13" s="115"/>
      <c r="N13" s="115"/>
      <c r="O13" s="115"/>
      <c r="DT13" s="13" t="s">
        <v>283</v>
      </c>
      <c r="EB13" s="13" t="s">
        <v>300</v>
      </c>
      <c r="ED13" s="13" t="s">
        <v>301</v>
      </c>
    </row>
    <row r="14" spans="1:134" ht="24" customHeight="1" x14ac:dyDescent="0.2">
      <c r="A14" s="174" t="s">
        <v>24</v>
      </c>
      <c r="B14" s="175"/>
      <c r="C14" s="45"/>
      <c r="D14" s="15"/>
      <c r="E14" s="46"/>
      <c r="F14" s="46"/>
      <c r="G14" s="46"/>
      <c r="H14" s="46"/>
      <c r="I14" s="46"/>
      <c r="J14" s="46"/>
      <c r="K14" s="46"/>
      <c r="L14" s="46"/>
      <c r="M14" s="46"/>
      <c r="N14" s="46"/>
      <c r="O14" s="46"/>
    </row>
    <row r="15" spans="1:134" s="13" customFormat="1" ht="15" customHeight="1" x14ac:dyDescent="0.2">
      <c r="A15" s="173" t="s">
        <v>18</v>
      </c>
      <c r="B15" s="110" t="s">
        <v>26</v>
      </c>
      <c r="C15" s="14"/>
      <c r="D15" s="15"/>
      <c r="E15" s="12"/>
      <c r="F15" s="12"/>
      <c r="G15" s="12"/>
      <c r="H15" s="12"/>
      <c r="I15" s="12"/>
      <c r="J15" s="12"/>
      <c r="K15" s="12"/>
      <c r="L15" s="12"/>
      <c r="M15" s="12"/>
      <c r="N15" s="12"/>
      <c r="O15" s="12"/>
    </row>
    <row r="16" spans="1:134" s="13" customFormat="1" ht="15" customHeight="1" x14ac:dyDescent="0.2">
      <c r="A16" s="173"/>
      <c r="B16" s="110" t="s">
        <v>27</v>
      </c>
      <c r="C16" s="14"/>
      <c r="D16" s="15"/>
      <c r="E16" s="12"/>
      <c r="F16" s="12"/>
      <c r="G16" s="12"/>
      <c r="H16" s="12"/>
      <c r="I16" s="12"/>
      <c r="J16" s="12"/>
      <c r="K16" s="12"/>
      <c r="L16" s="12"/>
      <c r="M16" s="12"/>
      <c r="N16" s="12"/>
      <c r="O16" s="12"/>
    </row>
    <row r="17" spans="1:15" s="13" customFormat="1" ht="15" customHeight="1" x14ac:dyDescent="0.2">
      <c r="A17" s="173"/>
      <c r="B17" s="110" t="s">
        <v>28</v>
      </c>
      <c r="C17" s="14"/>
      <c r="D17" s="15"/>
      <c r="E17" s="12"/>
      <c r="F17" s="12"/>
      <c r="G17" s="12"/>
      <c r="H17" s="12"/>
      <c r="I17" s="12"/>
      <c r="J17" s="12"/>
      <c r="K17" s="12"/>
      <c r="L17" s="12"/>
      <c r="M17" s="12"/>
      <c r="N17" s="12"/>
      <c r="O17" s="12"/>
    </row>
    <row r="18" spans="1:15" s="13" customFormat="1" ht="15" customHeight="1" x14ac:dyDescent="0.2">
      <c r="A18" s="173"/>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 sqref="D1"/>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Slovenia</v>
      </c>
      <c r="D2" s="1"/>
      <c r="E2" s="5"/>
      <c r="F2" s="3"/>
      <c r="G2" s="3"/>
      <c r="H2" s="3"/>
      <c r="I2" s="3"/>
      <c r="J2" s="3"/>
      <c r="K2" s="3"/>
    </row>
    <row r="3" spans="1:11" ht="18" customHeight="1" x14ac:dyDescent="0.25">
      <c r="A3" s="188" t="s">
        <v>2</v>
      </c>
      <c r="B3" s="190"/>
      <c r="C3" s="114">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14</v>
      </c>
      <c r="D6" s="120">
        <f ca="1">SUM(E6:J6)</f>
        <v>3367.8139999272726</v>
      </c>
      <c r="E6" s="121">
        <f ca="1">INDIRECT(ADDRESS(ROW(K6),$C$3 -2010 + 4,,,"1a_SpaceHeating"))</f>
        <v>296.2817044448326</v>
      </c>
      <c r="F6" s="121">
        <f ca="1">INDIRECT(ADDRESS(ROW(K6),$C$3-2010+4,,,"1b_SpaceCooling"))</f>
        <v>65.931323199388871</v>
      </c>
      <c r="G6" s="121">
        <f ca="1">INDIRECT(ADDRESS(ROW(K6),$C$3-2010+4,,,"1c_WaterHeating"))</f>
        <v>612.80712987234529</v>
      </c>
      <c r="H6" s="121">
        <f ca="1">INDIRECT(ADDRESS(ROW(K6),$C$3-2010+4,,,"1d_Cooking"))</f>
        <v>265.06484780095349</v>
      </c>
      <c r="I6" s="121">
        <f ca="1">INDIRECT(ADDRESS(ROW(K6),$C$3-2010+4,,,"1e_LightingAndAppliances"))</f>
        <v>2127.7289946097526</v>
      </c>
      <c r="J6" s="121">
        <f ca="1">INDIRECT(ADDRESS(ROW(K6),$C$3-2010+4,,,"1f_OtherEndUses"))</f>
        <v>0</v>
      </c>
      <c r="K6" s="122"/>
    </row>
    <row r="7" spans="1:11" ht="24" customHeight="1" x14ac:dyDescent="0.25">
      <c r="A7" s="195" t="s">
        <v>15</v>
      </c>
      <c r="B7" s="196"/>
      <c r="C7" s="109" t="s">
        <v>16</v>
      </c>
      <c r="D7" s="123">
        <f t="shared" ref="D7:D16" ca="1" si="0">SUM(E7:J7)</f>
        <v>3138.0320594729683</v>
      </c>
      <c r="E7" s="124">
        <f t="shared" ref="E7:E16" ca="1" si="1">INDIRECT(ADDRESS(ROW(K7),$C$3 -2010 + 4,,,"1a_SpaceHeating"))</f>
        <v>2578.8752786380146</v>
      </c>
      <c r="F7" s="125"/>
      <c r="G7" s="124">
        <f t="shared" ref="G7:G16" ca="1" si="2">INDIRECT(ADDRESS(ROW(K7),$C$3-2010+4,,,"1c_WaterHeating"))</f>
        <v>559.15678083495379</v>
      </c>
      <c r="H7" s="124">
        <f t="shared" ref="H7:H16" ca="1" si="3">INDIRECT(ADDRESS(ROW(K7),$C$3-2010+4,,,"1d_Cooking"))</f>
        <v>0</v>
      </c>
      <c r="I7" s="125"/>
      <c r="J7" s="124">
        <f t="shared" ref="J7:J17" ca="1" si="4">INDIRECT(ADDRESS(ROW(K7),$C$3-2010+4,,,"1f_OtherEndUses"))</f>
        <v>0</v>
      </c>
      <c r="K7" s="125"/>
    </row>
    <row r="8" spans="1:11" ht="24" customHeight="1" x14ac:dyDescent="0.25">
      <c r="A8" s="195" t="s">
        <v>29</v>
      </c>
      <c r="B8" s="196"/>
      <c r="C8" s="109" t="s">
        <v>17</v>
      </c>
      <c r="D8" s="123">
        <f t="shared" ca="1" si="0"/>
        <v>5159.0700261446473</v>
      </c>
      <c r="E8" s="124">
        <f t="shared" ca="1" si="1"/>
        <v>3784.0518002864405</v>
      </c>
      <c r="F8" s="125"/>
      <c r="G8" s="124">
        <f t="shared" ca="1" si="2"/>
        <v>1036.5418997063528</v>
      </c>
      <c r="H8" s="124">
        <f t="shared" ca="1" si="3"/>
        <v>338.47632615185381</v>
      </c>
      <c r="I8" s="125"/>
      <c r="J8" s="124">
        <f t="shared" ca="1" si="4"/>
        <v>0</v>
      </c>
      <c r="K8" s="125"/>
    </row>
    <row r="9" spans="1:11" ht="24" customHeight="1" x14ac:dyDescent="0.25">
      <c r="A9" s="195" t="s">
        <v>156</v>
      </c>
      <c r="B9" s="196"/>
      <c r="C9" s="109" t="s">
        <v>19</v>
      </c>
      <c r="D9" s="123">
        <f t="shared" ca="1" si="0"/>
        <v>0.16981300358636264</v>
      </c>
      <c r="E9" s="124">
        <f t="shared" ca="1" si="1"/>
        <v>0.12001539296371903</v>
      </c>
      <c r="F9" s="125"/>
      <c r="G9" s="124">
        <f t="shared" ca="1" si="2"/>
        <v>4.9797610622643623E-2</v>
      </c>
      <c r="H9" s="124">
        <f t="shared" ca="1" si="3"/>
        <v>0</v>
      </c>
      <c r="I9" s="125"/>
      <c r="J9" s="124">
        <f t="shared" ca="1" si="4"/>
        <v>0</v>
      </c>
      <c r="K9" s="126">
        <f ca="1">INDIRECT(ADDRESS(ROW(K9),$C$3-2010+4,,,"Calorific_Values"))</f>
        <v>16000</v>
      </c>
    </row>
    <row r="10" spans="1:11" ht="24" customHeight="1" x14ac:dyDescent="0.25">
      <c r="A10" s="195" t="s">
        <v>42</v>
      </c>
      <c r="B10" s="196"/>
      <c r="C10" s="109" t="s">
        <v>19</v>
      </c>
      <c r="D10" s="123">
        <f t="shared" ca="1" si="0"/>
        <v>120.29747301364819</v>
      </c>
      <c r="E10" s="124">
        <f t="shared" ca="1" si="1"/>
        <v>94.441711631745122</v>
      </c>
      <c r="F10" s="125"/>
      <c r="G10" s="124">
        <f t="shared" ca="1" si="2"/>
        <v>15.765156612230802</v>
      </c>
      <c r="H10" s="124">
        <f t="shared" ca="1" si="3"/>
        <v>10.090604769672261</v>
      </c>
      <c r="I10" s="125"/>
      <c r="J10" s="124">
        <f t="shared" ca="1" si="4"/>
        <v>0</v>
      </c>
      <c r="K10" s="126">
        <f ca="1">INDIRECT(ADDRESS(ROW(K10),$C$3-2010+4,,,"Calorific_Values"))</f>
        <v>43339.98129768436</v>
      </c>
    </row>
    <row r="11" spans="1:11" s="34" customFormat="1" ht="15" customHeight="1" x14ac:dyDescent="0.25">
      <c r="A11" s="194" t="s">
        <v>18</v>
      </c>
      <c r="B11" s="10" t="s">
        <v>21</v>
      </c>
      <c r="C11" s="11" t="s">
        <v>19</v>
      </c>
      <c r="D11" s="127">
        <f t="shared" ca="1" si="0"/>
        <v>25.80228411269244</v>
      </c>
      <c r="E11" s="128">
        <f t="shared" ca="1" si="1"/>
        <v>12.451497189761259</v>
      </c>
      <c r="F11" s="129"/>
      <c r="G11" s="128">
        <f t="shared" ca="1" si="2"/>
        <v>3.2601821532589201</v>
      </c>
      <c r="H11" s="128">
        <f t="shared" ca="1" si="3"/>
        <v>10.090604769672261</v>
      </c>
      <c r="I11" s="129"/>
      <c r="J11" s="128">
        <f t="shared" ca="1" si="4"/>
        <v>0</v>
      </c>
      <c r="K11" s="130">
        <f t="shared" ref="K11:K13" ca="1" si="5">INDIRECT(ADDRESS(ROW(K11),$C$3-2010+4,,,"Calorific_Values"))</f>
        <v>46050</v>
      </c>
    </row>
    <row r="12" spans="1:11" s="34" customFormat="1" ht="15" customHeight="1" x14ac:dyDescent="0.25">
      <c r="A12" s="194"/>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94"/>
      <c r="B13" s="10" t="s">
        <v>23</v>
      </c>
      <c r="C13" s="11" t="s">
        <v>19</v>
      </c>
      <c r="D13" s="127">
        <f t="shared" ca="1" si="0"/>
        <v>94.495188900955753</v>
      </c>
      <c r="E13" s="128">
        <f t="shared" ca="1" si="1"/>
        <v>81.990214441983866</v>
      </c>
      <c r="F13" s="129"/>
      <c r="G13" s="128">
        <f t="shared" ca="1" si="2"/>
        <v>12.504974458971882</v>
      </c>
      <c r="H13" s="128">
        <f t="shared" ca="1" si="3"/>
        <v>0</v>
      </c>
      <c r="I13" s="129"/>
      <c r="J13" s="128">
        <f t="shared" ca="1" si="4"/>
        <v>0</v>
      </c>
      <c r="K13" s="130">
        <f t="shared" ca="1" si="5"/>
        <v>42600</v>
      </c>
    </row>
    <row r="14" spans="1:11" ht="24" customHeight="1" x14ac:dyDescent="0.25">
      <c r="A14" s="195" t="s">
        <v>43</v>
      </c>
      <c r="B14" s="196"/>
      <c r="C14" s="109" t="s">
        <v>16</v>
      </c>
      <c r="D14" s="123">
        <f t="shared" ca="1" si="0"/>
        <v>19488.305124832998</v>
      </c>
      <c r="E14" s="124">
        <f t="shared" ca="1" si="1"/>
        <v>16167.233745867177</v>
      </c>
      <c r="F14" s="125"/>
      <c r="G14" s="124">
        <f t="shared" ca="1" si="2"/>
        <v>3106.5073671814484</v>
      </c>
      <c r="H14" s="124">
        <f t="shared" ca="1" si="3"/>
        <v>214.56401178437289</v>
      </c>
      <c r="I14" s="125"/>
      <c r="J14" s="124">
        <f t="shared" ca="1" si="4"/>
        <v>0</v>
      </c>
      <c r="K14" s="125"/>
    </row>
    <row r="15" spans="1:11" s="34" customFormat="1" ht="15" customHeight="1" x14ac:dyDescent="0.25">
      <c r="A15" s="194" t="s">
        <v>18</v>
      </c>
      <c r="B15" s="10" t="s">
        <v>26</v>
      </c>
      <c r="C15" s="11" t="s">
        <v>16</v>
      </c>
      <c r="D15" s="127">
        <f t="shared" ca="1" si="0"/>
        <v>457.18967949452065</v>
      </c>
      <c r="E15" s="128">
        <f t="shared" ca="1" si="1"/>
        <v>10.55053106525817</v>
      </c>
      <c r="F15" s="129"/>
      <c r="G15" s="128">
        <f t="shared" ca="1" si="2"/>
        <v>446.63914842926249</v>
      </c>
      <c r="H15" s="128">
        <f t="shared" ca="1" si="3"/>
        <v>0</v>
      </c>
      <c r="I15" s="129"/>
      <c r="J15" s="128">
        <f t="shared" ca="1" si="4"/>
        <v>0</v>
      </c>
      <c r="K15" s="129"/>
    </row>
    <row r="16" spans="1:11" s="34" customFormat="1" ht="15" customHeight="1" x14ac:dyDescent="0.25">
      <c r="A16" s="194"/>
      <c r="B16" s="10" t="s">
        <v>27</v>
      </c>
      <c r="C16" s="11" t="s">
        <v>16</v>
      </c>
      <c r="D16" s="127">
        <f t="shared" ca="1" si="0"/>
        <v>17562.850744352334</v>
      </c>
      <c r="E16" s="128">
        <f t="shared" ca="1" si="1"/>
        <v>15242.384040648036</v>
      </c>
      <c r="F16" s="129"/>
      <c r="G16" s="128">
        <f t="shared" ca="1" si="2"/>
        <v>2105.9026919199277</v>
      </c>
      <c r="H16" s="128">
        <f t="shared" ca="1" si="3"/>
        <v>214.56401178437289</v>
      </c>
      <c r="I16" s="129"/>
      <c r="J16" s="128">
        <f t="shared" ca="1" si="4"/>
        <v>0</v>
      </c>
      <c r="K16" s="129"/>
    </row>
    <row r="17" spans="1:11" s="34" customFormat="1" ht="15" customHeight="1" x14ac:dyDescent="0.25">
      <c r="A17" s="19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4"/>
      <c r="B18" s="34" t="s">
        <v>184</v>
      </c>
      <c r="C18" s="11" t="s">
        <v>16</v>
      </c>
      <c r="D18" s="127">
        <f ca="1">SUM(E18:J18)</f>
        <v>1468.2647009861407</v>
      </c>
      <c r="E18" s="128">
        <f ca="1">INDIRECT(ADDRESS(ROW(K18),$C$3 -2010 + 4,,,"1a_SpaceHeating"))</f>
        <v>914.29917415388263</v>
      </c>
      <c r="F18" s="129"/>
      <c r="G18" s="128">
        <f ca="1">INDIRECT(ADDRESS(ROW(K18),$C$3-2010+4,,,"1c_WaterHeating"))</f>
        <v>553.96552683225821</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9" sqref="D19"/>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Slovenia</v>
      </c>
      <c r="D2" s="1"/>
      <c r="E2" s="5"/>
      <c r="F2" s="3"/>
      <c r="G2" s="3"/>
      <c r="H2" s="3"/>
      <c r="I2" s="3"/>
      <c r="J2" s="3"/>
      <c r="K2" s="3"/>
    </row>
    <row r="3" spans="1:11" ht="18" customHeight="1" x14ac:dyDescent="0.25">
      <c r="A3" s="188" t="s">
        <v>2</v>
      </c>
      <c r="B3" s="189"/>
      <c r="C3" s="1">
        <f>Table1_Totals!C3</f>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16</v>
      </c>
      <c r="D6" s="120">
        <f ca="1">SUM(E6:J6)</f>
        <v>12124.130399738184</v>
      </c>
      <c r="E6" s="121">
        <f ca="1">Table1_Totals!E6*3.6</f>
        <v>1066.6141360013974</v>
      </c>
      <c r="F6" s="121">
        <f ca="1">Table1_Totals!F6*3.6</f>
        <v>237.35276351779993</v>
      </c>
      <c r="G6" s="121">
        <f ca="1">Table1_Totals!G6*3.6</f>
        <v>2206.1056675404429</v>
      </c>
      <c r="H6" s="121">
        <f ca="1">Table1_Totals!H6*3.6</f>
        <v>954.23345208343255</v>
      </c>
      <c r="I6" s="121">
        <f ca="1">Table1_Totals!I6*3.6</f>
        <v>7659.8243805951097</v>
      </c>
      <c r="J6" s="121">
        <f ca="1">Table1_Totals!J6*3.6</f>
        <v>0</v>
      </c>
      <c r="K6" s="122"/>
    </row>
    <row r="7" spans="1:11" ht="24" customHeight="1" x14ac:dyDescent="0.25">
      <c r="A7" s="195" t="s">
        <v>15</v>
      </c>
      <c r="B7" s="196"/>
      <c r="C7" s="109" t="s">
        <v>16</v>
      </c>
      <c r="D7" s="123">
        <f t="shared" ref="D7:D18" ca="1" si="0">SUM(E7:J7)</f>
        <v>3138.0320594729683</v>
      </c>
      <c r="E7" s="124">
        <f ca="1">Table1_Totals!E7</f>
        <v>2578.8752786380146</v>
      </c>
      <c r="F7" s="125"/>
      <c r="G7" s="124">
        <f ca="1">Table1_Totals!G7</f>
        <v>559.15678083495379</v>
      </c>
      <c r="H7" s="124">
        <f ca="1">Table1_Totals!H7</f>
        <v>0</v>
      </c>
      <c r="I7" s="125"/>
      <c r="J7" s="124">
        <f ca="1">Table1_Totals!J7</f>
        <v>0</v>
      </c>
      <c r="K7" s="125"/>
    </row>
    <row r="8" spans="1:11" ht="24" customHeight="1" x14ac:dyDescent="0.25">
      <c r="A8" s="195" t="s">
        <v>29</v>
      </c>
      <c r="B8" s="196"/>
      <c r="C8" s="109" t="s">
        <v>16</v>
      </c>
      <c r="D8" s="123">
        <f t="shared" ca="1" si="0"/>
        <v>4643.1630235301827</v>
      </c>
      <c r="E8" s="124">
        <f ca="1">Table1_Totals!E8*0.9</f>
        <v>3405.6466202577967</v>
      </c>
      <c r="F8" s="125"/>
      <c r="G8" s="124">
        <f ca="1">Table1_Totals!G8*0.9</f>
        <v>932.88770973571752</v>
      </c>
      <c r="H8" s="124">
        <f ca="1">Table1_Totals!H8*0.9</f>
        <v>304.62869353666844</v>
      </c>
      <c r="I8" s="125"/>
      <c r="J8" s="124">
        <f ca="1">Table1_Totals!J8*0.9</f>
        <v>0</v>
      </c>
      <c r="K8" s="125"/>
    </row>
    <row r="9" spans="1:11" ht="24" customHeight="1" x14ac:dyDescent="0.25">
      <c r="A9" s="195" t="s">
        <v>156</v>
      </c>
      <c r="B9" s="196"/>
      <c r="C9" s="109" t="s">
        <v>16</v>
      </c>
      <c r="D9" s="123">
        <f t="shared" ca="1" si="0"/>
        <v>2.7170080573818023</v>
      </c>
      <c r="E9" s="124">
        <f ca="1">IF(Table1_Totals!E9&lt;&gt;0,IF(Table1_Totals!$K9&lt;&gt;0,Table1_Totals!E9*Table1_Totals!$K9/1000,"Please check CV"),"0,000")</f>
        <v>1.9202462874195045</v>
      </c>
      <c r="F9" s="125"/>
      <c r="G9" s="124">
        <f ca="1">IF(Table1_Totals!G9&lt;&gt;0,IF(Table1_Totals!$K9&lt;&gt;0,Table1_Totals!G9*Table1_Totals!$K$9/1000,"Please check CV"),"0,000")</f>
        <v>0.79676176996229797</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16000</v>
      </c>
    </row>
    <row r="10" spans="1:11" ht="24" customHeight="1" x14ac:dyDescent="0.25">
      <c r="A10" s="195" t="s">
        <v>42</v>
      </c>
      <c r="B10" s="196"/>
      <c r="C10" s="109" t="s">
        <v>16</v>
      </c>
      <c r="D10" s="123">
        <f t="shared" ca="1" si="0"/>
        <v>5213.6902305702015</v>
      </c>
      <c r="E10" s="124">
        <f ca="1">IF(Table1_Totals!E10&lt;&gt;0,IF(Table1_Totals!$K10&lt;&gt;0,Table1_Totals!E10*Table1_Totals!$K10/1000,"Please check CV"),"0,000")</f>
        <v>4093.1020158411329</v>
      </c>
      <c r="F10" s="125"/>
      <c r="G10" s="124">
        <f ca="1">IF(Table1_Totals!G10&lt;&gt;0,IF(Table1_Totals!$K10&lt;&gt;0,Table1_Totals!G10*Table1_Totals!$K10/1000,"Please check CV"),"0,000")</f>
        <v>683.26159272914788</v>
      </c>
      <c r="H10" s="124">
        <f ca="1">IF(Table1_Totals!H10&lt;&gt;0,IF(Table1_Totals!$K10&lt;&gt;0,Table1_Totals!H10*Table1_Totals!$K10/1000,"Please check CV"),"0,000")</f>
        <v>437.32662199992041</v>
      </c>
      <c r="I10" s="125"/>
      <c r="J10" s="124" t="str">
        <f ca="1">IF(Table1_Totals!J10&lt;&gt;0,IF(Table1_Totals!$K10&lt;&gt;0,Table1_Totals!J10*Table1_Totals!$K10/1000,"Please check CV"),"0,000")</f>
        <v>0,000</v>
      </c>
      <c r="K10" s="126">
        <f ca="1">Table1_Totals!K10</f>
        <v>43339.98129768436</v>
      </c>
    </row>
    <row r="11" spans="1:11" s="34" customFormat="1" ht="15" customHeight="1" x14ac:dyDescent="0.25">
      <c r="A11" s="194" t="s">
        <v>18</v>
      </c>
      <c r="B11" s="10" t="s">
        <v>21</v>
      </c>
      <c r="C11" s="11" t="s">
        <v>16</v>
      </c>
      <c r="D11" s="127">
        <f t="shared" ca="1" si="0"/>
        <v>1188.1951833894868</v>
      </c>
      <c r="E11" s="128">
        <f ca="1">IF(Table1_Totals!E11&lt;&gt;0,IF(Table1_Totals!$K11&lt;&gt;0,Table1_Totals!E11*Table1_Totals!$K11/1000,"Please check CV"),"0,000")</f>
        <v>573.39144558850592</v>
      </c>
      <c r="F11" s="129"/>
      <c r="G11" s="128">
        <f ca="1">IF(Table1_Totals!G11&lt;&gt;0,IF(Table1_Totals!$K11&lt;&gt;0,Table1_Totals!G11*Table1_Totals!$K11/1000,"Please check CV"),"0,000")</f>
        <v>150.13138815757327</v>
      </c>
      <c r="H11" s="128">
        <f ca="1">IF(Table1_Totals!H11&lt;&gt;0,IF(Table1_Totals!$K11&lt;&gt;0,Table1_Totals!H11*Table1_Totals!$K11/1000,"Please check CV"),"0,000")</f>
        <v>464.67234964340764</v>
      </c>
      <c r="I11" s="129"/>
      <c r="J11" s="128" t="str">
        <f ca="1">IF(Table1_Totals!J11&lt;&gt;0,IF(Table1_Totals!$K11&lt;&gt;0,Table1_Totals!J11*Table1_Totals!$K11/1000,"Please check CV"),"0,000")</f>
        <v>0,000</v>
      </c>
      <c r="K11" s="130">
        <f ca="1">Table1_Totals!K11</f>
        <v>46050</v>
      </c>
    </row>
    <row r="12" spans="1:11" s="34" customFormat="1" ht="15" customHeight="1" x14ac:dyDescent="0.25">
      <c r="A12" s="194"/>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94"/>
      <c r="B13" s="10" t="s">
        <v>23</v>
      </c>
      <c r="C13" s="11" t="s">
        <v>16</v>
      </c>
      <c r="D13" s="127">
        <f t="shared" ca="1" si="0"/>
        <v>4025.4950471807151</v>
      </c>
      <c r="E13" s="128">
        <f ca="1">IF(Table1_Totals!E13&lt;&gt;0,IF(Table1_Totals!$K13&lt;&gt;0,Table1_Totals!E13*Table1_Totals!$K13/1000,"Please check CV"),"0,000")</f>
        <v>3492.7831352285129</v>
      </c>
      <c r="F13" s="129"/>
      <c r="G13" s="128">
        <f ca="1">IF(Table1_Totals!G13&lt;&gt;0,IF(Table1_Totals!$K13&lt;&gt;0,Table1_Totals!G13*Table1_Totals!$K13/1000,"Please check CV"),"0,000")</f>
        <v>532.71191195220217</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42600</v>
      </c>
    </row>
    <row r="14" spans="1:11" ht="24" customHeight="1" x14ac:dyDescent="0.25">
      <c r="A14" s="195" t="s">
        <v>43</v>
      </c>
      <c r="B14" s="196"/>
      <c r="C14" s="109" t="s">
        <v>16</v>
      </c>
      <c r="D14" s="123">
        <f t="shared" ca="1" si="0"/>
        <v>19488.305124832998</v>
      </c>
      <c r="E14" s="124">
        <f ca="1">Table1_Totals!E14</f>
        <v>16167.233745867177</v>
      </c>
      <c r="F14" s="125"/>
      <c r="G14" s="124">
        <f ca="1">Table1_Totals!G14</f>
        <v>3106.5073671814484</v>
      </c>
      <c r="H14" s="124">
        <f ca="1">Table1_Totals!H14</f>
        <v>214.56401178437289</v>
      </c>
      <c r="I14" s="125"/>
      <c r="J14" s="124">
        <f ca="1">Table1_Totals!J14</f>
        <v>0</v>
      </c>
      <c r="K14" s="125"/>
    </row>
    <row r="15" spans="1:11" s="34" customFormat="1" ht="15" customHeight="1" x14ac:dyDescent="0.25">
      <c r="A15" s="194" t="s">
        <v>18</v>
      </c>
      <c r="B15" s="10" t="s">
        <v>26</v>
      </c>
      <c r="C15" s="11" t="s">
        <v>16</v>
      </c>
      <c r="D15" s="127">
        <f t="shared" ca="1" si="0"/>
        <v>457.18967949452065</v>
      </c>
      <c r="E15" s="128">
        <f ca="1">Table1_Totals!E15</f>
        <v>10.55053106525817</v>
      </c>
      <c r="F15" s="129"/>
      <c r="G15" s="128">
        <f ca="1">Table1_Totals!G15</f>
        <v>446.63914842926249</v>
      </c>
      <c r="H15" s="128">
        <f ca="1">Table1_Totals!H15</f>
        <v>0</v>
      </c>
      <c r="I15" s="129"/>
      <c r="J15" s="128">
        <f ca="1">Table1_Totals!J15</f>
        <v>0</v>
      </c>
      <c r="K15" s="129"/>
    </row>
    <row r="16" spans="1:11" s="34" customFormat="1" ht="15" customHeight="1" x14ac:dyDescent="0.25">
      <c r="A16" s="194"/>
      <c r="B16" s="10" t="s">
        <v>27</v>
      </c>
      <c r="C16" s="11" t="s">
        <v>16</v>
      </c>
      <c r="D16" s="127">
        <f t="shared" ca="1" si="0"/>
        <v>17562.850744352334</v>
      </c>
      <c r="E16" s="128">
        <f ca="1">Table1_Totals!E16</f>
        <v>15242.384040648036</v>
      </c>
      <c r="F16" s="129"/>
      <c r="G16" s="128">
        <f ca="1">Table1_Totals!G16</f>
        <v>2105.9026919199277</v>
      </c>
      <c r="H16" s="128">
        <f ca="1">Table1_Totals!H16</f>
        <v>214.56401178437289</v>
      </c>
      <c r="I16" s="129"/>
      <c r="J16" s="128">
        <f ca="1">Table1_Totals!J16</f>
        <v>0</v>
      </c>
      <c r="K16" s="129"/>
    </row>
    <row r="17" spans="1:11" s="34" customFormat="1" ht="15" customHeight="1" x14ac:dyDescent="0.25">
      <c r="A17" s="19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4"/>
      <c r="B18" s="34" t="s">
        <v>184</v>
      </c>
      <c r="C18" s="11" t="s">
        <v>16</v>
      </c>
      <c r="D18" s="127">
        <f t="shared" ca="1" si="0"/>
        <v>1468.2647009861407</v>
      </c>
      <c r="E18" s="128">
        <f ca="1">Table1_Totals!E18</f>
        <v>914.29917415388263</v>
      </c>
      <c r="F18" s="129"/>
      <c r="G18" s="128">
        <f ca="1">Table1_Totals!G18</f>
        <v>553.96552683225821</v>
      </c>
      <c r="H18" s="128">
        <f ca="1">Table1_Totals!H18</f>
        <v>0</v>
      </c>
      <c r="I18" s="129"/>
      <c r="J18" s="128">
        <f ca="1">Table1_Totals!J18</f>
        <v>0</v>
      </c>
      <c r="K18" s="129"/>
    </row>
    <row r="19" spans="1:11" ht="24" customHeight="1" x14ac:dyDescent="0.25">
      <c r="A19" s="195" t="s">
        <v>171</v>
      </c>
      <c r="B19" s="196"/>
      <c r="C19" s="109" t="s">
        <v>16</v>
      </c>
      <c r="D19" s="123">
        <f t="shared" ref="D19" ca="1" si="2">SUM(E19:J19)</f>
        <v>44610.037846201914</v>
      </c>
      <c r="E19" s="124">
        <f ca="1">SUM(E6:E10,E14)</f>
        <v>27313.392042892938</v>
      </c>
      <c r="F19" s="124">
        <f t="shared" ref="F19:J19" ca="1" si="3">SUM(F6:F10,F14)</f>
        <v>237.35276351779993</v>
      </c>
      <c r="G19" s="124">
        <f t="shared" ca="1" si="3"/>
        <v>7488.7158797916727</v>
      </c>
      <c r="H19" s="124">
        <f t="shared" ca="1" si="3"/>
        <v>1910.7527794043945</v>
      </c>
      <c r="I19" s="124">
        <f t="shared" ca="1" si="3"/>
        <v>7659.8243805951097</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M32" sqref="M32"/>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327.55576656503138</v>
      </c>
      <c r="E6" s="60">
        <v>305.54425317511942</v>
      </c>
      <c r="F6" s="60">
        <v>312.68264099203697</v>
      </c>
      <c r="G6" s="60">
        <v>329.2375817134764</v>
      </c>
      <c r="H6" s="60">
        <v>335.80316853957055</v>
      </c>
      <c r="I6" s="60">
        <v>324.95186416737113</v>
      </c>
      <c r="J6" s="60">
        <v>343.5271316217441</v>
      </c>
      <c r="K6" s="60">
        <v>336.21292876604639</v>
      </c>
      <c r="L6" s="60">
        <v>296.2817044448326</v>
      </c>
      <c r="M6" s="60"/>
      <c r="N6" s="60"/>
      <c r="O6" s="60"/>
      <c r="DS6" s="4" t="str">
        <f>VLOOKUP(Cover!$D$15, Country_list!$B$3:$C$44, 2, 0)</f>
        <v>SI</v>
      </c>
      <c r="DT6" s="33" t="s">
        <v>289</v>
      </c>
      <c r="DV6" s="33" t="s">
        <v>302</v>
      </c>
      <c r="EB6" s="33" t="s">
        <v>291</v>
      </c>
      <c r="ED6" s="33" t="s">
        <v>294</v>
      </c>
    </row>
    <row r="7" spans="1:134" ht="24" customHeight="1" x14ac:dyDescent="0.25">
      <c r="A7" s="174" t="s">
        <v>15</v>
      </c>
      <c r="B7" s="198"/>
      <c r="C7" s="9" t="s">
        <v>25</v>
      </c>
      <c r="D7" s="61">
        <v>3670.0636143654351</v>
      </c>
      <c r="E7" s="58">
        <v>3198.3702340421082</v>
      </c>
      <c r="F7" s="58">
        <v>2922.8548612368299</v>
      </c>
      <c r="G7" s="58">
        <v>2868.1810396591518</v>
      </c>
      <c r="H7" s="58">
        <v>2171.5049838884429</v>
      </c>
      <c r="I7" s="58">
        <v>2655.5966848822668</v>
      </c>
      <c r="J7" s="58">
        <v>2875.5590525656462</v>
      </c>
      <c r="K7" s="58">
        <v>2752</v>
      </c>
      <c r="L7" s="58">
        <v>2578.8752786380146</v>
      </c>
      <c r="M7" s="58"/>
      <c r="N7" s="58"/>
      <c r="O7" s="58"/>
      <c r="DT7" s="33" t="s">
        <v>290</v>
      </c>
      <c r="EB7" s="33" t="s">
        <v>291</v>
      </c>
      <c r="ED7" s="33" t="s">
        <v>295</v>
      </c>
    </row>
    <row r="8" spans="1:134" ht="24" customHeight="1" x14ac:dyDescent="0.25">
      <c r="A8" s="174" t="s">
        <v>29</v>
      </c>
      <c r="B8" s="198"/>
      <c r="C8" s="9" t="s">
        <v>17</v>
      </c>
      <c r="D8" s="61">
        <v>4084.9662023250385</v>
      </c>
      <c r="E8" s="58">
        <v>4004.7414345287875</v>
      </c>
      <c r="F8" s="58">
        <v>4115.8313299103002</v>
      </c>
      <c r="G8" s="58">
        <v>3977.512458723611</v>
      </c>
      <c r="H8" s="58">
        <v>2826.1522738916442</v>
      </c>
      <c r="I8" s="58">
        <v>3511.7010202940037</v>
      </c>
      <c r="J8" s="58">
        <v>4083.1763622672834</v>
      </c>
      <c r="K8" s="58">
        <v>4218.1745193529368</v>
      </c>
      <c r="L8" s="58">
        <v>3784.0518002864405</v>
      </c>
      <c r="M8" s="58"/>
      <c r="N8" s="58"/>
      <c r="O8" s="58"/>
      <c r="DT8" s="33" t="s">
        <v>231</v>
      </c>
      <c r="EB8" s="33" t="s">
        <v>291</v>
      </c>
      <c r="ED8" s="33" t="s">
        <v>296</v>
      </c>
    </row>
    <row r="9" spans="1:134" ht="24" customHeight="1" x14ac:dyDescent="0.25">
      <c r="A9" s="174" t="s">
        <v>156</v>
      </c>
      <c r="B9" s="198"/>
      <c r="C9" s="9" t="s">
        <v>19</v>
      </c>
      <c r="D9" s="61">
        <v>2.3256822488396311</v>
      </c>
      <c r="E9" s="58">
        <v>1.5797105285525095</v>
      </c>
      <c r="F9" s="58">
        <v>1.1056904876244569</v>
      </c>
      <c r="G9" s="58">
        <v>0.7496343984873125</v>
      </c>
      <c r="H9" s="58">
        <v>0.37522864228693814</v>
      </c>
      <c r="I9" s="58">
        <v>0.34723982613689436</v>
      </c>
      <c r="J9" s="58">
        <v>0.26295079788304815</v>
      </c>
      <c r="K9" s="58">
        <v>0.18018825466503938</v>
      </c>
      <c r="L9" s="58">
        <v>0.12001539296371903</v>
      </c>
      <c r="M9" s="58"/>
      <c r="N9" s="58"/>
      <c r="O9" s="58"/>
      <c r="DT9" s="33" t="s">
        <v>279</v>
      </c>
      <c r="EB9" s="33" t="s">
        <v>292</v>
      </c>
      <c r="ED9" s="33" t="s">
        <v>293</v>
      </c>
    </row>
    <row r="10" spans="1:134" ht="24" customHeight="1" x14ac:dyDescent="0.25">
      <c r="A10" s="174" t="s">
        <v>20</v>
      </c>
      <c r="B10" s="198"/>
      <c r="C10" s="9" t="s">
        <v>19</v>
      </c>
      <c r="D10" s="61">
        <v>250.8145871095729</v>
      </c>
      <c r="E10" s="58">
        <v>202.15448111754839</v>
      </c>
      <c r="F10" s="58">
        <v>175.2457278510997</v>
      </c>
      <c r="G10" s="58">
        <v>144.25561193681537</v>
      </c>
      <c r="H10" s="58">
        <v>113.15797961743044</v>
      </c>
      <c r="I10" s="58">
        <v>119.25198088330696</v>
      </c>
      <c r="J10" s="58">
        <v>109.50344017792146</v>
      </c>
      <c r="K10" s="58">
        <v>101.4216222356862</v>
      </c>
      <c r="L10" s="58">
        <v>94.441711631745122</v>
      </c>
      <c r="M10" s="58"/>
      <c r="N10" s="58"/>
      <c r="O10" s="58"/>
      <c r="DT10" s="139" t="s">
        <v>280</v>
      </c>
      <c r="EB10" s="33" t="s">
        <v>292</v>
      </c>
      <c r="ED10" s="33" t="s">
        <v>293</v>
      </c>
    </row>
    <row r="11" spans="1:134" s="34" customFormat="1" ht="15" customHeight="1" x14ac:dyDescent="0.25">
      <c r="A11" s="173" t="s">
        <v>18</v>
      </c>
      <c r="B11" s="110" t="s">
        <v>21</v>
      </c>
      <c r="C11" s="111" t="s">
        <v>19</v>
      </c>
      <c r="D11" s="112">
        <v>15.021459823100606</v>
      </c>
      <c r="E11" s="113">
        <v>17.497111606226674</v>
      </c>
      <c r="F11" s="113">
        <v>15.204027121833636</v>
      </c>
      <c r="G11" s="113">
        <v>12.305326572765283</v>
      </c>
      <c r="H11" s="113">
        <v>8.4250133931713531</v>
      </c>
      <c r="I11" s="113">
        <v>14.924773578226667</v>
      </c>
      <c r="J11" s="113">
        <v>12.870014817978552</v>
      </c>
      <c r="K11" s="113">
        <v>13.236099754331539</v>
      </c>
      <c r="L11" s="113">
        <v>12.451497189761259</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v>235.7931272864723</v>
      </c>
      <c r="E13" s="113">
        <v>184.65736951132172</v>
      </c>
      <c r="F13" s="113">
        <v>160.04170072926607</v>
      </c>
      <c r="G13" s="113">
        <v>131.95028536405007</v>
      </c>
      <c r="H13" s="113">
        <v>104.73296622425909</v>
      </c>
      <c r="I13" s="113">
        <v>104.32720730508029</v>
      </c>
      <c r="J13" s="113">
        <v>96.633425359942905</v>
      </c>
      <c r="K13" s="113">
        <v>88.185522481354667</v>
      </c>
      <c r="L13" s="113">
        <v>81.990214441983866</v>
      </c>
      <c r="M13" s="113"/>
      <c r="N13" s="113"/>
      <c r="O13" s="113"/>
      <c r="DT13" s="34" t="s">
        <v>283</v>
      </c>
      <c r="EB13" s="34" t="s">
        <v>292</v>
      </c>
      <c r="ED13" s="34" t="s">
        <v>293</v>
      </c>
    </row>
    <row r="14" spans="1:134" ht="24" customHeight="1" x14ac:dyDescent="0.25">
      <c r="A14" s="174" t="s">
        <v>24</v>
      </c>
      <c r="B14" s="198"/>
      <c r="C14" s="9" t="s">
        <v>25</v>
      </c>
      <c r="D14" s="61">
        <v>19036.554475200639</v>
      </c>
      <c r="E14" s="58">
        <v>19156.95852333579</v>
      </c>
      <c r="F14" s="58">
        <v>18783.925022698542</v>
      </c>
      <c r="G14" s="58">
        <v>19550.079510008269</v>
      </c>
      <c r="H14" s="58">
        <v>15367.433022635345</v>
      </c>
      <c r="I14" s="58">
        <v>17649.807527723595</v>
      </c>
      <c r="J14" s="58">
        <v>18684.428442243749</v>
      </c>
      <c r="K14" s="58">
        <v>17703.890955675135</v>
      </c>
      <c r="L14" s="58">
        <v>16167.233745867177</v>
      </c>
      <c r="M14" s="58"/>
      <c r="N14" s="58"/>
      <c r="O14" s="58"/>
      <c r="DT14" s="139" t="s">
        <v>284</v>
      </c>
      <c r="EB14" s="33" t="s">
        <v>291</v>
      </c>
      <c r="ED14" s="33" t="s">
        <v>295</v>
      </c>
    </row>
    <row r="15" spans="1:134" s="34" customFormat="1" ht="15" customHeight="1" x14ac:dyDescent="0.25">
      <c r="A15" s="173" t="s">
        <v>18</v>
      </c>
      <c r="B15" s="110" t="s">
        <v>26</v>
      </c>
      <c r="C15" s="111" t="s">
        <v>25</v>
      </c>
      <c r="D15" s="112">
        <v>7.8748515941259001</v>
      </c>
      <c r="E15" s="113">
        <v>8.62076665195519</v>
      </c>
      <c r="F15" s="113">
        <v>9.4458253525588098</v>
      </c>
      <c r="G15" s="113">
        <v>10.095150280041709</v>
      </c>
      <c r="H15" s="113">
        <v>10.434497761930791</v>
      </c>
      <c r="I15" s="113">
        <v>10.512712970359001</v>
      </c>
      <c r="J15" s="113">
        <v>10.551379752753331</v>
      </c>
      <c r="K15" s="113">
        <v>10.536345063396141</v>
      </c>
      <c r="L15" s="113">
        <v>10.55053106525817</v>
      </c>
      <c r="M15" s="113"/>
      <c r="N15" s="113"/>
      <c r="O15" s="113"/>
      <c r="DT15" s="34" t="s">
        <v>285</v>
      </c>
      <c r="EB15" s="34" t="s">
        <v>291</v>
      </c>
      <c r="ED15" s="34" t="s">
        <v>295</v>
      </c>
    </row>
    <row r="16" spans="1:134" s="34" customFormat="1" ht="15" customHeight="1" x14ac:dyDescent="0.25">
      <c r="A16" s="173"/>
      <c r="B16" s="110" t="s">
        <v>27</v>
      </c>
      <c r="C16" s="111" t="s">
        <v>25</v>
      </c>
      <c r="D16" s="112">
        <v>18837.230498010958</v>
      </c>
      <c r="E16" s="113">
        <v>18916.098048552631</v>
      </c>
      <c r="F16" s="113">
        <v>18387.959276113241</v>
      </c>
      <c r="G16" s="113">
        <v>19049.17292485484</v>
      </c>
      <c r="H16" s="113">
        <v>14902.31261144688</v>
      </c>
      <c r="I16" s="113">
        <v>16966.92762788244</v>
      </c>
      <c r="J16" s="113">
        <v>17822.770617793369</v>
      </c>
      <c r="K16" s="113">
        <v>16789.86667139822</v>
      </c>
      <c r="L16" s="113">
        <v>15242.384040648036</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184</v>
      </c>
      <c r="C18" s="111" t="s">
        <v>25</v>
      </c>
      <c r="D18" s="112">
        <v>191.44912559555431</v>
      </c>
      <c r="E18" s="112">
        <v>232.23970813120539</v>
      </c>
      <c r="F18" s="112">
        <v>386.51992123274272</v>
      </c>
      <c r="G18" s="112">
        <v>490.81143487338551</v>
      </c>
      <c r="H18" s="112">
        <v>454.68591342653389</v>
      </c>
      <c r="I18" s="112">
        <v>672.36718687079667</v>
      </c>
      <c r="J18" s="112">
        <v>851.10644469762576</v>
      </c>
      <c r="K18" s="112">
        <v>903.48793921351808</v>
      </c>
      <c r="L18" s="112">
        <v>914.29917415388263</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L33" sqref="L33"/>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1"/>
      <c r="C6" s="8" t="s">
        <v>14</v>
      </c>
      <c r="D6" s="59">
        <v>47.978726476511355</v>
      </c>
      <c r="E6" s="60">
        <v>55.01169074155689</v>
      </c>
      <c r="F6" s="60">
        <v>75.148654703152673</v>
      </c>
      <c r="G6" s="60">
        <v>70.788423354780278</v>
      </c>
      <c r="H6" s="60">
        <v>36.768565919111417</v>
      </c>
      <c r="I6" s="60">
        <v>84.114896109538748</v>
      </c>
      <c r="J6" s="60">
        <v>59.584589453816641</v>
      </c>
      <c r="K6" s="60">
        <v>60.602115281021327</v>
      </c>
      <c r="L6" s="60">
        <v>65.931323199388871</v>
      </c>
      <c r="M6" s="60"/>
      <c r="N6" s="60"/>
      <c r="O6" s="60"/>
      <c r="DS6" s="4" t="str">
        <f>VLOOKUP(Cover!$D$15, Country_list!$B$3:$C$44, 2, 0)</f>
        <v>SI</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L18" sqref="L18"/>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8</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595.71550235238055</v>
      </c>
      <c r="E6" s="60">
        <v>598.30924704576887</v>
      </c>
      <c r="F6" s="60">
        <v>598.75430499863785</v>
      </c>
      <c r="G6" s="60">
        <v>598.61606653566889</v>
      </c>
      <c r="H6" s="60">
        <v>600.42198232234944</v>
      </c>
      <c r="I6" s="60">
        <v>601.67417834836749</v>
      </c>
      <c r="J6" s="60">
        <v>606.23733210512023</v>
      </c>
      <c r="K6" s="60">
        <v>610.77978668836329</v>
      </c>
      <c r="L6" s="60">
        <v>612.80712987234529</v>
      </c>
      <c r="M6" s="60"/>
      <c r="N6" s="60"/>
      <c r="O6" s="60"/>
      <c r="DS6" s="4" t="str">
        <f>VLOOKUP(Cover!$D$15, Country_list!$B$3:$C$44, 2, 0)</f>
        <v>SI</v>
      </c>
      <c r="DT6" s="33" t="s">
        <v>289</v>
      </c>
      <c r="DV6" s="33" t="s">
        <v>304</v>
      </c>
      <c r="EB6" s="33" t="s">
        <v>291</v>
      </c>
      <c r="ED6" s="33" t="s">
        <v>294</v>
      </c>
    </row>
    <row r="7" spans="1:134" ht="24" customHeight="1" x14ac:dyDescent="0.25">
      <c r="A7" s="174" t="s">
        <v>15</v>
      </c>
      <c r="B7" s="198"/>
      <c r="C7" s="9" t="s">
        <v>25</v>
      </c>
      <c r="D7" s="61">
        <v>574.95601772991313</v>
      </c>
      <c r="E7" s="58">
        <v>543.71483488100102</v>
      </c>
      <c r="F7" s="58">
        <v>510.39038143764731</v>
      </c>
      <c r="G7" s="58">
        <v>541.50763290151701</v>
      </c>
      <c r="H7" s="58">
        <v>626.64897971712367</v>
      </c>
      <c r="I7" s="58">
        <v>555.81275799788045</v>
      </c>
      <c r="J7" s="58">
        <v>559.42741804553668</v>
      </c>
      <c r="K7" s="58">
        <v>556.07996577190647</v>
      </c>
      <c r="L7" s="58">
        <v>559.15678083495379</v>
      </c>
      <c r="M7" s="58"/>
      <c r="N7" s="58"/>
      <c r="O7" s="58"/>
      <c r="DT7" s="33" t="s">
        <v>290</v>
      </c>
      <c r="EB7" s="33" t="s">
        <v>291</v>
      </c>
      <c r="ED7" s="33" t="s">
        <v>295</v>
      </c>
    </row>
    <row r="8" spans="1:134" ht="24" customHeight="1" x14ac:dyDescent="0.25">
      <c r="A8" s="174" t="s">
        <v>29</v>
      </c>
      <c r="B8" s="198"/>
      <c r="C8" s="9" t="s">
        <v>17</v>
      </c>
      <c r="D8" s="61">
        <v>938.33329654068632</v>
      </c>
      <c r="E8" s="58">
        <v>961.95043979217269</v>
      </c>
      <c r="F8" s="58">
        <v>1006.1306054299281</v>
      </c>
      <c r="G8" s="58">
        <v>989.52193019996412</v>
      </c>
      <c r="H8" s="58">
        <v>912.41914827759797</v>
      </c>
      <c r="I8" s="58">
        <v>933.95761947425206</v>
      </c>
      <c r="J8" s="58">
        <v>1005.5733636316385</v>
      </c>
      <c r="K8" s="58">
        <v>1063.1997434509458</v>
      </c>
      <c r="L8" s="58">
        <v>1036.5418997063528</v>
      </c>
      <c r="M8" s="58"/>
      <c r="N8" s="58"/>
      <c r="O8" s="58"/>
      <c r="DT8" s="33" t="s">
        <v>231</v>
      </c>
      <c r="EB8" s="33" t="s">
        <v>291</v>
      </c>
      <c r="ED8" s="33" t="s">
        <v>296</v>
      </c>
    </row>
    <row r="9" spans="1:134" ht="24" customHeight="1" x14ac:dyDescent="0.25">
      <c r="A9" s="174" t="s">
        <v>156</v>
      </c>
      <c r="B9" s="198"/>
      <c r="C9" s="9" t="s">
        <v>19</v>
      </c>
      <c r="D9" s="61">
        <v>0.76886027622511566</v>
      </c>
      <c r="E9" s="58">
        <v>0.56001516180073307</v>
      </c>
      <c r="F9" s="58">
        <v>0.40433728039540501</v>
      </c>
      <c r="G9" s="58">
        <v>0.28368537189429938</v>
      </c>
      <c r="H9" s="58">
        <v>0.18928412813970438</v>
      </c>
      <c r="I9" s="58">
        <v>0.14172002389434687</v>
      </c>
      <c r="J9" s="58">
        <v>9.9209323935178756E-2</v>
      </c>
      <c r="K9" s="58">
        <v>6.9432577243116245E-2</v>
      </c>
      <c r="L9" s="58">
        <v>4.9797610622643623E-2</v>
      </c>
      <c r="M9" s="58"/>
      <c r="N9" s="58"/>
      <c r="O9" s="58"/>
      <c r="DT9" s="33" t="s">
        <v>279</v>
      </c>
      <c r="EB9" s="33" t="s">
        <v>292</v>
      </c>
      <c r="ED9" s="33" t="s">
        <v>293</v>
      </c>
    </row>
    <row r="10" spans="1:134" ht="24" customHeight="1" x14ac:dyDescent="0.25">
      <c r="A10" s="174" t="s">
        <v>20</v>
      </c>
      <c r="B10" s="198"/>
      <c r="C10" s="9" t="s">
        <v>19</v>
      </c>
      <c r="D10" s="61">
        <v>34.658445394910125</v>
      </c>
      <c r="E10" s="58">
        <v>29.179379541266357</v>
      </c>
      <c r="F10" s="58">
        <v>25.42128212218622</v>
      </c>
      <c r="G10" s="58">
        <v>20.674480441197446</v>
      </c>
      <c r="H10" s="58">
        <v>19.766298035790701</v>
      </c>
      <c r="I10" s="58">
        <v>18.599859563259777</v>
      </c>
      <c r="J10" s="58">
        <v>16.073458664291273</v>
      </c>
      <c r="K10" s="58">
        <v>15.55055701594028</v>
      </c>
      <c r="L10" s="58">
        <v>15.765156612230802</v>
      </c>
      <c r="M10" s="58"/>
      <c r="N10" s="58"/>
      <c r="O10" s="58"/>
      <c r="DT10" s="139" t="s">
        <v>280</v>
      </c>
      <c r="EB10" s="33" t="s">
        <v>292</v>
      </c>
      <c r="ED10" s="33" t="s">
        <v>293</v>
      </c>
    </row>
    <row r="11" spans="1:134" s="34" customFormat="1" ht="15" customHeight="1" x14ac:dyDescent="0.25">
      <c r="A11" s="173" t="s">
        <v>18</v>
      </c>
      <c r="B11" s="110" t="s">
        <v>21</v>
      </c>
      <c r="C11" s="111" t="s">
        <v>19</v>
      </c>
      <c r="D11" s="112">
        <v>3.2023621245088361</v>
      </c>
      <c r="E11" s="113">
        <v>3.9540546184761718</v>
      </c>
      <c r="F11" s="113">
        <v>3.5212567187860504</v>
      </c>
      <c r="G11" s="113">
        <v>2.9099955269013984</v>
      </c>
      <c r="H11" s="113">
        <v>2.585947152061546</v>
      </c>
      <c r="I11" s="113">
        <v>3.7785621526011184</v>
      </c>
      <c r="J11" s="113">
        <v>3.0270447464678525</v>
      </c>
      <c r="K11" s="113">
        <v>3.1931563293721634</v>
      </c>
      <c r="L11" s="113">
        <v>3.2601821532589201</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v>31.45608327040129</v>
      </c>
      <c r="E13" s="113">
        <v>25.225324922790186</v>
      </c>
      <c r="F13" s="113">
        <v>21.900025403400171</v>
      </c>
      <c r="G13" s="113">
        <v>17.764484914296048</v>
      </c>
      <c r="H13" s="113">
        <v>17.180350883729155</v>
      </c>
      <c r="I13" s="113">
        <v>14.821297410658659</v>
      </c>
      <c r="J13" s="113">
        <v>13.04641391782342</v>
      </c>
      <c r="K13" s="113">
        <v>12.357400686568116</v>
      </c>
      <c r="L13" s="113">
        <v>12.504974458971882</v>
      </c>
      <c r="M13" s="113"/>
      <c r="N13" s="113"/>
      <c r="O13" s="113"/>
      <c r="DT13" s="34" t="s">
        <v>283</v>
      </c>
      <c r="EB13" s="34" t="s">
        <v>292</v>
      </c>
      <c r="ED13" s="34" t="s">
        <v>293</v>
      </c>
    </row>
    <row r="14" spans="1:134" ht="24" customHeight="1" x14ac:dyDescent="0.25">
      <c r="A14" s="174" t="s">
        <v>24</v>
      </c>
      <c r="B14" s="198"/>
      <c r="C14" s="9" t="s">
        <v>25</v>
      </c>
      <c r="D14" s="61">
        <v>2684.5450017864068</v>
      </c>
      <c r="E14" s="58">
        <v>2891.2057656848374</v>
      </c>
      <c r="F14" s="58">
        <v>2971.5212384914748</v>
      </c>
      <c r="G14" s="58">
        <v>3110.1678857140632</v>
      </c>
      <c r="H14" s="58">
        <v>2994.9405815364198</v>
      </c>
      <c r="I14" s="58">
        <v>3094.8520100479368</v>
      </c>
      <c r="J14" s="58">
        <v>3136.1288242789042</v>
      </c>
      <c r="K14" s="58">
        <v>3101.4065208344882</v>
      </c>
      <c r="L14" s="58">
        <v>3106.5073671814484</v>
      </c>
      <c r="M14" s="58"/>
      <c r="N14" s="58"/>
      <c r="O14" s="58"/>
      <c r="DT14" s="139" t="s">
        <v>284</v>
      </c>
      <c r="EB14" s="33" t="s">
        <v>291</v>
      </c>
      <c r="ED14" s="33" t="s">
        <v>295</v>
      </c>
    </row>
    <row r="15" spans="1:134" s="34" customFormat="1" ht="15" customHeight="1" x14ac:dyDescent="0.25">
      <c r="A15" s="173" t="s">
        <v>18</v>
      </c>
      <c r="B15" s="110" t="s">
        <v>26</v>
      </c>
      <c r="C15" s="111" t="s">
        <v>25</v>
      </c>
      <c r="D15" s="112">
        <v>333.99657298009072</v>
      </c>
      <c r="E15" s="113">
        <v>365.63311496077591</v>
      </c>
      <c r="F15" s="113">
        <v>400.62638121033518</v>
      </c>
      <c r="G15" s="113">
        <v>428.16623995403631</v>
      </c>
      <c r="H15" s="113">
        <v>442.55900591865731</v>
      </c>
      <c r="I15" s="113">
        <v>445.87635244356471</v>
      </c>
      <c r="J15" s="113">
        <v>447.51632910261918</v>
      </c>
      <c r="K15" s="113">
        <v>447.17049479895559</v>
      </c>
      <c r="L15" s="113">
        <v>446.63914842926249</v>
      </c>
      <c r="M15" s="113"/>
      <c r="N15" s="113"/>
      <c r="O15" s="113"/>
      <c r="DT15" s="34" t="s">
        <v>285</v>
      </c>
      <c r="EB15" s="34" t="s">
        <v>291</v>
      </c>
      <c r="ED15" s="34" t="s">
        <v>295</v>
      </c>
    </row>
    <row r="16" spans="1:134" s="34" customFormat="1" ht="15" customHeight="1" x14ac:dyDescent="0.25">
      <c r="A16" s="173"/>
      <c r="B16" s="110" t="s">
        <v>27</v>
      </c>
      <c r="C16" s="111" t="s">
        <v>25</v>
      </c>
      <c r="D16" s="112">
        <v>2192.2264271417748</v>
      </c>
      <c r="E16" s="113">
        <v>2319.0147455165329</v>
      </c>
      <c r="F16" s="113">
        <v>2289.0533176080548</v>
      </c>
      <c r="G16" s="113">
        <v>2334.6175559121039</v>
      </c>
      <c r="H16" s="113">
        <v>2143.8088890824588</v>
      </c>
      <c r="I16" s="113">
        <v>2196.8016391294032</v>
      </c>
      <c r="J16" s="113">
        <v>2195.242868097359</v>
      </c>
      <c r="K16" s="113">
        <v>2131.609341216968</v>
      </c>
      <c r="L16" s="113">
        <v>2105.9026919199277</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185</v>
      </c>
      <c r="C18" s="111" t="s">
        <v>25</v>
      </c>
      <c r="D18" s="112">
        <v>158.32200166454129</v>
      </c>
      <c r="E18" s="113">
        <v>206.55790520752851</v>
      </c>
      <c r="F18" s="113">
        <v>281.84153967308458</v>
      </c>
      <c r="G18" s="113">
        <v>347.38408984792318</v>
      </c>
      <c r="H18" s="113">
        <v>408.57268653530349</v>
      </c>
      <c r="I18" s="113">
        <v>452.1740184749687</v>
      </c>
      <c r="J18" s="113">
        <v>493.36962707892587</v>
      </c>
      <c r="K18" s="113">
        <v>522.62668481856451</v>
      </c>
      <c r="L18" s="113">
        <v>553.96552683225821</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N23" sqref="N23"/>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9</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198.63326611987156</v>
      </c>
      <c r="E6" s="60">
        <v>211.26229449824226</v>
      </c>
      <c r="F6" s="60">
        <v>221.15877747438029</v>
      </c>
      <c r="G6" s="60">
        <v>230.86193542911519</v>
      </c>
      <c r="H6" s="60">
        <v>241.20521427289486</v>
      </c>
      <c r="I6" s="60">
        <v>245.02477771282048</v>
      </c>
      <c r="J6" s="60">
        <v>252.5722788508379</v>
      </c>
      <c r="K6" s="60">
        <v>258.07289699496681</v>
      </c>
      <c r="L6" s="60">
        <v>265.06484780095349</v>
      </c>
      <c r="M6" s="60"/>
      <c r="N6" s="60"/>
      <c r="O6" s="60"/>
      <c r="DS6" s="4" t="str">
        <f>VLOOKUP(Cover!$D$15, Country_list!$B$3:$C$44, 2, 0)</f>
        <v>SI</v>
      </c>
      <c r="DT6" s="33" t="s">
        <v>289</v>
      </c>
      <c r="DV6" s="33" t="s">
        <v>305</v>
      </c>
      <c r="EB6" s="33" t="s">
        <v>291</v>
      </c>
      <c r="ED6" s="33" t="s">
        <v>294</v>
      </c>
    </row>
    <row r="7" spans="1:134" ht="24" customHeight="1" x14ac:dyDescent="0.25">
      <c r="A7" s="174" t="s">
        <v>15</v>
      </c>
      <c r="B7" s="198"/>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198"/>
      <c r="C8" s="9" t="s">
        <v>17</v>
      </c>
      <c r="D8" s="61">
        <v>267.67966707124492</v>
      </c>
      <c r="E8" s="58">
        <v>301.07198579793499</v>
      </c>
      <c r="F8" s="58">
        <v>329.21018044218278</v>
      </c>
      <c r="G8" s="58">
        <v>355.60868483082527</v>
      </c>
      <c r="H8" s="58">
        <v>380.89824636067635</v>
      </c>
      <c r="I8" s="58">
        <v>369.35693757063945</v>
      </c>
      <c r="J8" s="58">
        <v>258.39791471185356</v>
      </c>
      <c r="K8" s="58">
        <v>256.28114727620203</v>
      </c>
      <c r="L8" s="58">
        <v>338.47632615185381</v>
      </c>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v>14.974524215478056</v>
      </c>
      <c r="E10" s="58">
        <v>14.186110975698936</v>
      </c>
      <c r="F10" s="58">
        <v>13.215224832468577</v>
      </c>
      <c r="G10" s="58">
        <v>12.264116248720844</v>
      </c>
      <c r="H10" s="58">
        <v>11.355280604654457</v>
      </c>
      <c r="I10" s="58">
        <v>11.01121286187011</v>
      </c>
      <c r="J10" s="58">
        <v>12.730541159651596</v>
      </c>
      <c r="K10" s="58">
        <v>12.381331280597079</v>
      </c>
      <c r="L10" s="58">
        <v>10.090604769672261</v>
      </c>
      <c r="M10" s="58"/>
      <c r="N10" s="58"/>
      <c r="O10" s="58"/>
      <c r="DT10" s="139" t="s">
        <v>280</v>
      </c>
      <c r="EB10" s="33" t="s">
        <v>292</v>
      </c>
      <c r="ED10" s="33" t="s">
        <v>293</v>
      </c>
    </row>
    <row r="11" spans="1:134" s="34" customFormat="1" ht="15" customHeight="1" x14ac:dyDescent="0.25">
      <c r="A11" s="173" t="s">
        <v>18</v>
      </c>
      <c r="B11" s="110" t="s">
        <v>21</v>
      </c>
      <c r="C11" s="111" t="s">
        <v>19</v>
      </c>
      <c r="D11" s="61">
        <v>14.974524215478056</v>
      </c>
      <c r="E11" s="58">
        <v>14.186110975698936</v>
      </c>
      <c r="F11" s="58">
        <v>13.215224832468577</v>
      </c>
      <c r="G11" s="58">
        <v>12.264116248720844</v>
      </c>
      <c r="H11" s="58">
        <v>11.355280604654457</v>
      </c>
      <c r="I11" s="58">
        <v>11.01121286187011</v>
      </c>
      <c r="J11" s="58">
        <v>12.730541159651596</v>
      </c>
      <c r="K11" s="58">
        <v>12.381331280597079</v>
      </c>
      <c r="L11" s="58">
        <v>10.090604769672261</v>
      </c>
      <c r="M11" s="58"/>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v>263.08010854129913</v>
      </c>
      <c r="E14" s="58">
        <v>260.08042558650402</v>
      </c>
      <c r="F14" s="58">
        <v>253.37225672458439</v>
      </c>
      <c r="G14" s="58">
        <v>246.8875033055067</v>
      </c>
      <c r="H14" s="58">
        <v>240.67265359719389</v>
      </c>
      <c r="I14" s="58">
        <v>232.48593681085299</v>
      </c>
      <c r="J14" s="58">
        <v>225.92159327210521</v>
      </c>
      <c r="K14" s="58">
        <v>220.19789689990259</v>
      </c>
      <c r="L14" s="58">
        <v>214.56401178437289</v>
      </c>
      <c r="M14" s="58"/>
      <c r="N14" s="58"/>
      <c r="O14" s="58"/>
      <c r="DT14" s="139" t="s">
        <v>284</v>
      </c>
      <c r="EB14" s="33" t="s">
        <v>291</v>
      </c>
      <c r="ED14" s="33" t="s">
        <v>295</v>
      </c>
    </row>
    <row r="15" spans="1:134" s="34" customFormat="1" ht="15" customHeight="1" x14ac:dyDescent="0.25">
      <c r="A15" s="204" t="s">
        <v>18</v>
      </c>
      <c r="B15" s="110" t="s">
        <v>26</v>
      </c>
      <c r="C15" s="111" t="s">
        <v>25</v>
      </c>
      <c r="D15" s="61"/>
      <c r="E15" s="58"/>
      <c r="F15" s="58"/>
      <c r="G15" s="58"/>
      <c r="H15" s="58"/>
      <c r="I15" s="58"/>
      <c r="J15" s="58"/>
      <c r="K15" s="58"/>
      <c r="L15" s="58"/>
      <c r="M15" s="113"/>
      <c r="N15" s="113"/>
      <c r="O15" s="113"/>
      <c r="DT15" s="34" t="s">
        <v>285</v>
      </c>
      <c r="EB15" s="34" t="s">
        <v>291</v>
      </c>
      <c r="ED15" s="34" t="s">
        <v>295</v>
      </c>
    </row>
    <row r="16" spans="1:134" s="34" customFormat="1" ht="15" customHeight="1" x14ac:dyDescent="0.25">
      <c r="A16" s="205"/>
      <c r="B16" s="110" t="s">
        <v>27</v>
      </c>
      <c r="C16" s="111" t="s">
        <v>25</v>
      </c>
      <c r="D16" s="61">
        <v>263.08010854129913</v>
      </c>
      <c r="E16" s="58">
        <v>260.08042558650402</v>
      </c>
      <c r="F16" s="58">
        <v>253.37225672458439</v>
      </c>
      <c r="G16" s="58">
        <v>246.8875033055067</v>
      </c>
      <c r="H16" s="58">
        <v>240.67265359719389</v>
      </c>
      <c r="I16" s="58">
        <v>232.48593681085299</v>
      </c>
      <c r="J16" s="58">
        <v>225.92159327210521</v>
      </c>
      <c r="K16" s="58">
        <v>220.19789689990259</v>
      </c>
      <c r="L16" s="58">
        <v>214.56401178437289</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M33" sqref="M33"/>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v>2049.1557384123439</v>
      </c>
      <c r="E6" s="63">
        <v>2041.1185144670048</v>
      </c>
      <c r="F6" s="63">
        <v>1971.2846217588772</v>
      </c>
      <c r="G6" s="63">
        <v>1999.1869928927301</v>
      </c>
      <c r="H6" s="63">
        <v>1911.2260688711749</v>
      </c>
      <c r="I6" s="63">
        <v>1949.265283587772</v>
      </c>
      <c r="J6" s="63">
        <v>1998.0786678925003</v>
      </c>
      <c r="K6" s="63">
        <v>2061.2767166382869</v>
      </c>
      <c r="L6" s="63">
        <v>2127.7289946097526</v>
      </c>
      <c r="M6" s="63"/>
      <c r="N6" s="63"/>
      <c r="O6" s="63"/>
      <c r="DS6" s="4" t="str">
        <f>VLOOKUP(Cover!$D$15, Country_list!$B$3:$C$44, 2, 0)</f>
        <v>SI</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209"/>
      <c r="C6" s="8" t="s">
        <v>14</v>
      </c>
      <c r="D6" s="59"/>
      <c r="E6" s="60"/>
      <c r="F6" s="60"/>
      <c r="G6" s="60"/>
      <c r="H6" s="60"/>
      <c r="I6" s="60"/>
      <c r="J6" s="60"/>
      <c r="K6" s="60"/>
      <c r="L6" s="60"/>
      <c r="M6" s="60"/>
      <c r="N6" s="60"/>
      <c r="O6" s="60"/>
      <c r="DS6" s="4" t="str">
        <f>VLOOKUP(Cover!$D$15, Country_list!$B$3:$C$44, 2, 0)</f>
        <v>SI</v>
      </c>
      <c r="DT6" s="33" t="s">
        <v>289</v>
      </c>
      <c r="DV6" s="33" t="s">
        <v>307</v>
      </c>
      <c r="EB6" s="33" t="s">
        <v>291</v>
      </c>
      <c r="ED6" s="33" t="s">
        <v>294</v>
      </c>
    </row>
    <row r="7" spans="1:134" ht="24" customHeight="1" x14ac:dyDescent="0.25">
      <c r="A7" s="174"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B51" sqref="B51"/>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2020-01-30T14:26:01Z</dcterms:modified>
  <cp:category>Annual questionnaires</cp:category>
</cp:coreProperties>
</file>