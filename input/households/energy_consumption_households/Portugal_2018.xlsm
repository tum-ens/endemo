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U:\Energy\Data\ESH\2018-ref_year\received data\FINAL DATA\"/>
    </mc:Choice>
  </mc:AlternateContent>
  <bookViews>
    <workbookView xWindow="480" yWindow="435" windowWidth="20580" windowHeight="11640" tabRatio="872"/>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_xlnm.Print_Area" localSheetId="5">'1a_SpaceHeating'!$A$1:$K$18</definedName>
    <definedName name="_xlnm.Print_Area" localSheetId="6">'1b_SpaceCooling'!$A$1:$K$6</definedName>
    <definedName name="_xlnm.Print_Area" localSheetId="7">'1c_WaterHeating'!$A$1:$K$18</definedName>
    <definedName name="_xlnm.Print_Area" localSheetId="8">'1d_Cooking'!$A$1:$K$17</definedName>
    <definedName name="_xlnm.Print_Area" localSheetId="9">'1e_LightingAndAppliances'!$A$1:$K$6</definedName>
    <definedName name="_xlnm.Print_Area" localSheetId="10">'1f_OtherEndUses'!$A$1:$K$17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62913" iterate="1"/>
  <customWorkbookViews>
    <customWorkbookView name="FETIE Cristian (ESTAT) - Personal View" guid="{B79E7212-8DD5-488D-8E68-A79B69F231E2}" mergeInterval="0" personalView="1" maximized="1" windowWidth="1916" windowHeight="775" tabRatio="853" activeSheetId="9"/>
  </customWorkbookViews>
</workbook>
</file>

<file path=xl/calcChain.xml><?xml version="1.0" encoding="utf-8"?>
<calcChain xmlns="http://schemas.openxmlformats.org/spreadsheetml/2006/main">
  <c r="DS6" i="7" l="1"/>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G17" i="5"/>
  <c r="J17" i="5"/>
  <c r="E17" i="5"/>
  <c r="H17" i="5"/>
  <c r="E17" i="15" l="1"/>
  <c r="H17" i="15"/>
  <c r="G17" i="15"/>
  <c r="J17" i="15"/>
  <c r="D17" i="5"/>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1" i="5"/>
  <c r="K12" i="5"/>
  <c r="K13"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J9" i="5"/>
  <c r="G6" i="5"/>
  <c r="J15" i="5"/>
  <c r="H6" i="5"/>
  <c r="J14" i="5"/>
  <c r="G11" i="5"/>
  <c r="G12" i="5"/>
  <c r="E12" i="5"/>
  <c r="J12" i="5"/>
  <c r="G16" i="5"/>
  <c r="E14" i="5"/>
  <c r="J8" i="5"/>
  <c r="H7" i="5"/>
  <c r="H16" i="5"/>
  <c r="E6" i="5"/>
  <c r="H13" i="5"/>
  <c r="E7" i="5"/>
  <c r="G10" i="5"/>
  <c r="H11" i="5"/>
  <c r="G13" i="5"/>
  <c r="E11" i="5"/>
  <c r="I6" i="5"/>
  <c r="G7" i="5"/>
  <c r="H8" i="5"/>
  <c r="E18" i="5"/>
  <c r="J16" i="5"/>
  <c r="F6" i="5"/>
  <c r="H15" i="5"/>
  <c r="J18" i="5"/>
  <c r="G18" i="5"/>
  <c r="K9" i="5"/>
  <c r="J11" i="5"/>
  <c r="E8" i="5"/>
  <c r="H14" i="5"/>
  <c r="E9" i="5"/>
  <c r="G8" i="5"/>
  <c r="J7" i="5"/>
  <c r="G14" i="5"/>
  <c r="E13" i="5"/>
  <c r="H18" i="5"/>
  <c r="E16" i="5"/>
  <c r="J13" i="5"/>
  <c r="J6" i="5"/>
  <c r="G15" i="5"/>
  <c r="E15" i="5"/>
  <c r="H10" i="5"/>
  <c r="H12" i="5"/>
  <c r="G9" i="5"/>
  <c r="J10" i="5"/>
  <c r="H9" i="5"/>
  <c r="G10" i="15" l="1"/>
  <c r="E11" i="15"/>
  <c r="K9" i="15"/>
  <c r="J13" i="15"/>
  <c r="J10" i="15"/>
  <c r="J11" i="15"/>
  <c r="J12" i="15"/>
  <c r="H11" i="15"/>
  <c r="H13" i="15"/>
  <c r="H12" i="15"/>
  <c r="G13" i="15"/>
  <c r="H10" i="15"/>
  <c r="G11" i="15"/>
  <c r="G12" i="15"/>
  <c r="E12" i="15"/>
  <c r="E13" i="15"/>
  <c r="E9" i="15"/>
  <c r="J9" i="15"/>
  <c r="H9" i="15"/>
  <c r="G9" i="15"/>
  <c r="E14" i="15"/>
  <c r="H14" i="15"/>
  <c r="G14" i="15"/>
  <c r="J14" i="15"/>
  <c r="J18" i="15"/>
  <c r="J16" i="15"/>
  <c r="J15" i="15"/>
  <c r="H15" i="15"/>
  <c r="G16" i="15"/>
  <c r="H18" i="15"/>
  <c r="G15" i="15"/>
  <c r="G18" i="15"/>
  <c r="H16" i="15"/>
  <c r="E16" i="15"/>
  <c r="E18" i="15"/>
  <c r="E15" i="15"/>
  <c r="K10" i="15"/>
  <c r="J8" i="15"/>
  <c r="H8" i="15"/>
  <c r="G8" i="15"/>
  <c r="E8" i="15"/>
  <c r="J7" i="15"/>
  <c r="G7" i="15"/>
  <c r="H7" i="15"/>
  <c r="E7" i="15"/>
  <c r="G6" i="15"/>
  <c r="H6" i="15"/>
  <c r="I6" i="15"/>
  <c r="I19" i="15" s="1"/>
  <c r="J6" i="15"/>
  <c r="F6" i="15"/>
  <c r="E6" i="15"/>
  <c r="D12" i="5"/>
  <c r="D9" i="5"/>
  <c r="D13" i="5"/>
  <c r="D15" i="5"/>
  <c r="D18" i="5"/>
  <c r="D7" i="5"/>
  <c r="D8" i="5"/>
  <c r="D10" i="5"/>
  <c r="D16" i="5"/>
  <c r="D6" i="5"/>
  <c r="D11" i="5"/>
  <c r="D14" i="5"/>
  <c r="D11" i="15" l="1"/>
  <c r="D13" i="15"/>
  <c r="D12" i="15"/>
  <c r="D10" i="15"/>
  <c r="D18" i="15"/>
  <c r="D15" i="15"/>
  <c r="D16" i="15"/>
  <c r="D14" i="15"/>
  <c r="F19" i="15"/>
  <c r="F20" i="15" s="1"/>
  <c r="G19" i="15"/>
  <c r="G20" i="15" s="1"/>
  <c r="D9" i="15"/>
  <c r="J19" i="15"/>
  <c r="J20" i="15" s="1"/>
  <c r="H19" i="15"/>
  <c r="H20" i="15" s="1"/>
  <c r="E19" i="15"/>
  <c r="D8" i="15"/>
  <c r="D7" i="15"/>
  <c r="D6" i="15"/>
  <c r="D19" i="15" l="1"/>
  <c r="D20" i="15" s="1"/>
  <c r="E20" i="15"/>
</calcChain>
</file>

<file path=xl/comments1.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<sst xmlns="http://schemas.openxmlformats.org/spreadsheetml/2006/main" count="952" uniqueCount="315">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</sst>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b/>
      <sz val="12"/>
      <color rgb="FF000000"/>
      <name val="Calibri"/>
      <family val="2"/>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b/>
      <i/>
      <sz val="11"/>
      <color rgb="FF000000"/>
      <name val="Calibri"/>
      <family val="2"/>
    </font>
    <font>
      <sz val="11"/>
      <color theme="1"/>
      <name val="Calibri"/>
      <family val="2"/>
      <scheme val="minor"/>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9" fillId="0" borderId="0"/>
  </cellStyleXfs>
  <cellXfs count="217">
    <xf numFmtId="0" fontId="0" fillId="0" borderId="0" xfId="0"/>
    <xf numFmtId="0" fontId="21" fillId="0" borderId="0" xfId="0" applyFont="1" applyBorder="1" applyAlignment="1">
      <alignment horizontal="left" vertical="center"/>
    </xf>
    <xf numFmtId="0" fontId="19" fillId="0" borderId="0" xfId="0" applyFont="1" applyBorder="1" applyAlignment="1">
      <alignment horizontal="center" vertical="center"/>
    </xf>
    <xf numFmtId="0" fontId="22" fillId="0" borderId="0" xfId="0" applyFont="1" applyBorder="1" applyAlignment="1">
      <alignment horizontal="center" vertical="center"/>
    </xf>
    <xf numFmtId="0" fontId="19" fillId="0" borderId="0" xfId="0" applyFont="1" applyBorder="1"/>
    <xf numFmtId="0" fontId="22" fillId="0" borderId="0" xfId="0" applyFont="1" applyBorder="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ont="1" applyFill="1" applyBorder="1" applyAlignment="1" applyProtection="1">
      <alignment horizontal="right" vertical="center"/>
      <protection hidden="1"/>
    </xf>
    <xf numFmtId="164" fontId="19" fillId="4" borderId="3" xfId="8" applyFont="1"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applyBorder="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Border="1" applyAlignment="1" applyProtection="1">
      <alignment horizontal="center" vertical="center"/>
      <protection hidden="1"/>
    </xf>
    <xf numFmtId="0" fontId="0" fillId="4" borderId="0" xfId="0" applyFill="1"/>
    <xf numFmtId="0" fontId="23" fillId="0" borderId="0" xfId="0" applyFont="1" applyBorder="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Border="1" applyAlignment="1" applyProtection="1">
      <alignment vertical="center"/>
      <protection hidden="1"/>
    </xf>
    <xf numFmtId="0" fontId="26" fillId="4" borderId="0" xfId="0" applyFont="1" applyFill="1" applyBorder="1" applyAlignment="1" applyProtection="1">
      <alignment vertical="center"/>
      <protection hidden="1"/>
    </xf>
    <xf numFmtId="0" fontId="27" fillId="4" borderId="0" xfId="1" applyFont="1" applyFill="1" applyBorder="1" applyAlignment="1" applyProtection="1">
      <alignment vertical="center"/>
      <protection hidden="1"/>
    </xf>
    <xf numFmtId="0" fontId="28" fillId="4" borderId="0" xfId="0" applyFont="1" applyFill="1" applyBorder="1" applyAlignment="1" applyProtection="1">
      <alignment horizontal="left" vertical="center"/>
      <protection hidden="1"/>
    </xf>
    <xf numFmtId="0" fontId="29" fillId="4" borderId="0" xfId="0" applyFont="1" applyFill="1" applyBorder="1" applyAlignment="1" applyProtection="1">
      <alignment horizontal="right" vertical="center"/>
      <protection hidden="1"/>
    </xf>
    <xf numFmtId="0" fontId="29"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wrapText="1"/>
      <protection hidden="1"/>
    </xf>
    <xf numFmtId="0" fontId="23" fillId="0" borderId="0" xfId="0" applyFont="1" applyBorder="1" applyAlignment="1">
      <alignment horizontal="left" vertical="center"/>
    </xf>
    <xf numFmtId="164" fontId="19" fillId="4" borderId="5" xfId="8" applyFont="1" applyFill="1" applyBorder="1" applyAlignment="1" applyProtection="1">
      <alignment horizontal="right" vertical="center"/>
      <protection hidden="1"/>
    </xf>
    <xf numFmtId="0" fontId="19" fillId="0" borderId="0" xfId="0" applyFont="1" applyBorder="1" applyAlignment="1">
      <alignment vertical="center"/>
    </xf>
    <xf numFmtId="0" fontId="22" fillId="0" borderId="0" xfId="0" applyFont="1" applyBorder="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Border="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ont="1"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ont="1"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0" fillId="4" borderId="0" xfId="0" applyFill="1" applyBorder="1"/>
    <xf numFmtId="0" fontId="11" fillId="4" borderId="0" xfId="1" applyFont="1" applyFill="1" applyBorder="1" applyAlignment="1" applyProtection="1">
      <alignment horizontal="right" vertical="center"/>
      <protection hidden="1"/>
    </xf>
    <xf numFmtId="0" fontId="0" fillId="4" borderId="0" xfId="0" applyFill="1" applyBorder="1" applyAlignment="1">
      <alignment vertical="center"/>
    </xf>
    <xf numFmtId="0" fontId="12" fillId="4" borderId="0" xfId="1" applyFont="1" applyFill="1" applyBorder="1" applyAlignment="1" applyProtection="1">
      <alignment horizontal="left" vertical="center" wrapText="1"/>
      <protection hidden="1"/>
    </xf>
    <xf numFmtId="0" fontId="12" fillId="4" borderId="0" xfId="1" applyFont="1" applyFill="1" applyBorder="1" applyAlignment="1" applyProtection="1">
      <alignment vertical="center"/>
      <protection hidden="1"/>
    </xf>
    <xf numFmtId="0" fontId="12" fillId="4" borderId="0" xfId="1" quotePrefix="1" applyFont="1" applyFill="1" applyBorder="1" applyAlignment="1" applyProtection="1">
      <alignment vertical="center"/>
      <protection hidden="1"/>
    </xf>
    <xf numFmtId="0" fontId="25" fillId="5" borderId="11" xfId="0" applyFont="1" applyFill="1" applyBorder="1" applyAlignment="1" applyProtection="1">
      <alignment vertical="center"/>
      <protection hidden="1"/>
    </xf>
    <xf numFmtId="0" fontId="19" fillId="0" borderId="0" xfId="0" applyFont="1" applyBorder="1" applyAlignment="1">
      <alignment vertical="center"/>
    </xf>
    <xf numFmtId="165" fontId="2" fillId="4" borderId="3" xfId="7" applyNumberFormat="1" applyFont="1" applyFill="1" applyBorder="1" applyAlignment="1" applyProtection="1">
      <alignment horizontal="right" vertical="center"/>
    </xf>
    <xf numFmtId="165" fontId="19" fillId="4" borderId="2" xfId="8" applyNumberFormat="1" applyFont="1" applyFill="1" applyBorder="1" applyAlignment="1" applyProtection="1">
      <alignment horizontal="right" vertical="center"/>
    </xf>
    <xf numFmtId="165" fontId="2" fillId="4" borderId="2" xfId="7" applyNumberFormat="1" applyFont="1" applyFill="1" applyBorder="1" applyAlignment="1" applyProtection="1">
      <alignment horizontal="right" vertical="center"/>
    </xf>
    <xf numFmtId="165" fontId="19" fillId="4" borderId="3" xfId="8" applyNumberFormat="1" applyFont="1" applyFill="1" applyBorder="1" applyAlignment="1" applyProtection="1">
      <alignment horizontal="right" vertical="center"/>
    </xf>
    <xf numFmtId="165" fontId="19" fillId="4" borderId="5" xfId="8" applyNumberFormat="1" applyFont="1" applyFill="1" applyBorder="1" applyAlignment="1" applyProtection="1">
      <alignment horizontal="right" vertical="center"/>
    </xf>
    <xf numFmtId="165" fontId="2" fillId="4" borderId="5" xfId="7" applyNumberFormat="1" applyFont="1" applyFill="1" applyBorder="1" applyAlignment="1" applyProtection="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0" fontId="19" fillId="0" borderId="0" xfId="0" applyFont="1" applyBorder="1" applyAlignment="1">
      <alignment vertical="center"/>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pplyProtection="1">
      <alignment horizontal="right" vertical="center"/>
    </xf>
    <xf numFmtId="0" fontId="0" fillId="0" borderId="20" xfId="0"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0" fillId="0" borderId="0" xfId="0" applyAlignment="1">
      <alignment horizontal="center"/>
    </xf>
    <xf numFmtId="0" fontId="42" fillId="0" borderId="4" xfId="0" applyFont="1" applyBorder="1" applyAlignment="1">
      <alignment vertical="center"/>
    </xf>
    <xf numFmtId="0" fontId="43" fillId="0" borderId="4" xfId="0" applyFont="1" applyBorder="1" applyAlignment="1">
      <alignment vertical="center"/>
    </xf>
    <xf numFmtId="165" fontId="21" fillId="0" borderId="0" xfId="0" applyNumberFormat="1" applyFont="1" applyBorder="1" applyAlignment="1">
      <alignment vertical="center"/>
    </xf>
    <xf numFmtId="0" fontId="45" fillId="0" borderId="0" xfId="0" applyFont="1"/>
    <xf numFmtId="0" fontId="46" fillId="0" borderId="0" xfId="0" applyFont="1" applyAlignment="1">
      <alignment horizontal="center"/>
    </xf>
    <xf numFmtId="0" fontId="34" fillId="0" borderId="0" xfId="0" applyFont="1"/>
    <xf numFmtId="0" fontId="47" fillId="0" borderId="0" xfId="0" applyFont="1"/>
    <xf numFmtId="0" fontId="37" fillId="0" borderId="0" xfId="0" applyFont="1" applyAlignment="1">
      <alignment horizontal="center"/>
    </xf>
    <xf numFmtId="164" fontId="19" fillId="7" borderId="2" xfId="8" applyFont="1" applyFill="1" applyBorder="1" applyAlignment="1" applyProtection="1">
      <alignment horizontal="right" vertical="center"/>
      <protection hidden="1"/>
    </xf>
    <xf numFmtId="164" fontId="19" fillId="7" borderId="3" xfId="8" applyFont="1"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pplyProtection="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165" fontId="21" fillId="7" borderId="2" xfId="8" applyNumberFormat="1" applyFont="1" applyFill="1" applyBorder="1" applyAlignment="1" applyProtection="1">
      <alignment horizontal="right" vertical="center"/>
    </xf>
    <xf numFmtId="165" fontId="2" fillId="7" borderId="2" xfId="7" applyNumberFormat="1" applyFont="1" applyFill="1" applyBorder="1" applyAlignment="1" applyProtection="1">
      <alignment horizontal="right" vertical="center"/>
    </xf>
    <xf numFmtId="3" fontId="2" fillId="6" borderId="2" xfId="7" applyNumberFormat="1" applyFont="1" applyFill="1" applyBorder="1" applyAlignment="1" applyProtection="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ont="1" applyFill="1" applyBorder="1" applyAlignment="1" applyProtection="1">
      <alignment horizontal="right" vertical="center"/>
    </xf>
    <xf numFmtId="3" fontId="2" fillId="6" borderId="3" xfId="7" applyNumberFormat="1" applyFont="1" applyFill="1" applyBorder="1" applyAlignment="1" applyProtection="1">
      <alignment horizontal="right" vertical="center"/>
    </xf>
    <xf numFmtId="3" fontId="44" fillId="7" borderId="3" xfId="7" applyNumberFormat="1" applyFont="1" applyFill="1" applyBorder="1" applyAlignment="1" applyProtection="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pplyProtection="1">
      <alignment horizontal="right" vertical="center"/>
    </xf>
    <xf numFmtId="3" fontId="8" fillId="6" borderId="3" xfId="7" applyNumberFormat="1" applyFont="1" applyFill="1" applyBorder="1" applyAlignment="1" applyProtection="1">
      <alignment horizontal="right" vertical="center"/>
    </xf>
    <xf numFmtId="3" fontId="8" fillId="5" borderId="3" xfId="7" applyNumberFormat="1" applyFont="1" applyFill="1" applyBorder="1" applyAlignment="1" applyProtection="1">
      <alignment horizontal="right" vertical="center"/>
    </xf>
    <xf numFmtId="0" fontId="33" fillId="5" borderId="16" xfId="0" applyFont="1" applyFill="1" applyBorder="1" applyAlignment="1" applyProtection="1">
      <alignment horizontal="right" vertical="top"/>
      <protection hidden="1"/>
    </xf>
    <xf numFmtId="164" fontId="19" fillId="9" borderId="3" xfId="8" applyFont="1" applyFill="1" applyBorder="1" applyAlignment="1" applyProtection="1">
      <alignment horizontal="right" vertical="center"/>
      <protection hidden="1"/>
    </xf>
    <xf numFmtId="165" fontId="19" fillId="9" borderId="3" xfId="8" applyNumberFormat="1" applyFont="1" applyFill="1" applyBorder="1" applyAlignment="1" applyProtection="1">
      <alignment horizontal="right" vertical="center"/>
    </xf>
    <xf numFmtId="165" fontId="2" fillId="9" borderId="3" xfId="7" applyNumberFormat="1" applyFont="1" applyFill="1" applyBorder="1" applyAlignment="1" applyProtection="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5" fillId="12" borderId="27" xfId="10" applyFont="1" applyFill="1" applyBorder="1"/>
    <xf numFmtId="0" fontId="5" fillId="0" borderId="0" xfId="10"/>
    <xf numFmtId="0" fontId="5" fillId="0" borderId="27" xfId="10" applyBorder="1"/>
    <xf numFmtId="0" fontId="5" fillId="0" borderId="27" xfId="10" applyFont="1" applyBorder="1"/>
    <xf numFmtId="0" fontId="49" fillId="12" borderId="27" xfId="11" applyFill="1" applyBorder="1"/>
    <xf numFmtId="0" fontId="49" fillId="0" borderId="27" xfId="11" applyFill="1" applyBorder="1"/>
    <xf numFmtId="0" fontId="49" fillId="0" borderId="27" xfId="11" applyFont="1" applyFill="1" applyBorder="1"/>
    <xf numFmtId="0" fontId="49" fillId="12" borderId="27" xfId="11" applyFont="1" applyFill="1" applyBorder="1"/>
    <xf numFmtId="49" fontId="49" fillId="0" borderId="27" xfId="11" applyNumberFormat="1" applyFont="1" applyFill="1" applyBorder="1" applyAlignment="1">
      <alignment horizontal="center" vertical="center"/>
    </xf>
    <xf numFmtId="0" fontId="49" fillId="0" borderId="27" xfId="11" applyFill="1" applyBorder="1" applyAlignment="1">
      <alignment horizontal="center" vertical="center"/>
    </xf>
    <xf numFmtId="0" fontId="5" fillId="12" borderId="27" xfId="10" applyFill="1" applyBorder="1"/>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Fill="1" applyBorder="1" applyAlignment="1">
      <alignment horizontal="center" vertical="center"/>
    </xf>
    <xf numFmtId="0" fontId="0" fillId="0" borderId="27" xfId="11" applyFont="1" applyFill="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pplyProtection="1">
      <alignment horizontal="left" vertical="center" wrapText="1"/>
      <protection hidden="1"/>
    </xf>
    <xf numFmtId="0" fontId="26" fillId="4" borderId="0" xfId="0" applyFont="1" applyFill="1" applyBorder="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49" fontId="26" fillId="5" borderId="21" xfId="0" quotePrefix="1" applyNumberFormat="1" applyFon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Alignment="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0" fontId="23" fillId="0" borderId="0" xfId="0" applyFont="1" applyBorder="1" applyAlignment="1">
      <alignment horizontal="left" vertical="center" wrapText="1"/>
    </xf>
    <xf numFmtId="0" fontId="38" fillId="0" borderId="0" xfId="0" applyFont="1" applyAlignment="1">
      <alignment wrapText="1"/>
    </xf>
    <xf numFmtId="0" fontId="19" fillId="0" borderId="0" xfId="0" applyFont="1" applyBorder="1" applyAlignment="1">
      <alignment horizontal="left" vertical="center"/>
    </xf>
    <xf numFmtId="0" fontId="0" fillId="0" borderId="0" xfId="0" applyAlignment="1"/>
    <xf numFmtId="0" fontId="39" fillId="0" borderId="0" xfId="0" applyFont="1" applyBorder="1" applyAlignment="1">
      <alignment horizontal="left" vertical="center"/>
    </xf>
    <xf numFmtId="0" fontId="36" fillId="0" borderId="0" xfId="0" applyFont="1" applyAlignment="1"/>
    <xf numFmtId="0" fontId="19" fillId="0" borderId="0" xfId="0" applyFont="1" applyBorder="1" applyAlignment="1"/>
    <xf numFmtId="0" fontId="23" fillId="3" borderId="4" xfId="0" applyFont="1" applyFill="1" applyBorder="1" applyAlignment="1">
      <alignment horizontal="center" vertical="center" wrapText="1"/>
    </xf>
    <xf numFmtId="0" fontId="20" fillId="0" borderId="4" xfId="0" applyFont="1" applyBorder="1" applyAlignment="1"/>
    <xf numFmtId="164" fontId="19" fillId="4" borderId="2" xfId="8" applyFont="1" applyFill="1" applyBorder="1" applyAlignment="1" applyProtection="1">
      <alignment horizontal="left" vertical="center"/>
      <protection hidden="1"/>
    </xf>
    <xf numFmtId="0" fontId="19" fillId="0" borderId="2" xfId="0" applyFont="1" applyBorder="1" applyAlignment="1"/>
    <xf numFmtId="0" fontId="22" fillId="8" borderId="3" xfId="0" applyFont="1" applyFill="1" applyBorder="1" applyAlignment="1">
      <alignment vertical="top"/>
    </xf>
    <xf numFmtId="164" fontId="19" fillId="4" borderId="3" xfId="8" applyFont="1" applyFill="1" applyBorder="1" applyAlignment="1" applyProtection="1">
      <alignment horizontal="left" vertical="center"/>
      <protection hidden="1"/>
    </xf>
    <xf numFmtId="0" fontId="19" fillId="0" borderId="3" xfId="0" applyFont="1" applyBorder="1" applyAlignment="1"/>
    <xf numFmtId="0" fontId="22" fillId="5" borderId="3" xfId="0" applyFont="1" applyFill="1" applyBorder="1" applyAlignment="1">
      <alignment vertical="top"/>
    </xf>
    <xf numFmtId="164" fontId="19" fillId="7" borderId="3" xfId="8" applyFont="1" applyFill="1" applyBorder="1" applyAlignment="1" applyProtection="1">
      <alignment horizontal="left" vertical="center"/>
      <protection hidden="1"/>
    </xf>
    <xf numFmtId="0" fontId="19" fillId="7" borderId="3" xfId="0" applyFont="1" applyFill="1" applyBorder="1" applyAlignment="1">
      <alignment vertical="center"/>
    </xf>
    <xf numFmtId="164" fontId="19" fillId="7" borderId="2" xfId="8" applyFont="1"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Border="1" applyAlignment="1">
      <alignment horizontal="right" vertical="center"/>
    </xf>
    <xf numFmtId="0" fontId="0" fillId="0" borderId="0" xfId="0" applyAlignment="1">
      <alignment horizontal="right" vertical="center"/>
    </xf>
    <xf numFmtId="0" fontId="0" fillId="0" borderId="13" xfId="0" applyFont="1" applyBorder="1" applyAlignment="1">
      <alignment horizontal="right" vertical="center"/>
    </xf>
    <xf numFmtId="0" fontId="19" fillId="0" borderId="0" xfId="0" applyFont="1" applyBorder="1" applyAlignment="1">
      <alignment vertical="center"/>
    </xf>
    <xf numFmtId="0" fontId="0" fillId="0" borderId="0" xfId="0" applyAlignment="1">
      <alignment vertical="center"/>
    </xf>
    <xf numFmtId="0" fontId="20" fillId="0" borderId="4"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164" fontId="19" fillId="9" borderId="3" xfId="8" applyFont="1"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Border="1" applyAlignment="1">
      <alignment vertical="top"/>
    </xf>
    <xf numFmtId="0" fontId="22" fillId="8" borderId="29" xfId="0" applyFont="1" applyFill="1" applyBorder="1" applyAlignment="1">
      <alignment vertical="top"/>
    </xf>
    <xf numFmtId="164" fontId="19" fillId="4" borderId="5" xfId="8" applyFont="1"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cellStyle name="Hyperlink" xfId="2" builtinId="8"/>
    <cellStyle name="Normal" xfId="0" builtinId="0"/>
    <cellStyle name="Normal 10 2" xfId="10"/>
    <cellStyle name="Normal 10 2 2 5" xfId="11"/>
    <cellStyle name="Normal 2" xfId="3"/>
    <cellStyle name="Normal 2 2" xfId="4"/>
    <cellStyle name="Normal 3" xfId="5"/>
    <cellStyle name="Normal 4" xfId="6"/>
    <cellStyle name="Normal_Oilques" xfId="7"/>
    <cellStyle name="NumberCellStyle" xfId="8"/>
    <cellStyle name="Year" xfId="9"/>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123825</xdr:rowOff>
        </xdr:from>
        <xdr:to>
          <xdr:col>1</xdr:col>
          <xdr:colOff>1924050</xdr:colOff>
          <xdr:row>31</xdr:row>
          <xdr:rowOff>114300</xdr:rowOff>
        </xdr:to>
        <xdr:sp macro="" textlink="">
          <xdr:nvSpPr>
            <xdr:cNvPr id="3174" name="Button 102" hidden="1">
              <a:extLst>
                <a:ext uri="{63B3BB69-23CF-44E3-9099-C40C66FF867C}">
                  <a14:compatExt spid="_x0000_s31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142875</xdr:rowOff>
        </xdr:from>
        <xdr:to>
          <xdr:col>3</xdr:col>
          <xdr:colOff>1943100</xdr:colOff>
          <xdr:row>28</xdr:row>
          <xdr:rowOff>114300</xdr:rowOff>
        </xdr:to>
        <xdr:sp macro="" textlink="">
          <xdr:nvSpPr>
            <xdr:cNvPr id="3176" name="Button 104" hidden="1">
              <a:extLst>
                <a:ext uri="{63B3BB69-23CF-44E3-9099-C40C66FF867C}">
                  <a14:compatExt spid="_x0000_s31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123825</xdr:rowOff>
        </xdr:from>
        <xdr:to>
          <xdr:col>3</xdr:col>
          <xdr:colOff>1943100</xdr:colOff>
          <xdr:row>31</xdr:row>
          <xdr:rowOff>95250</xdr:rowOff>
        </xdr:to>
        <xdr:sp macro="" textlink="">
          <xdr:nvSpPr>
            <xdr:cNvPr id="3179" name="Button 107" hidden="1">
              <a:extLst>
                <a:ext uri="{63B3BB69-23CF-44E3-9099-C40C66FF867C}">
                  <a14:compatExt spid="_x0000_s31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123825</xdr:rowOff>
        </xdr:from>
        <xdr:to>
          <xdr:col>2</xdr:col>
          <xdr:colOff>1933575</xdr:colOff>
          <xdr:row>34</xdr:row>
          <xdr:rowOff>104775</xdr:rowOff>
        </xdr:to>
        <xdr:sp macro="" textlink="">
          <xdr:nvSpPr>
            <xdr:cNvPr id="3180" name="Button 108" hidden="1">
              <a:extLst>
                <a:ext uri="{63B3BB69-23CF-44E3-9099-C40C66FF867C}">
                  <a14:compatExt spid="_x0000_s31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9525</xdr:rowOff>
        </xdr:from>
        <xdr:to>
          <xdr:col>3</xdr:col>
          <xdr:colOff>1943100</xdr:colOff>
          <xdr:row>25</xdr:row>
          <xdr:rowOff>133350</xdr:rowOff>
        </xdr:to>
        <xdr:sp macro="" textlink="">
          <xdr:nvSpPr>
            <xdr:cNvPr id="3182" name="Button 110" hidden="1">
              <a:extLst>
                <a:ext uri="{63B3BB69-23CF-44E3-9099-C40C66FF867C}">
                  <a14:compatExt spid="_x0000_s31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123825</xdr:rowOff>
        </xdr:from>
        <xdr:to>
          <xdr:col>2</xdr:col>
          <xdr:colOff>1924050</xdr:colOff>
          <xdr:row>31</xdr:row>
          <xdr:rowOff>95250</xdr:rowOff>
        </xdr:to>
        <xdr:sp macro="" textlink="">
          <xdr:nvSpPr>
            <xdr:cNvPr id="3185" name="Button 113" hidden="1">
              <a:extLst>
                <a:ext uri="{63B3BB69-23CF-44E3-9099-C40C66FF867C}">
                  <a14:compatExt spid="_x0000_s31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32</xdr:row>
          <xdr:rowOff>66675</xdr:rowOff>
        </xdr:from>
        <xdr:to>
          <xdr:col>1</xdr:col>
          <xdr:colOff>1924050</xdr:colOff>
          <xdr:row>34</xdr:row>
          <xdr:rowOff>133350</xdr:rowOff>
        </xdr:to>
        <xdr:sp macro="" textlink="">
          <xdr:nvSpPr>
            <xdr:cNvPr id="3192" name="START" hidden="1">
              <a:extLst>
                <a:ext uri="{63B3BB69-23CF-44E3-9099-C40C66FF867C}">
                  <a14:compatExt spid="_x0000_s31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fetiecr/AppData/Local/Microsoft/Windows/Temporary%20Internet%20Files/Content.Outlook/8Z67Y9C3/Copy%20of%20EnergyEfficiencyIndicators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7">
          <cell r="AA7" t="str">
            <v>EXPLANATORY NOTES</v>
          </cell>
          <cell r="AB7" t="str">
            <v>NOTES EXPLICATIVES</v>
          </cell>
          <cell r="AC7" t="str">
            <v>ПОЯСНИТЕЛЬНЫЕ ЗАМЕТКИ</v>
          </cell>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8">
          <cell r="AA38" t="str">
            <v>Data entry menu:</v>
          </cell>
          <cell r="AB38" t="str">
            <v>Menu d'entrée de données :</v>
          </cell>
          <cell r="AC38" t="str">
            <v>Меню ввода данных:</v>
          </cell>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P112" t="str">
            <v>Australia</v>
          </cell>
          <cell r="Q112" t="str">
            <v>Australie</v>
          </cell>
          <cell r="R112" t="str">
            <v>Australia</v>
          </cell>
        </row>
        <row r="113">
          <cell r="D113">
            <v>2020</v>
          </cell>
          <cell r="G113" t="str">
            <v>France</v>
          </cell>
          <cell r="K113" t="str">
            <v>Autriche</v>
          </cell>
          <cell r="L113" t="str">
            <v>AUSTRIA</v>
          </cell>
          <cell r="M113" t="str">
            <v>AT</v>
          </cell>
          <cell r="P113" t="str">
            <v>Austria</v>
          </cell>
          <cell r="Q113" t="str">
            <v>Autriche</v>
          </cell>
          <cell r="R113" t="str">
            <v>Austria</v>
          </cell>
        </row>
        <row r="114">
          <cell r="D114">
            <v>2019</v>
          </cell>
          <cell r="K114" t="str">
            <v>Belgique</v>
          </cell>
          <cell r="L114" t="str">
            <v>BELGIUM</v>
          </cell>
          <cell r="M114" t="str">
            <v>BE</v>
          </cell>
          <cell r="P114" t="str">
            <v>Belgium</v>
          </cell>
          <cell r="Q114" t="str">
            <v>Belgique</v>
          </cell>
          <cell r="R114" t="str">
            <v>Belgium</v>
          </cell>
        </row>
        <row r="115">
          <cell r="D115">
            <v>2018</v>
          </cell>
          <cell r="K115" t="str">
            <v>Canada</v>
          </cell>
          <cell r="L115" t="str">
            <v>CANADA</v>
          </cell>
          <cell r="M115" t="str">
            <v>CA</v>
          </cell>
          <cell r="P115" t="str">
            <v>Canada</v>
          </cell>
          <cell r="Q115" t="str">
            <v>Canada</v>
          </cell>
          <cell r="R115" t="str">
            <v>Canada</v>
          </cell>
        </row>
        <row r="116">
          <cell r="D116">
            <v>2017</v>
          </cell>
          <cell r="K116" t="str">
            <v>Chili</v>
          </cell>
          <cell r="L116" t="str">
            <v>CHILE</v>
          </cell>
          <cell r="M116" t="str">
            <v>CL</v>
          </cell>
          <cell r="P116" t="str">
            <v>Chile</v>
          </cell>
          <cell r="Q116" t="str">
            <v>Chili</v>
          </cell>
          <cell r="R116" t="str">
            <v>Chile</v>
          </cell>
        </row>
        <row r="117">
          <cell r="D117">
            <v>2016</v>
          </cell>
          <cell r="G117">
            <v>0</v>
          </cell>
          <cell r="K117" t="str">
            <v>République tchèque</v>
          </cell>
          <cell r="L117" t="str">
            <v>CZECH</v>
          </cell>
          <cell r="M117" t="str">
            <v>CZ</v>
          </cell>
          <cell r="P117" t="str">
            <v>Czech Republic</v>
          </cell>
          <cell r="Q117" t="str">
            <v>République tchèque</v>
          </cell>
          <cell r="R117" t="str">
            <v>Czech Republic</v>
          </cell>
        </row>
        <row r="118">
          <cell r="D118">
            <v>2015</v>
          </cell>
          <cell r="K118" t="str">
            <v>Danemark</v>
          </cell>
          <cell r="L118" t="str">
            <v>DENMARK</v>
          </cell>
          <cell r="M118" t="str">
            <v>DK</v>
          </cell>
          <cell r="P118" t="str">
            <v>Denmark</v>
          </cell>
          <cell r="Q118" t="str">
            <v>Danemark</v>
          </cell>
          <cell r="R118" t="str">
            <v>Denmark</v>
          </cell>
        </row>
        <row r="119">
          <cell r="D119">
            <v>2014</v>
          </cell>
          <cell r="G119">
            <v>2</v>
          </cell>
          <cell r="K119" t="str">
            <v>Estonie</v>
          </cell>
          <cell r="L119" t="str">
            <v>ESTONIA</v>
          </cell>
          <cell r="M119" t="str">
            <v>EE</v>
          </cell>
          <cell r="P119" t="str">
            <v>Estonia</v>
          </cell>
          <cell r="Q119" t="str">
            <v>Estonie</v>
          </cell>
          <cell r="R119" t="str">
            <v xml:space="preserve">Эстония </v>
          </cell>
        </row>
        <row r="120">
          <cell r="D120">
            <v>2013</v>
          </cell>
          <cell r="K120" t="str">
            <v>Finlande</v>
          </cell>
          <cell r="L120" t="str">
            <v>FINLAND</v>
          </cell>
          <cell r="M120" t="str">
            <v>FI</v>
          </cell>
          <cell r="P120" t="str">
            <v>Finland</v>
          </cell>
          <cell r="Q120" t="str">
            <v>Finlande</v>
          </cell>
          <cell r="R120" t="str">
            <v>Finland</v>
          </cell>
        </row>
        <row r="121">
          <cell r="D121">
            <v>2012</v>
          </cell>
          <cell r="K121" t="str">
            <v>France</v>
          </cell>
          <cell r="L121" t="str">
            <v>FRANCE</v>
          </cell>
          <cell r="M121" t="str">
            <v>FR</v>
          </cell>
          <cell r="P121" t="str">
            <v>France</v>
          </cell>
          <cell r="Q121" t="str">
            <v>France</v>
          </cell>
          <cell r="R121" t="str">
            <v>France</v>
          </cell>
        </row>
        <row r="122">
          <cell r="D122">
            <v>2011</v>
          </cell>
          <cell r="G122">
            <v>10</v>
          </cell>
          <cell r="K122" t="str">
            <v>Allemagne</v>
          </cell>
          <cell r="L122" t="str">
            <v>GERMANY</v>
          </cell>
          <cell r="M122" t="str">
            <v>DE</v>
          </cell>
          <cell r="P122" t="str">
            <v>Germany</v>
          </cell>
          <cell r="Q122" t="str">
            <v>Allemagne</v>
          </cell>
          <cell r="R122" t="str">
            <v>Germany</v>
          </cell>
        </row>
        <row r="123">
          <cell r="D123">
            <v>2010</v>
          </cell>
          <cell r="K123" t="str">
            <v>Grèce</v>
          </cell>
          <cell r="L123" t="str">
            <v>GREECE</v>
          </cell>
          <cell r="M123" t="str">
            <v>GR</v>
          </cell>
          <cell r="P123" t="str">
            <v>Greece</v>
          </cell>
          <cell r="Q123" t="str">
            <v>Grèce</v>
          </cell>
          <cell r="R123" t="str">
            <v>Greece</v>
          </cell>
        </row>
        <row r="124">
          <cell r="D124">
            <v>2009</v>
          </cell>
          <cell r="K124" t="str">
            <v>Hongrie</v>
          </cell>
          <cell r="L124" t="str">
            <v>HUNGARY</v>
          </cell>
          <cell r="M124" t="str">
            <v>HU</v>
          </cell>
          <cell r="P124" t="str">
            <v>Hungary</v>
          </cell>
          <cell r="Q124" t="str">
            <v>Hongrie</v>
          </cell>
          <cell r="R124" t="str">
            <v>Hungary</v>
          </cell>
        </row>
        <row r="125">
          <cell r="D125">
            <v>2008</v>
          </cell>
          <cell r="K125" t="str">
            <v>Islande</v>
          </cell>
          <cell r="L125" t="str">
            <v>ICELAND</v>
          </cell>
          <cell r="M125" t="str">
            <v>IS</v>
          </cell>
          <cell r="P125" t="str">
            <v>Iceland</v>
          </cell>
          <cell r="Q125" t="str">
            <v>Islande</v>
          </cell>
          <cell r="R125" t="str">
            <v>Iceland</v>
          </cell>
        </row>
        <row r="126">
          <cell r="D126">
            <v>2007</v>
          </cell>
          <cell r="K126" t="str">
            <v>Irlande</v>
          </cell>
          <cell r="L126" t="str">
            <v>IRELAND</v>
          </cell>
          <cell r="M126" t="str">
            <v>IE</v>
          </cell>
          <cell r="P126" t="str">
            <v>Ireland</v>
          </cell>
          <cell r="Q126" t="str">
            <v>Irlande</v>
          </cell>
          <cell r="R126" t="str">
            <v>Ireland</v>
          </cell>
        </row>
        <row r="127">
          <cell r="D127">
            <v>2006</v>
          </cell>
          <cell r="G127">
            <v>2018</v>
          </cell>
          <cell r="K127" t="str">
            <v>Israël</v>
          </cell>
          <cell r="L127" t="str">
            <v>ISRAEL</v>
          </cell>
          <cell r="M127" t="str">
            <v>IL</v>
          </cell>
          <cell r="P127" t="str">
            <v>Israel</v>
          </cell>
          <cell r="Q127" t="str">
            <v>Israël</v>
          </cell>
          <cell r="R127" t="str">
            <v>Израиль</v>
          </cell>
        </row>
        <row r="128">
          <cell r="D128">
            <v>2005</v>
          </cell>
          <cell r="G128">
            <v>4</v>
          </cell>
          <cell r="K128" t="str">
            <v>Italie</v>
          </cell>
          <cell r="L128" t="str">
            <v>ITALY</v>
          </cell>
          <cell r="M128" t="str">
            <v>IT</v>
          </cell>
          <cell r="P128" t="str">
            <v>Italy</v>
          </cell>
          <cell r="Q128" t="str">
            <v>Italie</v>
          </cell>
          <cell r="R128" t="str">
            <v>Italy</v>
          </cell>
        </row>
        <row r="129">
          <cell r="D129">
            <v>2004</v>
          </cell>
          <cell r="G129" t="b">
            <v>0</v>
          </cell>
          <cell r="K129" t="str">
            <v>Japon</v>
          </cell>
          <cell r="L129" t="str">
            <v>JAPAN</v>
          </cell>
          <cell r="M129" t="str">
            <v>JP</v>
          </cell>
          <cell r="P129" t="str">
            <v>Japan</v>
          </cell>
          <cell r="Q129" t="str">
            <v>Japon</v>
          </cell>
          <cell r="R129" t="str">
            <v>Japan</v>
          </cell>
        </row>
        <row r="130">
          <cell r="D130">
            <v>2003</v>
          </cell>
          <cell r="K130" t="str">
            <v>Corée</v>
          </cell>
          <cell r="L130" t="str">
            <v>KOREA</v>
          </cell>
          <cell r="M130" t="str">
            <v>KR</v>
          </cell>
          <cell r="P130" t="str">
            <v>Korea</v>
          </cell>
          <cell r="Q130" t="str">
            <v>Corée</v>
          </cell>
          <cell r="R130" t="str">
            <v>Korea</v>
          </cell>
        </row>
        <row r="131">
          <cell r="D131">
            <v>2002</v>
          </cell>
          <cell r="K131" t="str">
            <v>Lettonie</v>
          </cell>
          <cell r="L131" t="str">
            <v>LATVIA</v>
          </cell>
          <cell r="M131" t="str">
            <v>LV</v>
          </cell>
          <cell r="P131" t="str">
            <v>Latvia</v>
          </cell>
          <cell r="Q131" t="str">
            <v>Lettonie</v>
          </cell>
          <cell r="R131" t="str">
            <v>Латвия</v>
          </cell>
        </row>
        <row r="132">
          <cell r="D132">
            <v>2001</v>
          </cell>
          <cell r="K132" t="str">
            <v>Luxembourg</v>
          </cell>
          <cell r="L132" t="str">
            <v>LUXEMBOU</v>
          </cell>
          <cell r="M132" t="str">
            <v>LU</v>
          </cell>
          <cell r="P132" t="str">
            <v>Luxembourg</v>
          </cell>
          <cell r="Q132" t="str">
            <v>Luxembourg</v>
          </cell>
          <cell r="R132" t="str">
            <v>Luxembourg</v>
          </cell>
        </row>
        <row r="133">
          <cell r="D133">
            <v>2000</v>
          </cell>
          <cell r="K133" t="str">
            <v>Mexique</v>
          </cell>
          <cell r="L133" t="str">
            <v>MEXICO</v>
          </cell>
          <cell r="M133" t="str">
            <v>MX</v>
          </cell>
          <cell r="P133" t="str">
            <v>Mexico</v>
          </cell>
          <cell r="Q133" t="str">
            <v>Mexique</v>
          </cell>
          <cell r="R133" t="str">
            <v>Mexico</v>
          </cell>
        </row>
        <row r="134">
          <cell r="D134">
            <v>1999</v>
          </cell>
          <cell r="G134">
            <v>2018</v>
          </cell>
          <cell r="K134" t="str">
            <v>Pays-Bas</v>
          </cell>
          <cell r="L134" t="str">
            <v>NETHLAND</v>
          </cell>
          <cell r="M134" t="str">
            <v>NL</v>
          </cell>
          <cell r="P134" t="str">
            <v>Netherlands</v>
          </cell>
          <cell r="Q134" t="str">
            <v>Pays-Bas</v>
          </cell>
          <cell r="R134" t="str">
            <v>Netherlands</v>
          </cell>
        </row>
        <row r="135">
          <cell r="D135">
            <v>1998</v>
          </cell>
          <cell r="K135" t="str">
            <v>Nouvelle-Zélande</v>
          </cell>
          <cell r="L135" t="str">
            <v>NZ</v>
          </cell>
          <cell r="M135" t="str">
            <v>NZ</v>
          </cell>
          <cell r="P135" t="str">
            <v>New Zealand</v>
          </cell>
          <cell r="Q135" t="str">
            <v>Nouvelle-Zélande</v>
          </cell>
          <cell r="R135" t="str">
            <v>New Zealand</v>
          </cell>
        </row>
        <row r="136">
          <cell r="D136">
            <v>1997</v>
          </cell>
          <cell r="K136" t="str">
            <v>Norvège</v>
          </cell>
          <cell r="L136" t="str">
            <v>NORWAY</v>
          </cell>
          <cell r="M136" t="str">
            <v>NO</v>
          </cell>
          <cell r="P136" t="str">
            <v>Norway</v>
          </cell>
          <cell r="Q136" t="str">
            <v>Norvège</v>
          </cell>
          <cell r="R136" t="str">
            <v>Norway</v>
          </cell>
        </row>
        <row r="137">
          <cell r="D137">
            <v>1996</v>
          </cell>
          <cell r="K137" t="str">
            <v>Pologne</v>
          </cell>
          <cell r="L137" t="str">
            <v>POLAND</v>
          </cell>
          <cell r="M137" t="str">
            <v>PL</v>
          </cell>
          <cell r="P137" t="str">
            <v>Poland</v>
          </cell>
          <cell r="Q137" t="str">
            <v>Pologne</v>
          </cell>
          <cell r="R137" t="str">
            <v>Poland</v>
          </cell>
        </row>
        <row r="138">
          <cell r="D138">
            <v>1995</v>
          </cell>
          <cell r="K138" t="str">
            <v>Portugal</v>
          </cell>
          <cell r="L138" t="str">
            <v>PORTUGAL</v>
          </cell>
          <cell r="M138" t="str">
            <v>PT</v>
          </cell>
          <cell r="P138" t="str">
            <v>Portugal</v>
          </cell>
          <cell r="Q138" t="str">
            <v>Portugal</v>
          </cell>
          <cell r="R138" t="str">
            <v>Portugal</v>
          </cell>
        </row>
        <row r="139">
          <cell r="D139">
            <v>1994</v>
          </cell>
          <cell r="K139" t="str">
            <v>République slovaque</v>
          </cell>
          <cell r="L139" t="str">
            <v>SLOVAKIA</v>
          </cell>
          <cell r="M139" t="str">
            <v>SK</v>
          </cell>
          <cell r="P139" t="str">
            <v>Slovak Republic</v>
          </cell>
          <cell r="Q139" t="str">
            <v>République slovaque</v>
          </cell>
          <cell r="R139" t="str">
            <v>Slovak Republic</v>
          </cell>
        </row>
        <row r="140">
          <cell r="D140">
            <v>1993</v>
          </cell>
          <cell r="K140" t="str">
            <v>Slovénie</v>
          </cell>
          <cell r="L140" t="str">
            <v>SLOVENIA</v>
          </cell>
          <cell r="M140" t="str">
            <v>SI</v>
          </cell>
          <cell r="P140" t="str">
            <v>Slovenia</v>
          </cell>
          <cell r="Q140" t="str">
            <v>Slovénie</v>
          </cell>
          <cell r="R140" t="str">
            <v>Словения</v>
          </cell>
        </row>
        <row r="141">
          <cell r="D141">
            <v>1992</v>
          </cell>
          <cell r="K141" t="str">
            <v>Espagne</v>
          </cell>
          <cell r="L141" t="str">
            <v>SPAIN</v>
          </cell>
          <cell r="M141" t="str">
            <v>ES</v>
          </cell>
          <cell r="P141" t="str">
            <v>Spain</v>
          </cell>
          <cell r="Q141" t="str">
            <v>Espagne</v>
          </cell>
          <cell r="R141" t="str">
            <v>Spain</v>
          </cell>
        </row>
        <row r="142">
          <cell r="D142">
            <v>1991</v>
          </cell>
          <cell r="K142" t="str">
            <v>Suède</v>
          </cell>
          <cell r="L142" t="str">
            <v>SWEDEN</v>
          </cell>
          <cell r="M142" t="str">
            <v>SE</v>
          </cell>
          <cell r="P142" t="str">
            <v>Sweden</v>
          </cell>
          <cell r="Q142" t="str">
            <v>Suède</v>
          </cell>
          <cell r="R142" t="str">
            <v>Sweden</v>
          </cell>
        </row>
        <row r="143">
          <cell r="D143">
            <v>1990</v>
          </cell>
          <cell r="K143" t="str">
            <v>Suisse</v>
          </cell>
          <cell r="L143" t="str">
            <v>SWITLAND</v>
          </cell>
          <cell r="M143" t="str">
            <v>CH</v>
          </cell>
          <cell r="P143" t="str">
            <v>Switzerland</v>
          </cell>
          <cell r="Q143" t="str">
            <v>Suisse</v>
          </cell>
          <cell r="R143" t="str">
            <v>Switzerland</v>
          </cell>
        </row>
        <row r="144">
          <cell r="K144" t="str">
            <v>Turquie</v>
          </cell>
          <cell r="L144" t="str">
            <v>TURKEY</v>
          </cell>
          <cell r="M144" t="str">
            <v>TR</v>
          </cell>
          <cell r="P144" t="str">
            <v>Turkey</v>
          </cell>
          <cell r="Q144" t="str">
            <v>Turquie</v>
          </cell>
          <cell r="R144" t="str">
            <v>Turkey</v>
          </cell>
        </row>
        <row r="145">
          <cell r="K145" t="str">
            <v>Royaume-Uni</v>
          </cell>
          <cell r="L145" t="str">
            <v>UK</v>
          </cell>
          <cell r="M145" t="str">
            <v>GB</v>
          </cell>
          <cell r="P145" t="str">
            <v>United Kingdom</v>
          </cell>
          <cell r="Q145" t="str">
            <v>Royaume-Uni</v>
          </cell>
          <cell r="R145" t="str">
            <v>United Kingdom</v>
          </cell>
        </row>
        <row r="146">
          <cell r="K146" t="str">
            <v>Etats-Unis</v>
          </cell>
          <cell r="L146" t="str">
            <v>USA</v>
          </cell>
          <cell r="M146" t="str">
            <v>US</v>
          </cell>
          <cell r="P146" t="str">
            <v>United States</v>
          </cell>
          <cell r="Q146" t="str">
            <v>Etats-Unis</v>
          </cell>
          <cell r="R146" t="str">
            <v>United States</v>
          </cell>
        </row>
        <row r="147">
          <cell r="K147" t="str">
            <v>Albanie</v>
          </cell>
          <cell r="L147" t="str">
            <v>ALBANIA</v>
          </cell>
          <cell r="M147" t="str">
            <v>AL</v>
          </cell>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P151" t="str">
            <v>Bosnia and Herzegovina</v>
          </cell>
          <cell r="Q151" t="str">
            <v>Bosnie-Herzégovine</v>
          </cell>
          <cell r="R151" t="str">
            <v>Босния и Герцеговина</v>
          </cell>
        </row>
        <row r="152">
          <cell r="K152" t="str">
            <v>Brésil</v>
          </cell>
          <cell r="L152" t="str">
            <v>BRAZIL</v>
          </cell>
          <cell r="M152" t="str">
            <v>BR</v>
          </cell>
          <cell r="P152" t="str">
            <v>Brazil</v>
          </cell>
          <cell r="Q152" t="str">
            <v>Brésil</v>
          </cell>
          <cell r="R152" t="str">
            <v>Бразилия</v>
          </cell>
        </row>
        <row r="153">
          <cell r="K153" t="str">
            <v>Bulgarie</v>
          </cell>
          <cell r="L153" t="str">
            <v>BULGARIA</v>
          </cell>
          <cell r="M153" t="str">
            <v>BG</v>
          </cell>
          <cell r="P153" t="str">
            <v>Bulgaria</v>
          </cell>
          <cell r="Q153" t="str">
            <v>Bulgarie</v>
          </cell>
          <cell r="R153" t="str">
            <v xml:space="preserve">Болгария             </v>
          </cell>
        </row>
        <row r="154">
          <cell r="K154" t="str">
            <v>Chine</v>
          </cell>
          <cell r="L154" t="str">
            <v>CHINA</v>
          </cell>
          <cell r="M154" t="str">
            <v>CN</v>
          </cell>
          <cell r="P154" t="str">
            <v>China</v>
          </cell>
          <cell r="Q154" t="str">
            <v>Chine</v>
          </cell>
          <cell r="R154" t="str">
            <v>Китай</v>
          </cell>
        </row>
        <row r="155">
          <cell r="K155" t="str">
            <v>Croatie</v>
          </cell>
          <cell r="L155" t="str">
            <v>CROATIA</v>
          </cell>
          <cell r="M155" t="str">
            <v>HR</v>
          </cell>
          <cell r="P155" t="str">
            <v>Croatia</v>
          </cell>
          <cell r="Q155" t="str">
            <v>Croatie</v>
          </cell>
          <cell r="R155" t="str">
            <v>Хорватия</v>
          </cell>
        </row>
        <row r="156">
          <cell r="K156" t="str">
            <v>Chypre</v>
          </cell>
          <cell r="L156" t="str">
            <v>CYPRUS</v>
          </cell>
          <cell r="M156" t="str">
            <v>CY</v>
          </cell>
          <cell r="P156" t="str">
            <v>Cyprus</v>
          </cell>
          <cell r="Q156" t="str">
            <v>Chypre</v>
          </cell>
          <cell r="R156" t="str">
            <v>Кипр</v>
          </cell>
        </row>
        <row r="157">
          <cell r="K157" t="str">
            <v>Ex-République yougoslave de Macédoine</v>
          </cell>
          <cell r="L157" t="str">
            <v>FYROM</v>
          </cell>
          <cell r="M157" t="str">
            <v>MK</v>
          </cell>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P159" t="str">
            <v>India</v>
          </cell>
          <cell r="Q159" t="str">
            <v>Inde</v>
          </cell>
          <cell r="R159" t="str">
            <v>Индия</v>
          </cell>
        </row>
        <row r="160">
          <cell r="K160" t="str">
            <v>Indonésie</v>
          </cell>
          <cell r="L160" t="str">
            <v>INDONESIA</v>
          </cell>
          <cell r="M160" t="str">
            <v>ID</v>
          </cell>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P164" t="str">
            <v>Liechtenstein</v>
          </cell>
          <cell r="Q164" t="str">
            <v>Liechtenstein</v>
          </cell>
          <cell r="R164" t="str">
            <v>Liechtenstein</v>
          </cell>
        </row>
        <row r="165">
          <cell r="K165" t="str">
            <v>Lituanie</v>
          </cell>
          <cell r="L165" t="str">
            <v>LITHUANIA</v>
          </cell>
          <cell r="M165" t="str">
            <v>LT</v>
          </cell>
          <cell r="P165" t="str">
            <v>Lithuania</v>
          </cell>
          <cell r="Q165" t="str">
            <v>Lituanie</v>
          </cell>
          <cell r="R165" t="str">
            <v>Литва</v>
          </cell>
        </row>
        <row r="166">
          <cell r="K166" t="str">
            <v>Malte</v>
          </cell>
          <cell r="L166" t="str">
            <v>MALTA</v>
          </cell>
          <cell r="M166" t="str">
            <v>MT</v>
          </cell>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P168" t="str">
            <v>Montenegro</v>
          </cell>
          <cell r="Q168" t="str">
            <v>Monténégro</v>
          </cell>
          <cell r="R168" t="str">
            <v>Черногория</v>
          </cell>
        </row>
        <row r="169">
          <cell r="K169" t="str">
            <v>Maroc</v>
          </cell>
          <cell r="L169" t="str">
            <v>MOROCCO</v>
          </cell>
          <cell r="M169" t="str">
            <v>MA</v>
          </cell>
          <cell r="P169" t="str">
            <v>Morocco</v>
          </cell>
          <cell r="Q169" t="str">
            <v>Maroc</v>
          </cell>
          <cell r="R169" t="str">
            <v>Марокко</v>
          </cell>
        </row>
        <row r="170">
          <cell r="K170" t="str">
            <v>Roumanie</v>
          </cell>
          <cell r="L170" t="str">
            <v>ROMANIA</v>
          </cell>
          <cell r="M170" t="str">
            <v>RO</v>
          </cell>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P172" t="str">
            <v>Serbia</v>
          </cell>
          <cell r="Q172" t="str">
            <v>Serbie</v>
          </cell>
          <cell r="R172" t="str">
            <v>Сербия</v>
          </cell>
        </row>
        <row r="173">
          <cell r="K173" t="str">
            <v>Statisland</v>
          </cell>
          <cell r="L173" t="str">
            <v>STATISLAND</v>
          </cell>
          <cell r="M173" t="str">
            <v>Q1</v>
          </cell>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M2" t="str">
            <v>Other language version</v>
          </cell>
          <cell r="AS2" t="str">
            <v>Other language version</v>
          </cell>
        </row>
        <row r="3">
          <cell r="AG3" t="str">
            <v>Column 1</v>
          </cell>
          <cell r="AH3" t="str">
            <v>Column 2</v>
          </cell>
          <cell r="AI3" t="str">
            <v>Column 3</v>
          </cell>
          <cell r="AJ3" t="str">
            <v>Column 4</v>
          </cell>
          <cell r="AK3" t="str">
            <v>Column 5</v>
          </cell>
          <cell r="AM3" t="str">
            <v>Column 1</v>
          </cell>
          <cell r="AN3" t="str">
            <v>Column 2</v>
          </cell>
          <cell r="AO3" t="str">
            <v>Column 3</v>
          </cell>
          <cell r="AP3" t="str">
            <v>Column 4</v>
          </cell>
          <cell r="AQ3" t="str">
            <v>Column 5</v>
          </cell>
          <cell r="AS3" t="str">
            <v>Column 1</v>
          </cell>
          <cell r="AT3" t="str">
            <v>Column 2</v>
          </cell>
          <cell r="AU3" t="str">
            <v>Column 3</v>
          </cell>
          <cell r="AV3" t="str">
            <v>Column 4</v>
          </cell>
          <cell r="AW3" t="str">
            <v>Column 5</v>
          </cell>
        </row>
        <row r="4">
          <cell r="AG4" t="str">
            <v>DATA ENTRY MENU</v>
          </cell>
          <cell r="AM4" t="str">
            <v>MENU D'ENTREE DE DONNEES</v>
          </cell>
          <cell r="AS4" t="str">
            <v xml:space="preserve">Меню ввода данных </v>
          </cell>
        </row>
        <row r="5">
          <cell r="AG5" t="str">
            <v>Control the integrity and coherence of your entries:</v>
          </cell>
          <cell r="AI5" t="str">
            <v>Check data</v>
          </cell>
          <cell r="AM5" t="str">
            <v>Contrôlez l'intégrité et la cohérence des données saisies :</v>
          </cell>
          <cell r="AO5" t="str">
            <v>Vérification des données</v>
          </cell>
          <cell r="AS5" t="str">
            <v>Контролируйте целостность и согласованность вводимых</v>
          </cell>
          <cell r="AU5" t="str">
            <v xml:space="preserve">Проверка данных </v>
          </cell>
        </row>
        <row r="6">
          <cell r="AG6" t="str">
            <v>Run the "Check data" program.</v>
          </cell>
          <cell r="AM6" t="str">
            <v>Lancez le programme de vérification des données.</v>
          </cell>
          <cell r="AS6" t="str">
            <v>данных: Используйте программу проверки данных</v>
          </cell>
        </row>
        <row r="8">
          <cell r="AG8" t="str">
            <v>DATA ENTRY IN TIME SERIES</v>
          </cell>
          <cell r="AM8" t="str">
            <v>ENTREE DE DONNEES DANS LES SERIES</v>
          </cell>
          <cell r="AS8" t="str">
            <v>Меню ввода данных во временные ряды</v>
          </cell>
        </row>
        <row r="10">
          <cell r="AG10" t="str">
            <v>1. Supply</v>
          </cell>
          <cell r="AH10" t="str">
            <v>2a. Consumption</v>
          </cell>
          <cell r="AI10" t="str">
            <v>2b. TFC 
Energy Use</v>
          </cell>
          <cell r="AJ10" t="str">
            <v>2b. TFC 
Non-Energy Use</v>
          </cell>
          <cell r="AM10" t="str">
            <v>1. Approvisionnement</v>
          </cell>
          <cell r="AN10" t="str">
            <v>2a. Consommation</v>
          </cell>
          <cell r="AO10" t="str">
            <v>2b. CFT 
Util. énergétiques</v>
          </cell>
          <cell r="AP10" t="str">
            <v>2b. CFT 
Util. non énergé.</v>
          </cell>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row>
        <row r="12">
          <cell r="AG12" t="str">
            <v>3i. Imports</v>
          </cell>
          <cell r="AH12" t="str">
            <v>3ii. Imports 
of which LNG</v>
          </cell>
          <cell r="AI12" t="str">
            <v>4i. Exports</v>
          </cell>
          <cell r="AJ12" t="str">
            <v>4ii. Exports 
of which LNG</v>
          </cell>
          <cell r="AM12" t="str">
            <v>3i. Importations</v>
          </cell>
          <cell r="AN12" t="str">
            <v>3ii. Importations 
de GNL</v>
          </cell>
          <cell r="AO12" t="str">
            <v>4i. Exportations</v>
          </cell>
          <cell r="AP12" t="str">
            <v>4ii. Exportations 
de GNL</v>
          </cell>
          <cell r="AS12" t="str">
            <v>3i. Импорт</v>
          </cell>
          <cell r="AT12" t="str">
            <v>3ii. Импорт СПГ</v>
          </cell>
          <cell r="AU12" t="str">
            <v>4i. Экспорт</v>
          </cell>
          <cell r="AV12" t="str">
            <v>4ii. Экспорт СПГ</v>
          </cell>
        </row>
        <row r="15">
          <cell r="AG15" t="str">
            <v>DATA ENTRY IN FORMS</v>
          </cell>
          <cell r="AM15" t="str">
            <v>ENTREE DE DONNEES DANS LES TABLEAUX</v>
          </cell>
          <cell r="AS15" t="str">
            <v>Меню ввода данных в таблицы</v>
          </cell>
        </row>
        <row r="17">
          <cell r="AG17" t="str">
            <v xml:space="preserve">Please select the year and click on the form : </v>
          </cell>
          <cell r="AM17" t="str">
            <v xml:space="preserve">Choisissez l'année puis sélectionnez le tableau : </v>
          </cell>
          <cell r="AS17" t="str">
            <v>Пожалуйста выберите год и таблицу:</v>
          </cell>
        </row>
        <row r="19">
          <cell r="AG19" t="str">
            <v>Table 1</v>
          </cell>
          <cell r="AH19" t="str">
            <v>Table 2a</v>
          </cell>
          <cell r="AI19" t="str">
            <v>Table 2b</v>
          </cell>
          <cell r="AJ19" t="str">
            <v>Table 3</v>
          </cell>
          <cell r="AM19" t="str">
            <v>Tableau 1</v>
          </cell>
          <cell r="AN19" t="str">
            <v>Tableau 2a</v>
          </cell>
          <cell r="AO19" t="str">
            <v>Tableau 2b</v>
          </cell>
          <cell r="AP19" t="str">
            <v>Tableau 3</v>
          </cell>
          <cell r="AS19" t="str">
            <v>Tаблица 1</v>
          </cell>
          <cell r="AT19" t="str">
            <v>Tаблица 2a</v>
          </cell>
          <cell r="AU19" t="str">
            <v>Tаблица 2b</v>
          </cell>
          <cell r="AV19" t="str">
            <v>Tаблица 3</v>
          </cell>
        </row>
        <row r="21">
          <cell r="AG21" t="str">
            <v>Table 4</v>
          </cell>
          <cell r="AH21" t="str">
            <v>Table 5a</v>
          </cell>
          <cell r="AI21" t="str">
            <v>Table 5b</v>
          </cell>
          <cell r="AJ21" t="str">
            <v>Table 5c</v>
          </cell>
          <cell r="AM21" t="str">
            <v>Tableau 4</v>
          </cell>
          <cell r="AN21" t="str">
            <v>Tableau 5a</v>
          </cell>
          <cell r="AO21" t="str">
            <v>Tableau 5b</v>
          </cell>
          <cell r="AP21" t="str">
            <v>Tableau 5c</v>
          </cell>
          <cell r="AS21" t="str">
            <v>Tаблица 4</v>
          </cell>
          <cell r="AT21" t="str">
            <v>Tаблица 5a</v>
          </cell>
          <cell r="AU21" t="str">
            <v>Tаблица 5b</v>
          </cell>
          <cell r="AV21" t="str">
            <v>Tаблица 5c</v>
          </cell>
        </row>
        <row r="23">
          <cell r="AG23" t="str">
            <v>Table 6</v>
          </cell>
          <cell r="AJ23" t="str">
            <v>Remarks</v>
          </cell>
          <cell r="AM23" t="str">
            <v>Tableau 6</v>
          </cell>
          <cell r="AP23" t="str">
            <v>Remarques</v>
          </cell>
          <cell r="AS23" t="str">
            <v>Tаблица 6</v>
          </cell>
          <cell r="AV23" t="str">
            <v>Замечания</v>
          </cell>
        </row>
        <row r="25">
          <cell r="AG25" t="str">
            <v>ASCII DATA TRANSFERS</v>
          </cell>
          <cell r="AM25" t="str">
            <v>TRANSFERTS DE DONNEES ASCII</v>
          </cell>
          <cell r="AS25" t="str">
            <v>Передача данных ASCII</v>
          </cell>
        </row>
        <row r="27">
          <cell r="AE27" t="str">
            <v>Menu</v>
          </cell>
          <cell r="AG27" t="str">
            <v>Import</v>
          </cell>
          <cell r="AH27" t="str">
            <v>Export</v>
          </cell>
          <cell r="AK27" t="str">
            <v>Menu</v>
          </cell>
          <cell r="AM27" t="str">
            <v>Import</v>
          </cell>
          <cell r="AN27" t="str">
            <v>Export</v>
          </cell>
          <cell r="AQ27" t="str">
            <v>Menu</v>
          </cell>
          <cell r="AS27" t="str">
            <v>Импорт</v>
          </cell>
          <cell r="AT27" t="str">
            <v>Экспорт</v>
          </cell>
          <cell r="AW27" t="str">
            <v>Меню</v>
          </cell>
        </row>
        <row r="28">
          <cell r="AE28" t="str">
            <v>Millions mètres cube</v>
          </cell>
          <cell r="AK28" t="str">
            <v>Million cubic metres</v>
          </cell>
          <cell r="AQ28" t="str">
            <v>Millions mètres cube</v>
          </cell>
          <cell r="AW28" t="str">
            <v>Миллионы кубических метров</v>
          </cell>
        </row>
        <row r="29">
          <cell r="AE29" t="str">
            <v>Terajoules</v>
          </cell>
          <cell r="AI29" t="str">
            <v>Tip : press Ctrl+M to come</v>
          </cell>
          <cell r="AK29" t="str">
            <v>Terajoules</v>
          </cell>
          <cell r="AO29" t="str">
            <v>Astuce : Appuyez sur Ctrl+M</v>
          </cell>
          <cell r="AQ29" t="str">
            <v>Terajoules</v>
          </cell>
          <cell r="AU29" t="str">
            <v xml:space="preserve">Подсказка: Нажмите Ctrl+M чтобы </v>
          </cell>
          <cell r="AW29" t="str">
            <v>Тераджоули</v>
          </cell>
        </row>
        <row r="30">
          <cell r="AE30" t="str">
            <v>Pouvoirs calorifiques supérieurs</v>
          </cell>
          <cell r="AI30" t="str">
            <v>back to this page from anywhere</v>
          </cell>
          <cell r="AK30" t="str">
            <v>Gross Calorific Values</v>
          </cell>
          <cell r="AO30" t="str">
            <v>pour revenir à ce menu à tout moment</v>
          </cell>
          <cell r="AQ30" t="str">
            <v>Pouvoirs calorifiques supérieurs</v>
          </cell>
          <cell r="AU30" t="str">
            <v>вернуться к этому меню в любой момент</v>
          </cell>
          <cell r="AW30" t="str">
            <v>Высшая теплотворная способность (ВТС)</v>
          </cell>
        </row>
      </sheetData>
      <sheetData sheetId="3">
        <row r="1">
          <cell r="AH1" t="str">
            <v>TABLE 1 - SUPPLY OF NATURAL GAS</v>
          </cell>
          <cell r="AI1" t="str">
            <v>APPROVISIONNEMENT EN GAZ NATUREL</v>
          </cell>
          <cell r="AJ1" t="str">
            <v>ПОСТАВКИ ПРИРОДНОГО ГАЗА</v>
          </cell>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row>
        <row r="40">
          <cell r="AH40" t="str">
            <v>NCV = Net calorifc value</v>
          </cell>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sheetData>
      <sheetData sheetId="5">
        <row r="1">
          <cell r="AF1" t="str">
            <v>TABLE 2b - TOTAL FINAL CONSUMPTION BY SECTOR</v>
          </cell>
          <cell r="AG1" t="str">
            <v>CONSOMMATION FINALE TOTALE PAR SECTEUR</v>
          </cell>
          <cell r="AH1" t="str">
            <v>ВНУТРЕННЕЕ ПОТРЕБЛЕНИЕ ПО СЕКТОРАМ</v>
          </cell>
        </row>
        <row r="3">
          <cell r="AF3" t="str">
            <v>Unit: TJ (GCV)</v>
          </cell>
          <cell r="AG3" t="str">
            <v>Unité: TJ (PCS)</v>
          </cell>
          <cell r="AH3" t="str">
            <v>Единица измерения: ТДж (ВТС)</v>
          </cell>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4">
          <cell r="AM4" t="str">
            <v>ORIGIN</v>
          </cell>
          <cell r="AN4" t="str">
            <v>ORIGINE</v>
          </cell>
          <cell r="AO4" t="str">
            <v>ПРОИСХОЖДЕНИЕ</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4">
          <cell r="AM4" t="str">
            <v>DESTINATION</v>
          </cell>
          <cell r="AN4" t="str">
            <v>DESTINATION</v>
          </cell>
          <cell r="AO4" t="str">
            <v>НАЗНАЧЕНИЯ</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106">
          <cell r="AF106" t="str">
            <v>TOTAL</v>
          </cell>
          <cell r="AG106" t="str">
            <v>TOTAL</v>
          </cell>
          <cell r="AH106" t="str">
            <v>ВСЕГО</v>
          </cell>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3">
          <cell r="DJ3" t="str">
            <v>Million cubic meters</v>
          </cell>
          <cell r="DK3" t="str">
            <v>Millions mètres cube</v>
          </cell>
          <cell r="DL3" t="str">
            <v>Миллионы кубических метров</v>
          </cell>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3">
          <cell r="DJ3" t="str">
            <v>Million cubic metres</v>
          </cell>
          <cell r="DK3" t="str">
            <v>Millions mètres cube</v>
          </cell>
          <cell r="DL3" t="str">
            <v>Миллионы кубических метров</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3">
          <cell r="DJ3" t="str">
            <v>Million cubic metres</v>
          </cell>
          <cell r="DK3" t="str">
            <v>Millions mètres cube</v>
          </cell>
          <cell r="DL3" t="str">
            <v>Миллионы кубических метров</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E44"/>
  <sheetViews>
    <sheetView tabSelected="1" zoomScale="90" zoomScaleNormal="90" workbookViewId="0">
      <selection activeCell="C23" sqref="C23:D23"/>
    </sheetView>
  </sheetViews>
  <sheetFormatPr defaultRowHeight="15" x14ac:dyDescent="0.25"/>
  <cols>
    <col min="1" max="1" width="15.5703125" style="50" customWidth="1"/>
    <col min="2" max="3" width="30.7109375" style="50" customWidth="1"/>
    <col min="4" max="4" width="42.5703125" style="50" customWidth="1"/>
    <col min="5" max="5" width="15.5703125" style="50" customWidth="1"/>
    <col min="6" max="6" width="24.7109375" style="50" customWidth="1"/>
    <col min="7" max="16384" width="9.140625" style="50"/>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58" t="s">
        <v>144</v>
      </c>
      <c r="B13" s="158"/>
      <c r="C13" s="158"/>
      <c r="D13" s="158"/>
      <c r="E13" s="158"/>
    </row>
    <row r="14" spans="1:5" ht="15" customHeight="1" thickBot="1" x14ac:dyDescent="0.3">
      <c r="A14" s="23"/>
      <c r="B14" s="24"/>
      <c r="C14" s="24"/>
      <c r="D14" s="24"/>
      <c r="E14" s="24"/>
    </row>
    <row r="15" spans="1:5" ht="21" customHeight="1" thickBot="1" x14ac:dyDescent="0.3">
      <c r="A15" s="23"/>
      <c r="B15" s="23"/>
      <c r="C15" s="51" t="s">
        <v>32</v>
      </c>
      <c r="D15" s="56" t="s">
        <v>66</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59"/>
      <c r="D19" s="160"/>
      <c r="E19" s="23"/>
    </row>
    <row r="20" spans="1:5" ht="15" customHeight="1" thickBot="1" x14ac:dyDescent="0.3">
      <c r="A20" s="23"/>
      <c r="B20" s="27"/>
      <c r="C20" s="24"/>
      <c r="D20" s="24"/>
      <c r="E20" s="23"/>
    </row>
    <row r="21" spans="1:5" ht="21" customHeight="1" thickBot="1" x14ac:dyDescent="0.3">
      <c r="A21" s="23"/>
      <c r="B21" s="27" t="s">
        <v>35</v>
      </c>
      <c r="C21" s="159"/>
      <c r="D21" s="160"/>
      <c r="E21" s="23"/>
    </row>
    <row r="22" spans="1:5" ht="15" customHeight="1" thickBot="1" x14ac:dyDescent="0.3">
      <c r="A22" s="23"/>
      <c r="B22" s="27"/>
      <c r="C22" s="24"/>
      <c r="D22" s="24"/>
      <c r="E22" s="23"/>
    </row>
    <row r="23" spans="1:5" ht="21" customHeight="1" thickBot="1" x14ac:dyDescent="0.3">
      <c r="A23" s="23"/>
      <c r="B23" s="27" t="s">
        <v>36</v>
      </c>
      <c r="C23" s="161"/>
      <c r="D23" s="160"/>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5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57" t="s">
        <v>142</v>
      </c>
      <c r="B37" s="157"/>
      <c r="C37" s="157"/>
      <c r="D37" s="157"/>
      <c r="E37" s="157"/>
    </row>
    <row r="38" spans="1:5" ht="15" customHeight="1" x14ac:dyDescent="0.25">
      <c r="A38" s="53"/>
      <c r="B38" s="53"/>
      <c r="C38" s="53"/>
      <c r="D38" s="53"/>
      <c r="E38" s="53"/>
    </row>
    <row r="39" spans="1:5" ht="21" customHeight="1" x14ac:dyDescent="0.25">
      <c r="A39" s="157" t="s">
        <v>39</v>
      </c>
      <c r="B39" s="157"/>
      <c r="C39" s="157"/>
      <c r="D39" s="157"/>
      <c r="E39" s="157"/>
    </row>
    <row r="40" spans="1:5" ht="45" customHeight="1" x14ac:dyDescent="0.25">
      <c r="A40" s="157" t="s">
        <v>148</v>
      </c>
      <c r="B40" s="157"/>
      <c r="C40" s="157"/>
      <c r="D40" s="157"/>
      <c r="E40" s="157"/>
    </row>
    <row r="41" spans="1:5" ht="21" customHeight="1" x14ac:dyDescent="0.25">
      <c r="A41" s="53"/>
      <c r="B41" s="51" t="s">
        <v>34</v>
      </c>
      <c r="C41" s="54" t="s">
        <v>40</v>
      </c>
      <c r="D41" s="54"/>
      <c r="E41" s="54"/>
    </row>
    <row r="42" spans="1:5" ht="21" customHeight="1" x14ac:dyDescent="0.25">
      <c r="A42" s="53"/>
      <c r="B42" s="51" t="s">
        <v>37</v>
      </c>
      <c r="C42" s="156" t="s">
        <v>314</v>
      </c>
      <c r="D42" s="54"/>
      <c r="E42" s="54"/>
    </row>
    <row r="43" spans="1:5" ht="21" customHeight="1" x14ac:dyDescent="0.25">
      <c r="A43" s="53"/>
      <c r="B43" s="51" t="s">
        <v>38</v>
      </c>
      <c r="C43" s="55" t="s">
        <v>41</v>
      </c>
      <c r="D43" s="54"/>
      <c r="E43" s="54"/>
    </row>
    <row r="44" spans="1:5" ht="21" customHeight="1" x14ac:dyDescent="0.25"/>
  </sheetData>
  <protectedRanges>
    <protectedRange sqref="D15" name="Country_selection"/>
    <protectedRange sqref="C19" name="Country_selection_1"/>
    <protectedRange sqref="C23" name="Country_selection_2"/>
    <protectedRange sqref="C21" name="Country_selection_3"/>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formula1>Submission_country</formula1>
    </dataValidation>
  </dataValidations>
  <hyperlinks>
    <hyperlink ref="C42" r:id="rId2"/>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123825</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142875</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123825</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123825</xdr:rowOff>
                  </from>
                  <to>
                    <xdr:col>2</xdr:col>
                    <xdr:colOff>1933575</xdr:colOff>
                    <xdr:row>34</xdr:row>
                    <xdr:rowOff>104775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9525</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123825</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START">
              <controlPr defaultSize="0" print="0" autoFill="0" autoPict="0" macro="[0]!GoToTable2_Energy_Totals">
                <anchor moveWithCells="1" sizeWithCells="1">
                  <from>
                    <xdr:col>1</xdr:col>
                    <xdr:colOff>133350</xdr:colOff>
                    <xdr:row>32</xdr:row>
                    <xdr:rowOff>66675</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161925</xdr:colOff>
                    <xdr:row>32</xdr:row>
                    <xdr:rowOff>114300</xdr:rowOff>
                  </from>
                  <to>
                    <xdr:col>3</xdr:col>
                    <xdr:colOff>1962150</xdr:colOff>
                    <xdr:row>34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C82"/>
  <sheetViews>
    <sheetView zoomScale="90" zoomScaleNormal="90" workbookViewId="0"/>
  </sheetViews>
  <sheetFormatPr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62" t="s">
        <v>145</v>
      </c>
      <c r="C2" s="163"/>
    </row>
    <row r="3" spans="2:3" ht="9.75" customHeight="1" x14ac:dyDescent="0.25">
      <c r="B3" s="64"/>
      <c r="C3" s="65"/>
    </row>
    <row r="4" spans="2:3" ht="36" customHeight="1" x14ac:dyDescent="0.25">
      <c r="B4" s="164" t="s">
        <v>82</v>
      </c>
      <c r="C4" s="66" t="s">
        <v>83</v>
      </c>
    </row>
    <row r="5" spans="2:3" ht="36" customHeight="1" x14ac:dyDescent="0.25">
      <c r="B5" s="165"/>
      <c r="C5" s="67" t="s">
        <v>134</v>
      </c>
    </row>
    <row r="6" spans="2:3" ht="36" customHeight="1" x14ac:dyDescent="0.25">
      <c r="B6" s="165"/>
      <c r="C6" s="67" t="s">
        <v>146</v>
      </c>
    </row>
    <row r="7" spans="2:3" ht="45" customHeight="1" x14ac:dyDescent="0.25">
      <c r="B7" s="166"/>
      <c r="C7" s="68" t="s">
        <v>84</v>
      </c>
    </row>
    <row r="8" spans="2:3" ht="9.75" customHeight="1" x14ac:dyDescent="0.25">
      <c r="B8" s="69"/>
      <c r="C8" s="70"/>
    </row>
    <row r="9" spans="2:3" ht="30" customHeight="1" x14ac:dyDescent="0.25">
      <c r="B9" s="71" t="s">
        <v>112</v>
      </c>
      <c r="C9" s="72"/>
    </row>
    <row r="10" spans="2:3" ht="9" customHeight="1" x14ac:dyDescent="0.25">
      <c r="B10" s="73"/>
      <c r="C10" s="67"/>
    </row>
    <row r="11" spans="2:3" ht="30" customHeight="1" x14ac:dyDescent="0.25">
      <c r="B11" s="74" t="s">
        <v>13</v>
      </c>
      <c r="C11" s="67" t="s">
        <v>147</v>
      </c>
    </row>
    <row r="12" spans="2:3" ht="15" customHeight="1" x14ac:dyDescent="0.25">
      <c r="B12" s="73"/>
      <c r="C12" s="67"/>
    </row>
    <row r="13" spans="2:3" ht="60" customHeight="1" x14ac:dyDescent="0.25">
      <c r="B13" s="74" t="s">
        <v>15</v>
      </c>
      <c r="C13" s="67" t="s">
        <v>136</v>
      </c>
    </row>
    <row r="14" spans="2:3" ht="15" customHeight="1" x14ac:dyDescent="0.25">
      <c r="B14" s="73"/>
      <c r="C14" s="67"/>
    </row>
    <row r="15" spans="2:3" ht="45" customHeight="1" x14ac:dyDescent="0.25">
      <c r="B15" s="167" t="s">
        <v>29</v>
      </c>
      <c r="C15" s="67" t="s">
        <v>312</v>
      </c>
    </row>
    <row r="16" spans="2:3" ht="63" customHeight="1" x14ac:dyDescent="0.25">
      <c r="B16" s="168"/>
      <c r="C16" s="67" t="s">
        <v>310</v>
      </c>
    </row>
    <row r="17" spans="2:3" ht="30" hidden="1" customHeight="1" x14ac:dyDescent="0.25">
      <c r="B17" s="73"/>
      <c r="C17" s="67" t="s">
        <v>120</v>
      </c>
    </row>
    <row r="18" spans="2:3" ht="63" hidden="1" customHeight="1" x14ac:dyDescent="0.25">
      <c r="B18" s="73"/>
      <c r="C18" s="67" t="s">
        <v>121</v>
      </c>
    </row>
    <row r="19" spans="2:3" ht="135" hidden="1" customHeight="1" x14ac:dyDescent="0.25">
      <c r="B19" s="73"/>
      <c r="C19" s="67" t="s">
        <v>122</v>
      </c>
    </row>
    <row r="20" spans="2:3" ht="60" hidden="1" customHeight="1" x14ac:dyDescent="0.25">
      <c r="B20" s="73"/>
      <c r="C20" s="67" t="s">
        <v>123</v>
      </c>
    </row>
    <row r="21" spans="2:3" ht="15" customHeight="1" x14ac:dyDescent="0.25">
      <c r="B21" s="73"/>
      <c r="C21" s="67"/>
    </row>
    <row r="22" spans="2:3" ht="30" customHeight="1" x14ac:dyDescent="0.25">
      <c r="B22" s="74" t="s">
        <v>156</v>
      </c>
      <c r="C22" s="67" t="s">
        <v>309</v>
      </c>
    </row>
    <row r="23" spans="2:3" ht="15" customHeight="1" x14ac:dyDescent="0.25">
      <c r="B23" s="73"/>
      <c r="C23" s="67"/>
    </row>
    <row r="24" spans="2:3" ht="75" customHeight="1" x14ac:dyDescent="0.25">
      <c r="B24" s="74" t="s">
        <v>110</v>
      </c>
      <c r="C24" s="67" t="s">
        <v>313</v>
      </c>
    </row>
    <row r="25" spans="2:3" ht="9" customHeight="1" x14ac:dyDescent="0.25">
      <c r="B25" s="75"/>
      <c r="C25" s="67"/>
    </row>
    <row r="26" spans="2:3" ht="15" customHeight="1" x14ac:dyDescent="0.25">
      <c r="B26" s="76" t="s">
        <v>124</v>
      </c>
      <c r="C26" s="67"/>
    </row>
    <row r="27" spans="2:3" ht="60" customHeight="1" x14ac:dyDescent="0.25">
      <c r="B27" s="73" t="s">
        <v>113</v>
      </c>
      <c r="C27" s="67" t="s">
        <v>308</v>
      </c>
    </row>
    <row r="28" spans="2:3" ht="9" customHeight="1" x14ac:dyDescent="0.25">
      <c r="B28" s="73"/>
      <c r="C28" s="67"/>
    </row>
    <row r="29" spans="2:3" ht="30" customHeight="1" x14ac:dyDescent="0.25">
      <c r="B29" s="73" t="s">
        <v>114</v>
      </c>
      <c r="C29" s="67" t="s">
        <v>137</v>
      </c>
    </row>
    <row r="30" spans="2:3" ht="9" customHeight="1" x14ac:dyDescent="0.25">
      <c r="B30" s="73"/>
      <c r="C30" s="67"/>
    </row>
    <row r="31" spans="2:3" ht="105" customHeight="1" x14ac:dyDescent="0.25">
      <c r="B31" s="169" t="s">
        <v>115</v>
      </c>
      <c r="C31" s="67" t="s">
        <v>311</v>
      </c>
    </row>
    <row r="32" spans="2:3" ht="105" customHeight="1" x14ac:dyDescent="0.25">
      <c r="B32" s="170"/>
      <c r="C32" s="67" t="s">
        <v>119</v>
      </c>
    </row>
    <row r="33" spans="1:3" ht="15" customHeight="1" x14ac:dyDescent="0.25">
      <c r="B33" s="73"/>
      <c r="C33" s="67"/>
    </row>
    <row r="34" spans="1:3" ht="30" customHeight="1" x14ac:dyDescent="0.25">
      <c r="B34" s="76" t="s">
        <v>129</v>
      </c>
      <c r="C34" s="67" t="s">
        <v>130</v>
      </c>
    </row>
    <row r="35" spans="1:3" ht="15" customHeight="1" x14ac:dyDescent="0.25">
      <c r="B35" s="73"/>
      <c r="C35" s="67"/>
    </row>
    <row r="36" spans="1:3" ht="18" customHeight="1" x14ac:dyDescent="0.25">
      <c r="B36" s="74" t="s">
        <v>111</v>
      </c>
      <c r="C36" s="67" t="s">
        <v>125</v>
      </c>
    </row>
    <row r="37" spans="1:3" ht="9" customHeight="1" x14ac:dyDescent="0.25">
      <c r="B37" s="75"/>
      <c r="C37" s="67"/>
    </row>
    <row r="38" spans="1:3" ht="15" customHeight="1" x14ac:dyDescent="0.25">
      <c r="B38" s="76" t="s">
        <v>124</v>
      </c>
      <c r="C38" s="67"/>
    </row>
    <row r="39" spans="1:3" ht="30" customHeight="1" x14ac:dyDescent="0.25">
      <c r="B39" s="73" t="s">
        <v>116</v>
      </c>
      <c r="C39" s="67" t="s">
        <v>126</v>
      </c>
    </row>
    <row r="40" spans="1:3" ht="9" customHeight="1" x14ac:dyDescent="0.25">
      <c r="B40" s="73"/>
      <c r="C40" s="67"/>
    </row>
    <row r="41" spans="1:3" ht="30" customHeight="1" x14ac:dyDescent="0.25">
      <c r="B41" s="169" t="s">
        <v>117</v>
      </c>
      <c r="C41" s="67" t="s">
        <v>127</v>
      </c>
    </row>
    <row r="42" spans="1:3" ht="59.25" customHeight="1" x14ac:dyDescent="0.25">
      <c r="B42" s="170"/>
      <c r="C42" s="67" t="s">
        <v>172</v>
      </c>
    </row>
    <row r="43" spans="1:3" ht="9" customHeight="1" x14ac:dyDescent="0.25">
      <c r="A43" s="44"/>
      <c r="B43" s="73"/>
      <c r="C43" s="67"/>
    </row>
    <row r="44" spans="1:3" ht="90" customHeight="1" x14ac:dyDescent="0.25">
      <c r="B44" s="73" t="s">
        <v>118</v>
      </c>
      <c r="C44" s="67" t="s">
        <v>128</v>
      </c>
    </row>
    <row r="45" spans="1:3" ht="14.25" customHeight="1" x14ac:dyDescent="0.25">
      <c r="B45" s="131"/>
      <c r="C45" s="67"/>
    </row>
    <row r="46" spans="1:3" ht="42" customHeight="1" x14ac:dyDescent="0.25">
      <c r="B46" s="131" t="s">
        <v>184</v>
      </c>
      <c r="C46" s="67" t="s">
        <v>186</v>
      </c>
    </row>
    <row r="47" spans="1:3" ht="15" customHeight="1" x14ac:dyDescent="0.25">
      <c r="B47" s="73"/>
      <c r="C47" s="67"/>
    </row>
    <row r="48" spans="1:3" ht="30" customHeight="1" x14ac:dyDescent="0.25">
      <c r="B48" s="76" t="s">
        <v>129</v>
      </c>
      <c r="C48" s="67" t="s">
        <v>131</v>
      </c>
    </row>
    <row r="49" spans="2:3" ht="18" customHeight="1" x14ac:dyDescent="0.25">
      <c r="B49" s="77"/>
      <c r="C49" s="68"/>
    </row>
    <row r="50" spans="2:3" ht="9" customHeight="1" x14ac:dyDescent="0.25">
      <c r="B50" s="78"/>
      <c r="C50" s="78"/>
    </row>
    <row r="51" spans="2:3" ht="36" customHeight="1" x14ac:dyDescent="0.25">
      <c r="B51" s="79" t="s">
        <v>85</v>
      </c>
      <c r="C51" s="72"/>
    </row>
    <row r="52" spans="2:3" ht="24" customHeight="1" x14ac:dyDescent="0.25">
      <c r="B52" s="80" t="s">
        <v>86</v>
      </c>
      <c r="C52" s="67"/>
    </row>
    <row r="53" spans="2:3" ht="12" customHeight="1" x14ac:dyDescent="0.25">
      <c r="B53" s="81"/>
      <c r="C53" s="67"/>
    </row>
    <row r="54" spans="2:3" x14ac:dyDescent="0.25">
      <c r="B54" s="75" t="s">
        <v>93</v>
      </c>
      <c r="C54" s="67" t="s">
        <v>87</v>
      </c>
    </row>
    <row r="55" spans="2:3" ht="12" customHeight="1" x14ac:dyDescent="0.25">
      <c r="B55" s="81"/>
      <c r="C55" s="67"/>
    </row>
    <row r="56" spans="2:3" x14ac:dyDescent="0.25">
      <c r="B56" s="75" t="s">
        <v>94</v>
      </c>
      <c r="C56" s="67" t="s">
        <v>180</v>
      </c>
    </row>
    <row r="57" spans="2:3" ht="30" x14ac:dyDescent="0.25">
      <c r="B57" s="81"/>
      <c r="C57" s="67" t="s">
        <v>88</v>
      </c>
    </row>
    <row r="58" spans="2:3" ht="12" customHeight="1" x14ac:dyDescent="0.25">
      <c r="B58" s="81"/>
      <c r="C58" s="67"/>
    </row>
    <row r="59" spans="2:3" x14ac:dyDescent="0.25">
      <c r="B59" s="75" t="s">
        <v>95</v>
      </c>
      <c r="C59" s="67" t="s">
        <v>181</v>
      </c>
    </row>
    <row r="60" spans="2:3" x14ac:dyDescent="0.25">
      <c r="B60" s="81"/>
      <c r="C60" s="67" t="s">
        <v>89</v>
      </c>
    </row>
    <row r="61" spans="2:3" ht="12" customHeight="1" x14ac:dyDescent="0.25">
      <c r="B61" s="81"/>
      <c r="C61" s="67"/>
    </row>
    <row r="62" spans="2:3" x14ac:dyDescent="0.25">
      <c r="B62" s="75" t="s">
        <v>96</v>
      </c>
      <c r="C62" s="67" t="s">
        <v>182</v>
      </c>
    </row>
    <row r="63" spans="2:3" ht="18" customHeight="1" x14ac:dyDescent="0.25">
      <c r="B63" s="81"/>
      <c r="C63" s="67" t="s">
        <v>90</v>
      </c>
    </row>
    <row r="64" spans="2:3" ht="12" customHeight="1" x14ac:dyDescent="0.25">
      <c r="B64" s="81"/>
      <c r="C64" s="67"/>
    </row>
    <row r="65" spans="2:3" x14ac:dyDescent="0.25">
      <c r="B65" s="75" t="s">
        <v>97</v>
      </c>
      <c r="C65" s="67" t="s">
        <v>99</v>
      </c>
    </row>
    <row r="66" spans="2:3" ht="12" customHeight="1" x14ac:dyDescent="0.25">
      <c r="B66" s="81"/>
      <c r="C66" s="67"/>
    </row>
    <row r="67" spans="2:3" ht="30" x14ac:dyDescent="0.25">
      <c r="B67" s="75" t="s">
        <v>98</v>
      </c>
      <c r="C67" s="67" t="s">
        <v>91</v>
      </c>
    </row>
    <row r="68" spans="2:3" ht="12" customHeight="1" x14ac:dyDescent="0.25">
      <c r="B68" s="81"/>
      <c r="C68" s="67"/>
    </row>
    <row r="69" spans="2:3" ht="12" customHeight="1" x14ac:dyDescent="0.25">
      <c r="B69" s="81"/>
      <c r="C69" s="67"/>
    </row>
    <row r="70" spans="2:3" ht="45" x14ac:dyDescent="0.25">
      <c r="B70" s="82" t="s">
        <v>5</v>
      </c>
      <c r="C70" s="68" t="s">
        <v>92</v>
      </c>
    </row>
    <row r="71" spans="2:3" ht="9" customHeight="1" x14ac:dyDescent="0.25">
      <c r="B71" s="78"/>
      <c r="C71" s="78"/>
    </row>
    <row r="72" spans="2:3" ht="45" x14ac:dyDescent="0.25">
      <c r="B72" s="91" t="s">
        <v>135</v>
      </c>
      <c r="C72" s="83" t="s">
        <v>183</v>
      </c>
    </row>
    <row r="73" spans="2:3" ht="9" customHeight="1" x14ac:dyDescent="0.25">
      <c r="B73" s="78"/>
      <c r="C73" s="78"/>
    </row>
    <row r="74" spans="2:3" ht="24" customHeight="1" x14ac:dyDescent="0.25">
      <c r="B74" s="84" t="s">
        <v>100</v>
      </c>
      <c r="C74" s="85"/>
    </row>
    <row r="75" spans="2:3" ht="12" customHeight="1" x14ac:dyDescent="0.25">
      <c r="B75" s="86"/>
      <c r="C75" s="87"/>
    </row>
    <row r="76" spans="2:3" x14ac:dyDescent="0.25">
      <c r="B76" s="88" t="s">
        <v>102</v>
      </c>
      <c r="C76" s="87" t="s">
        <v>101</v>
      </c>
    </row>
    <row r="77" spans="2:3" x14ac:dyDescent="0.25">
      <c r="B77" s="88" t="s">
        <v>103</v>
      </c>
      <c r="C77" s="87" t="s">
        <v>109</v>
      </c>
    </row>
    <row r="78" spans="2:3" x14ac:dyDescent="0.25">
      <c r="B78" s="88" t="s">
        <v>132</v>
      </c>
      <c r="C78" s="87" t="s">
        <v>133</v>
      </c>
    </row>
    <row r="79" spans="2:3" x14ac:dyDescent="0.25">
      <c r="B79" s="88" t="s">
        <v>16</v>
      </c>
      <c r="C79" s="87" t="s">
        <v>106</v>
      </c>
    </row>
    <row r="80" spans="2:3" x14ac:dyDescent="0.25">
      <c r="B80" s="88" t="s">
        <v>107</v>
      </c>
      <c r="C80" s="87" t="s">
        <v>104</v>
      </c>
    </row>
    <row r="81" spans="2:3" x14ac:dyDescent="0.25">
      <c r="B81" s="89" t="s">
        <v>108</v>
      </c>
      <c r="C81" s="90"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ED19"/>
  <sheetViews>
    <sheetView showGridLines="0" zoomScale="90" zoomScaleNormal="90" workbookViewId="0">
      <pane xSplit="3" topLeftCell="F1" activePane="topRight" state="frozen"/>
      <selection activeCell="DS1" sqref="DS1:ED1048576"/>
      <selection pane="topRight" activeCell="L10" sqref="L10"/>
    </sheetView>
  </sheetViews>
  <sheetFormatPr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71" t="s">
        <v>0</v>
      </c>
      <c r="B1" s="172"/>
      <c r="C1" s="20"/>
      <c r="D1" s="1"/>
      <c r="E1" s="2"/>
      <c r="F1" s="2"/>
      <c r="G1" s="2"/>
      <c r="H1" s="2"/>
      <c r="I1" s="2"/>
      <c r="J1" s="2"/>
      <c r="K1" s="2"/>
      <c r="L1" s="2"/>
      <c r="M1" s="2"/>
      <c r="N1" s="2"/>
      <c r="O1" s="2"/>
    </row>
    <row r="2" spans="1:134" ht="18" customHeight="1" x14ac:dyDescent="0.25">
      <c r="A2" s="173"/>
      <c r="B2" s="174"/>
      <c r="C2" s="1"/>
      <c r="D2" s="1"/>
      <c r="E2" s="5"/>
      <c r="F2" s="3"/>
      <c r="G2" s="3"/>
      <c r="H2" s="3"/>
      <c r="I2" s="3"/>
      <c r="J2" s="3"/>
      <c r="K2" s="3"/>
      <c r="L2" s="3"/>
      <c r="M2" s="3"/>
      <c r="N2" s="3"/>
      <c r="O2" s="3"/>
    </row>
    <row r="3" spans="1:134" ht="18" customHeight="1" x14ac:dyDescent="0.3">
      <c r="A3" s="175" t="s">
        <v>12</v>
      </c>
      <c r="B3" s="176"/>
      <c r="C3" s="1"/>
      <c r="D3" s="1"/>
      <c r="E3" s="5"/>
      <c r="F3" s="3"/>
      <c r="G3" s="3"/>
      <c r="H3" s="3"/>
      <c r="I3" s="3"/>
      <c r="J3" s="3"/>
      <c r="K3" s="3"/>
      <c r="L3" s="3"/>
      <c r="M3" s="3"/>
      <c r="N3" s="3"/>
      <c r="O3" s="3"/>
      <c r="DS3" s="4" t="s">
        <v>229</v>
      </c>
    </row>
    <row r="4" spans="1:134" ht="18" customHeight="1" x14ac:dyDescent="0.25">
      <c r="A4" s="177"/>
      <c r="B4" s="174"/>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78" t="s">
        <v>3</v>
      </c>
      <c r="B5" s="179"/>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81"/>
      <c r="C6" s="47"/>
      <c r="D6" s="48"/>
      <c r="E6" s="49"/>
      <c r="F6" s="49"/>
      <c r="G6" s="49"/>
      <c r="H6" s="49"/>
      <c r="I6" s="49"/>
      <c r="J6" s="49"/>
      <c r="K6" s="49"/>
      <c r="L6" s="49"/>
      <c r="M6" s="49"/>
      <c r="N6" s="49"/>
      <c r="O6" s="49"/>
      <c r="DS6" s="4" t="str">
        <f>VLOOKUP(Cover!$D$15, Country_list!$B$3:$C$44, 2, 0)</f>
        <v>PT</v>
      </c>
      <c r="DV6" s="4" t="s">
        <v>298</v>
      </c>
    </row>
    <row r="7" spans="1:134" ht="24" customHeight="1" x14ac:dyDescent="0.2">
      <c r="A7" s="183" t="s">
        <v>15</v>
      </c>
      <c r="B7" s="184"/>
      <c r="C7" s="45"/>
      <c r="D7" s="15"/>
      <c r="E7" s="46"/>
      <c r="F7" s="46"/>
      <c r="G7" s="46"/>
      <c r="H7" s="46"/>
      <c r="I7" s="46"/>
      <c r="J7" s="46"/>
      <c r="K7" s="46"/>
      <c r="L7" s="46"/>
      <c r="M7" s="46"/>
      <c r="N7" s="46"/>
      <c r="O7" s="46"/>
    </row>
    <row r="8" spans="1:134" ht="24" customHeight="1" x14ac:dyDescent="0.2">
      <c r="A8" s="183" t="s">
        <v>29</v>
      </c>
      <c r="B8" s="184"/>
      <c r="C8" s="45"/>
      <c r="D8" s="15"/>
      <c r="E8" s="46"/>
      <c r="F8" s="46"/>
      <c r="G8" s="46"/>
      <c r="H8" s="46"/>
      <c r="I8" s="46"/>
      <c r="J8" s="46"/>
      <c r="K8" s="46"/>
      <c r="L8" s="46"/>
      <c r="M8" s="46"/>
      <c r="N8" s="46"/>
      <c r="O8" s="46"/>
    </row>
    <row r="9" spans="1:134" ht="24" customHeight="1" x14ac:dyDescent="0.2">
      <c r="A9" s="183" t="s">
        <v>156</v>
      </c>
      <c r="B9" s="184"/>
      <c r="C9" s="9" t="s">
        <v>132</v>
      </c>
      <c r="D9" s="93"/>
      <c r="E9" s="94"/>
      <c r="F9" s="94"/>
      <c r="G9" s="94"/>
      <c r="H9" s="94"/>
      <c r="I9" s="94"/>
      <c r="J9" s="94"/>
      <c r="K9" s="94"/>
      <c r="L9" s="94"/>
      <c r="M9" s="94"/>
      <c r="N9" s="94"/>
      <c r="O9" s="94"/>
      <c r="DT9" s="4" t="s">
        <v>279</v>
      </c>
      <c r="EB9" s="4" t="s">
        <v>300</v>
      </c>
      <c r="ED9" s="4" t="s">
        <v>301</v>
      </c>
    </row>
    <row r="10" spans="1:134" ht="24" customHeight="1" x14ac:dyDescent="0.2">
      <c r="A10" s="183" t="s">
        <v>20</v>
      </c>
      <c r="B10" s="184"/>
      <c r="C10" s="9" t="s">
        <v>132</v>
      </c>
      <c r="D10" s="93">
        <v>45335.907643312108</v>
      </c>
      <c r="E10" s="94">
        <v>45455.360443622922</v>
      </c>
      <c r="F10" s="94">
        <v>45548.0572597137</v>
      </c>
      <c r="G10" s="94">
        <v>45563.953488372092</v>
      </c>
      <c r="H10" s="94">
        <v>45549.302325581397</v>
      </c>
      <c r="I10" s="94">
        <v>45547.236180904518</v>
      </c>
      <c r="J10" s="94">
        <v>45535.189873417723</v>
      </c>
      <c r="K10" s="94">
        <v>45602.035623409669</v>
      </c>
      <c r="L10" s="94">
        <v>45516.248191775165</v>
      </c>
      <c r="M10" s="94"/>
      <c r="N10" s="94"/>
      <c r="O10" s="94"/>
      <c r="DT10" s="4" t="s">
        <v>280</v>
      </c>
      <c r="EB10" s="4" t="s">
        <v>300</v>
      </c>
      <c r="ED10" s="4" t="s">
        <v>301</v>
      </c>
    </row>
    <row r="11" spans="1:134" s="13" customFormat="1" ht="15" customHeight="1" x14ac:dyDescent="0.2">
      <c r="A11" s="182" t="s">
        <v>18</v>
      </c>
      <c r="B11" s="110" t="s">
        <v>21</v>
      </c>
      <c r="C11" s="111" t="s">
        <v>132</v>
      </c>
      <c r="D11" s="115">
        <v>46000</v>
      </c>
      <c r="E11" s="115">
        <v>46000</v>
      </c>
      <c r="F11" s="116">
        <v>46000</v>
      </c>
      <c r="G11" s="116">
        <v>46000</v>
      </c>
      <c r="H11" s="116">
        <v>46000</v>
      </c>
      <c r="I11" s="116">
        <v>46000</v>
      </c>
      <c r="J11" s="116">
        <v>46000</v>
      </c>
      <c r="K11" s="116">
        <v>46000</v>
      </c>
      <c r="L11" s="116">
        <v>46000</v>
      </c>
      <c r="M11" s="116"/>
      <c r="N11" s="116"/>
      <c r="O11" s="116"/>
      <c r="DT11" s="13" t="s">
        <v>281</v>
      </c>
      <c r="EB11" s="13" t="s">
        <v>300</v>
      </c>
      <c r="ED11" s="13" t="s">
        <v>301</v>
      </c>
    </row>
    <row r="12" spans="1:134" s="13" customFormat="1" ht="15" customHeight="1" x14ac:dyDescent="0.2">
      <c r="A12" s="182"/>
      <c r="B12" s="110" t="s">
        <v>22</v>
      </c>
      <c r="C12" s="111" t="s">
        <v>132</v>
      </c>
      <c r="D12" s="115">
        <v>43750</v>
      </c>
      <c r="E12" s="115">
        <v>43750</v>
      </c>
      <c r="F12" s="115">
        <v>43750</v>
      </c>
      <c r="G12" s="115">
        <v>43750</v>
      </c>
      <c r="H12" s="115">
        <v>43750</v>
      </c>
      <c r="I12" s="115">
        <v>43750</v>
      </c>
      <c r="J12" s="115">
        <v>43750</v>
      </c>
      <c r="K12" s="115">
        <v>43750</v>
      </c>
      <c r="L12" s="115">
        <v>43750</v>
      </c>
      <c r="M12" s="115"/>
      <c r="N12" s="115"/>
      <c r="O12" s="115"/>
      <c r="DT12" s="13" t="s">
        <v>282</v>
      </c>
      <c r="EB12" s="13" t="s">
        <v>300</v>
      </c>
      <c r="ED12" s="13" t="s">
        <v>301</v>
      </c>
    </row>
    <row r="13" spans="1:134" s="13" customFormat="1" ht="15" customHeight="1" x14ac:dyDescent="0.2">
      <c r="A13" s="182"/>
      <c r="B13" s="110" t="s">
        <v>23</v>
      </c>
      <c r="C13" s="111" t="s">
        <v>132</v>
      </c>
      <c r="D13" s="115">
        <v>42600</v>
      </c>
      <c r="E13" s="115">
        <v>42600</v>
      </c>
      <c r="F13" s="115">
        <v>42600</v>
      </c>
      <c r="G13" s="115">
        <v>42600</v>
      </c>
      <c r="H13" s="115">
        <v>42600</v>
      </c>
      <c r="I13" s="115">
        <v>42600</v>
      </c>
      <c r="J13" s="115">
        <v>42600</v>
      </c>
      <c r="K13" s="115">
        <v>42600</v>
      </c>
      <c r="L13" s="115">
        <v>42600</v>
      </c>
      <c r="M13" s="115"/>
      <c r="N13" s="115"/>
      <c r="O13" s="115"/>
      <c r="DT13" s="13" t="s">
        <v>283</v>
      </c>
      <c r="EB13" s="13" t="s">
        <v>300</v>
      </c>
      <c r="ED13" s="13" t="s">
        <v>301</v>
      </c>
    </row>
    <row r="14" spans="1:134" ht="24" customHeight="1" x14ac:dyDescent="0.2">
      <c r="A14" s="183" t="s">
        <v>24</v>
      </c>
      <c r="B14" s="184"/>
      <c r="C14" s="45"/>
      <c r="D14" s="15"/>
      <c r="E14" s="46"/>
      <c r="F14" s="46"/>
      <c r="G14" s="46"/>
      <c r="H14" s="46"/>
      <c r="I14" s="46"/>
      <c r="J14" s="46"/>
      <c r="K14" s="46"/>
      <c r="L14" s="46"/>
      <c r="M14" s="46"/>
      <c r="N14" s="46"/>
      <c r="O14" s="46"/>
    </row>
    <row r="15" spans="1:134" s="13" customFormat="1" ht="15" customHeight="1" x14ac:dyDescent="0.2">
      <c r="A15" s="182" t="s">
        <v>18</v>
      </c>
      <c r="B15" s="110" t="s">
        <v>26</v>
      </c>
      <c r="C15" s="14"/>
      <c r="D15" s="15"/>
      <c r="E15" s="12"/>
      <c r="F15" s="12"/>
      <c r="G15" s="12"/>
      <c r="H15" s="12"/>
      <c r="I15" s="12"/>
      <c r="J15" s="12"/>
      <c r="K15" s="12"/>
      <c r="L15" s="12"/>
      <c r="M15" s="12"/>
      <c r="N15" s="12"/>
      <c r="O15" s="12"/>
    </row>
    <row r="16" spans="1:134" s="13" customFormat="1" ht="15" customHeight="1" x14ac:dyDescent="0.2">
      <c r="A16" s="182"/>
      <c r="B16" s="110" t="s">
        <v>27</v>
      </c>
      <c r="C16" s="14"/>
      <c r="D16" s="15"/>
      <c r="E16" s="12"/>
      <c r="F16" s="12"/>
      <c r="G16" s="12"/>
      <c r="H16" s="12"/>
      <c r="I16" s="12"/>
      <c r="J16" s="12"/>
      <c r="K16" s="12"/>
      <c r="L16" s="12"/>
      <c r="M16" s="12"/>
      <c r="N16" s="12"/>
      <c r="O16" s="12"/>
    </row>
    <row r="17" spans="1:15" s="13" customFormat="1" ht="15" customHeight="1" x14ac:dyDescent="0.2">
      <c r="A17" s="182"/>
      <c r="B17" s="110" t="s">
        <v>28</v>
      </c>
      <c r="C17" s="14"/>
      <c r="D17" s="15"/>
      <c r="E17" s="12"/>
      <c r="F17" s="12"/>
      <c r="G17" s="12"/>
      <c r="H17" s="12"/>
      <c r="I17" s="12"/>
      <c r="J17" s="12"/>
      <c r="K17" s="12"/>
      <c r="L17" s="12"/>
      <c r="M17" s="12"/>
      <c r="N17" s="12"/>
      <c r="O17" s="12"/>
    </row>
    <row r="18" spans="1:15" s="13" customFormat="1" ht="15" customHeight="1" x14ac:dyDescent="0.2">
      <c r="A18" s="182"/>
      <c r="B18" s="110"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9:O13">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28575</xdr:rowOff>
                  </from>
                  <to>
                    <xdr:col>1</xdr:col>
                    <xdr:colOff>1028700</xdr:colOff>
                    <xdr:row>21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19"/>
  <sheetViews>
    <sheetView showGridLines="0" zoomScale="90" zoomScaleNormal="90" workbookViewId="0">
      <pane xSplit="3" topLeftCell="D1" activePane="topRight" state="frozen"/>
      <selection activeCell="C5" sqref="C5:C43"/>
      <selection pane="topRight" activeCell="E6" sqref="E6"/>
    </sheetView>
  </sheetViews>
  <sheetFormatPr defaultColWidth="15.7109375" defaultRowHeight="12" x14ac:dyDescent="0.25"/>
  <cols>
    <col min="1" max="1" width="9.140625" style="33" customWidth="1"/>
    <col min="2" max="2" width="54.7109375" style="33" customWidth="1"/>
    <col min="3" max="3" width="15" style="33" customWidth="1"/>
    <col min="4" max="4" width="18.7109375" style="38" customWidth="1"/>
    <col min="5" max="10" width="15.7109375" style="33" customWidth="1"/>
    <col min="11" max="11" width="12.7109375" style="34" customWidth="1"/>
    <col min="12" max="12" width="9.140625" style="33" customWidth="1"/>
    <col min="13" max="16384" width="15.7109375" style="33"/>
  </cols>
  <sheetData>
    <row r="1" spans="1:11" ht="24" customHeight="1" x14ac:dyDescent="0.25">
      <c r="A1" s="171" t="s">
        <v>0</v>
      </c>
      <c r="B1" s="190"/>
      <c r="C1" s="31"/>
      <c r="D1" s="1"/>
      <c r="E1" s="2"/>
      <c r="F1" s="2"/>
      <c r="G1" s="2"/>
      <c r="H1" s="2"/>
      <c r="I1" s="2"/>
      <c r="J1" s="2"/>
      <c r="K1" s="3"/>
    </row>
    <row r="2" spans="1:11" ht="18" customHeight="1" x14ac:dyDescent="0.25">
      <c r="A2" s="191" t="s">
        <v>1</v>
      </c>
      <c r="B2" s="192"/>
      <c r="C2" s="1" t="str">
        <f>Cover!D15</f>
        <v>Portugal</v>
      </c>
      <c r="D2" s="1"/>
      <c r="E2" s="5"/>
      <c r="F2" s="3"/>
      <c r="G2" s="3"/>
      <c r="H2" s="3"/>
      <c r="I2" s="3"/>
      <c r="J2" s="3"/>
      <c r="K2" s="3"/>
    </row>
    <row r="3" spans="1:11" ht="18" customHeight="1" x14ac:dyDescent="0.25">
      <c r="A3" s="191" t="s">
        <v>2</v>
      </c>
      <c r="B3" s="193"/>
      <c r="C3" s="114">
        <v>2018</v>
      </c>
      <c r="D3" s="1"/>
      <c r="E3" s="5"/>
      <c r="F3" s="3"/>
      <c r="G3" s="3"/>
      <c r="H3" s="3"/>
      <c r="I3" s="3"/>
      <c r="J3" s="3"/>
      <c r="K3" s="3"/>
    </row>
    <row r="4" spans="1:11" ht="18" customHeight="1" x14ac:dyDescent="0.25">
      <c r="A4" s="194"/>
      <c r="B4" s="195"/>
      <c r="C4" s="31"/>
      <c r="D4" s="1"/>
      <c r="E4" s="5"/>
      <c r="F4" s="3"/>
      <c r="G4" s="3"/>
      <c r="H4" s="3"/>
      <c r="I4" s="3"/>
      <c r="J4" s="3"/>
      <c r="K4" s="3"/>
    </row>
    <row r="5" spans="1:11" ht="37.5" customHeight="1" x14ac:dyDescent="0.25">
      <c r="A5" s="178" t="s">
        <v>3</v>
      </c>
      <c r="B5" s="196"/>
      <c r="C5" s="6" t="s">
        <v>4</v>
      </c>
      <c r="D5" s="7" t="s">
        <v>5</v>
      </c>
      <c r="E5" s="6" t="s">
        <v>6</v>
      </c>
      <c r="F5" s="6" t="s">
        <v>7</v>
      </c>
      <c r="G5" s="6" t="s">
        <v>8</v>
      </c>
      <c r="H5" s="6" t="s">
        <v>9</v>
      </c>
      <c r="I5" s="6" t="s">
        <v>10</v>
      </c>
      <c r="J5" s="6" t="s">
        <v>11</v>
      </c>
      <c r="K5" s="7" t="s">
        <v>12</v>
      </c>
    </row>
    <row r="6" spans="1:11" ht="24" customHeight="1" x14ac:dyDescent="0.25">
      <c r="A6" s="188" t="s">
        <v>13</v>
      </c>
      <c r="B6" s="189"/>
      <c r="C6" s="108" t="s">
        <v>14</v>
      </c>
      <c r="D6" s="120">
        <f ca="1">SUM(E6:J6)</f>
        <v>13212.999999999998</v>
      </c>
      <c r="E6" s="121">
        <f ca="1">INDIRECT(ADDRESS(ROW(K6),$C$3 -2010 + 4,,,"1a_SpaceHeating"))</f>
        <v>1197.0414909820197</v>
      </c>
      <c r="F6" s="121">
        <f ca="1">INDIRECT(ADDRESS(ROW(K6),$C$3-2010+4,,,"1b_SpaceCooling"))</f>
        <v>211.03459895128776</v>
      </c>
      <c r="G6" s="121">
        <f ca="1">INDIRECT(ADDRESS(ROW(K6),$C$3-2010+4,,,"1c_WaterHeating"))</f>
        <v>316.20110741488122</v>
      </c>
      <c r="H6" s="121">
        <f ca="1">INDIRECT(ADDRESS(ROW(K6),$C$3-2010+4,,,"1d_Cooking"))</f>
        <v>5354.3571783777907</v>
      </c>
      <c r="I6" s="121">
        <f ca="1">INDIRECT(ADDRESS(ROW(K6),$C$3-2010+4,,,"1e_LightingAndAppliances"))</f>
        <v>6134.365624274019</v>
      </c>
      <c r="J6" s="121">
        <f ca="1">INDIRECT(ADDRESS(ROW(K6),$C$3-2010+4,,,"1f_OtherEndUses"))</f>
        <v>0</v>
      </c>
      <c r="K6" s="122"/>
    </row>
    <row r="7" spans="1:11" ht="24" customHeight="1" x14ac:dyDescent="0.25">
      <c r="A7" s="186" t="s">
        <v>15</v>
      </c>
      <c r="B7" s="187"/>
      <c r="C7" s="109" t="s">
        <v>16</v>
      </c>
      <c r="D7" s="123">
        <f t="shared" ref="D7:D16" ca="1" si="0">SUM(E7:J7)</f>
        <v>44.17</v>
      </c>
      <c r="E7" s="124">
        <f t="shared" ref="E7:E16" ca="1" si="1">INDIRECT(ADDRESS(ROW(K7),$C$3 -2010 + 4,,,"1a_SpaceHeating"))</f>
        <v>44.17</v>
      </c>
      <c r="F7" s="125"/>
      <c r="G7" s="124">
        <f t="shared" ref="G7:G16" ca="1" si="2">INDIRECT(ADDRESS(ROW(K7),$C$3-2010+4,,,"1c_WaterHeating"))</f>
        <v>0</v>
      </c>
      <c r="H7" s="124">
        <f t="shared" ref="H7:H16" ca="1" si="3">INDIRECT(ADDRESS(ROW(K7),$C$3-2010+4,,,"1d_Cooking"))</f>
        <v>0</v>
      </c>
      <c r="I7" s="125"/>
      <c r="J7" s="124">
        <f t="shared" ref="J7:J17" ca="1" si="4">INDIRECT(ADDRESS(ROW(K7),$C$3-2010+4,,,"1f_OtherEndUses"))</f>
        <v>0</v>
      </c>
      <c r="K7" s="125"/>
    </row>
    <row r="8" spans="1:11" ht="24" customHeight="1" x14ac:dyDescent="0.25">
      <c r="A8" s="186" t="s">
        <v>29</v>
      </c>
      <c r="B8" s="187"/>
      <c r="C8" s="109" t="s">
        <v>17</v>
      </c>
      <c r="D8" s="123">
        <f t="shared" ca="1" si="0"/>
        <v>12704</v>
      </c>
      <c r="E8" s="124">
        <f t="shared" ca="1" si="1"/>
        <v>396.82669633102302</v>
      </c>
      <c r="F8" s="125"/>
      <c r="G8" s="124">
        <f t="shared" ca="1" si="2"/>
        <v>7847.9130012944033</v>
      </c>
      <c r="H8" s="124">
        <f t="shared" ca="1" si="3"/>
        <v>4459.2603023745742</v>
      </c>
      <c r="I8" s="125"/>
      <c r="J8" s="124">
        <f t="shared" ca="1" si="4"/>
        <v>0</v>
      </c>
      <c r="K8" s="125"/>
    </row>
    <row r="9" spans="1:11" ht="24" customHeight="1" x14ac:dyDescent="0.25">
      <c r="A9" s="186" t="s">
        <v>156</v>
      </c>
      <c r="B9" s="187"/>
      <c r="C9" s="109" t="s">
        <v>19</v>
      </c>
      <c r="D9" s="123">
        <f t="shared" ca="1" si="0"/>
        <v>0</v>
      </c>
      <c r="E9" s="124">
        <f t="shared" ca="1" si="1"/>
        <v>0</v>
      </c>
      <c r="F9" s="125"/>
      <c r="G9" s="124">
        <f t="shared" ca="1" si="2"/>
        <v>0</v>
      </c>
      <c r="H9" s="124">
        <f t="shared" ca="1" si="3"/>
        <v>0</v>
      </c>
      <c r="I9" s="125"/>
      <c r="J9" s="124">
        <f t="shared" ca="1" si="4"/>
        <v>0</v>
      </c>
      <c r="K9" s="126">
        <f ca="1">INDIRECT(ADDRESS(ROW(K9),$C$3-2010+4,,,"Calorific_Values"))</f>
        <v>0</v>
      </c>
    </row>
    <row r="10" spans="1:11" ht="24" customHeight="1" x14ac:dyDescent="0.25">
      <c r="A10" s="186" t="s">
        <v>42</v>
      </c>
      <c r="B10" s="187"/>
      <c r="C10" s="109" t="s">
        <v>19</v>
      </c>
      <c r="D10" s="123">
        <f t="shared" ca="1" si="0"/>
        <v>387</v>
      </c>
      <c r="E10" s="124">
        <f t="shared" ca="1" si="1"/>
        <v>41.257445156150965</v>
      </c>
      <c r="F10" s="125"/>
      <c r="G10" s="124">
        <f t="shared" ca="1" si="2"/>
        <v>197.05623910874382</v>
      </c>
      <c r="H10" s="124">
        <f t="shared" ca="1" si="3"/>
        <v>148.68631573510521</v>
      </c>
      <c r="I10" s="125"/>
      <c r="J10" s="124">
        <f t="shared" ca="1" si="4"/>
        <v>0</v>
      </c>
      <c r="K10" s="126">
        <f ca="1">INDIRECT(ADDRESS(ROW(K10),$C$3-2010+4,,,"Calorific_Values"))</f>
        <v>45516.248191775165</v>
      </c>
    </row>
    <row r="11" spans="1:11" s="34" customFormat="1" ht="15" customHeight="1" x14ac:dyDescent="0.25">
      <c r="A11" s="185" t="s">
        <v>18</v>
      </c>
      <c r="B11" s="10" t="s">
        <v>21</v>
      </c>
      <c r="C11" s="11" t="s">
        <v>19</v>
      </c>
      <c r="D11" s="127">
        <f t="shared" ca="1" si="0"/>
        <v>332</v>
      </c>
      <c r="E11" s="128">
        <f t="shared" ca="1" si="1"/>
        <v>7.9647189750955922</v>
      </c>
      <c r="F11" s="129"/>
      <c r="G11" s="128">
        <f t="shared" ca="1" si="2"/>
        <v>175.3489652897992</v>
      </c>
      <c r="H11" s="128">
        <f t="shared" ca="1" si="3"/>
        <v>148.68631573510521</v>
      </c>
      <c r="I11" s="129"/>
      <c r="J11" s="128">
        <f t="shared" ca="1" si="4"/>
        <v>0</v>
      </c>
      <c r="K11" s="130">
        <f t="shared" ref="K11:K13" ca="1" si="5">INDIRECT(ADDRESS(ROW(K11),$C$3-2010+4,,,"Calorific_Values"))</f>
        <v>46000</v>
      </c>
    </row>
    <row r="12" spans="1:11" s="34" customFormat="1" ht="15" customHeight="1" x14ac:dyDescent="0.25">
      <c r="A12" s="185"/>
      <c r="B12" s="10" t="s">
        <v>22</v>
      </c>
      <c r="C12" s="11" t="s">
        <v>19</v>
      </c>
      <c r="D12" s="127">
        <f t="shared" ca="1" si="0"/>
        <v>0</v>
      </c>
      <c r="E12" s="128">
        <f t="shared" ca="1" si="1"/>
        <v>0</v>
      </c>
      <c r="F12" s="129"/>
      <c r="G12" s="128">
        <f t="shared" ca="1" si="2"/>
        <v>0</v>
      </c>
      <c r="H12" s="128">
        <f t="shared" ca="1" si="3"/>
        <v>0</v>
      </c>
      <c r="I12" s="129"/>
      <c r="J12" s="128">
        <f t="shared" ca="1" si="4"/>
        <v>0</v>
      </c>
      <c r="K12" s="130">
        <f t="shared" ca="1" si="5"/>
        <v>43750</v>
      </c>
    </row>
    <row r="13" spans="1:11" s="34" customFormat="1" ht="15" customHeight="1" x14ac:dyDescent="0.25">
      <c r="A13" s="185"/>
      <c r="B13" s="10" t="s">
        <v>23</v>
      </c>
      <c r="C13" s="11" t="s">
        <v>19</v>
      </c>
      <c r="D13" s="127">
        <f t="shared" ca="1" si="0"/>
        <v>55</v>
      </c>
      <c r="E13" s="128">
        <f t="shared" ca="1" si="1"/>
        <v>33.292726181055372</v>
      </c>
      <c r="F13" s="129"/>
      <c r="G13" s="128">
        <f t="shared" ca="1" si="2"/>
        <v>21.707273818944628</v>
      </c>
      <c r="H13" s="128">
        <f t="shared" ca="1" si="3"/>
        <v>0</v>
      </c>
      <c r="I13" s="129"/>
      <c r="J13" s="128">
        <f t="shared" ca="1" si="4"/>
        <v>0</v>
      </c>
      <c r="K13" s="130">
        <f t="shared" ca="1" si="5"/>
        <v>42600</v>
      </c>
    </row>
    <row r="14" spans="1:11" ht="24" customHeight="1" x14ac:dyDescent="0.25">
      <c r="A14" s="186" t="s">
        <v>43</v>
      </c>
      <c r="B14" s="187"/>
      <c r="C14" s="109" t="s">
        <v>16</v>
      </c>
      <c r="D14" s="123">
        <f t="shared" ca="1" si="0"/>
        <v>45294</v>
      </c>
      <c r="E14" s="124">
        <f t="shared" ca="1" si="1"/>
        <v>27822.148844456202</v>
      </c>
      <c r="F14" s="125"/>
      <c r="G14" s="124">
        <f t="shared" ca="1" si="2"/>
        <v>4085.7079739277106</v>
      </c>
      <c r="H14" s="124">
        <f t="shared" ca="1" si="3"/>
        <v>13386.143181616089</v>
      </c>
      <c r="I14" s="125"/>
      <c r="J14" s="124">
        <f t="shared" ca="1" si="4"/>
        <v>0</v>
      </c>
      <c r="K14" s="125"/>
    </row>
    <row r="15" spans="1:11" s="34" customFormat="1" ht="15" customHeight="1" x14ac:dyDescent="0.25">
      <c r="A15" s="185" t="s">
        <v>18</v>
      </c>
      <c r="B15" s="10" t="s">
        <v>26</v>
      </c>
      <c r="C15" s="11" t="s">
        <v>16</v>
      </c>
      <c r="D15" s="127">
        <f t="shared" ca="1" si="0"/>
        <v>2402</v>
      </c>
      <c r="E15" s="128">
        <f t="shared" ca="1" si="1"/>
        <v>194.3708089074654</v>
      </c>
      <c r="F15" s="129"/>
      <c r="G15" s="128">
        <f t="shared" ca="1" si="2"/>
        <v>2207.6291910925347</v>
      </c>
      <c r="H15" s="128">
        <f t="shared" ca="1" si="3"/>
        <v>0</v>
      </c>
      <c r="I15" s="129"/>
      <c r="J15" s="128">
        <f t="shared" ca="1" si="4"/>
        <v>0</v>
      </c>
      <c r="K15" s="129"/>
    </row>
    <row r="16" spans="1:11" s="34" customFormat="1" ht="15" customHeight="1" x14ac:dyDescent="0.25">
      <c r="A16" s="185"/>
      <c r="B16" s="10" t="s">
        <v>27</v>
      </c>
      <c r="C16" s="11" t="s">
        <v>16</v>
      </c>
      <c r="D16" s="127">
        <f t="shared" ca="1" si="0"/>
        <v>31786</v>
      </c>
      <c r="E16" s="128">
        <f t="shared" ca="1" si="1"/>
        <v>16521.778035548738</v>
      </c>
      <c r="F16" s="129"/>
      <c r="G16" s="128">
        <f t="shared" ca="1" si="2"/>
        <v>1878.0787828351761</v>
      </c>
      <c r="H16" s="128">
        <f t="shared" ca="1" si="3"/>
        <v>13386.143181616089</v>
      </c>
      <c r="I16" s="129"/>
      <c r="J16" s="128">
        <f t="shared" ca="1" si="4"/>
        <v>0</v>
      </c>
      <c r="K16" s="129"/>
    </row>
    <row r="17" spans="1:11" s="34" customFormat="1" ht="15" customHeight="1" x14ac:dyDescent="0.25">
      <c r="A17" s="185"/>
      <c r="B17" s="10" t="s">
        <v>28</v>
      </c>
      <c r="C17" s="11" t="s">
        <v>16</v>
      </c>
      <c r="D17" s="127">
        <f t="shared" ref="D17" ca="1" si="6">SUM(E17:J17)</f>
        <v>0</v>
      </c>
      <c r="E17" s="128">
        <f t="shared" ref="E17" ca="1" si="7">INDIRECT(ADDRESS(ROW(K17),$C$3 -2010 + 4,,,"1a_SpaceHeating"))</f>
        <v>0</v>
      </c>
      <c r="F17" s="129"/>
      <c r="G17" s="128">
        <f t="shared" ref="G17" ca="1" si="8">INDIRECT(ADDRESS(ROW(K17),$C$3-2010+4,,,"1c_WaterHeating"))</f>
        <v>0</v>
      </c>
      <c r="H17" s="128">
        <f t="shared" ref="H17" ca="1" si="9">INDIRECT(ADDRESS(ROW(K17),$C$3-2010+4,,,"1d_Cooking"))</f>
        <v>0</v>
      </c>
      <c r="I17" s="129"/>
      <c r="J17" s="128">
        <f t="shared" ca="1" si="4"/>
        <v>0</v>
      </c>
      <c r="K17" s="129"/>
    </row>
    <row r="18" spans="1:11" s="34" customFormat="1" ht="15" customHeight="1" x14ac:dyDescent="0.25">
      <c r="A18" s="185"/>
      <c r="B18" s="34" t="s">
        <v>184</v>
      </c>
      <c r="C18" s="11" t="s">
        <v>16</v>
      </c>
      <c r="D18" s="127">
        <f ca="1">SUM(E18:J18)</f>
        <v>11106</v>
      </c>
      <c r="E18" s="128">
        <f ca="1">INDIRECT(ADDRESS(ROW(K18),$C$3 -2010 + 4,,,"1a_SpaceHeating"))</f>
        <v>11106</v>
      </c>
      <c r="F18" s="129"/>
      <c r="G18" s="128">
        <f ca="1">INDIRECT(ADDRESS(ROW(K18),$C$3-2010+4,,,"1c_WaterHeating"))</f>
        <v>0</v>
      </c>
      <c r="H18" s="128">
        <f ca="1">INDIRECT(ADDRESS(ROW(K18),$C$3-2010+4,,,"1d_Cooking"))</f>
        <v>0</v>
      </c>
      <c r="I18" s="129"/>
      <c r="J18" s="128">
        <f ca="1">INDIRECT(ADDRESS(ROW(K18),$C$3-2010+4,,,"1f_OtherEndUses"))</f>
        <v>0</v>
      </c>
      <c r="K18" s="129"/>
    </row>
    <row r="19" spans="1:11" ht="21" customHeight="1" x14ac:dyDescent="0.25">
      <c r="A19" s="35"/>
      <c r="B19" s="35"/>
      <c r="C19" s="35"/>
      <c r="D19" s="36"/>
      <c r="E19" s="35"/>
      <c r="F19" s="35"/>
      <c r="G19" s="35"/>
      <c r="H19" s="35"/>
      <c r="I19" s="35"/>
      <c r="J19" s="35"/>
      <c r="K19" s="37"/>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6:B6"/>
    <mergeCell ref="A1:B1"/>
    <mergeCell ref="A2:B2"/>
    <mergeCell ref="A3:B3"/>
    <mergeCell ref="A4:B4"/>
    <mergeCell ref="A5:B5"/>
    <mergeCell ref="A11:A13"/>
    <mergeCell ref="A14:B14"/>
    <mergeCell ref="A15:A18"/>
    <mergeCell ref="A7:B7"/>
    <mergeCell ref="A8:B8"/>
    <mergeCell ref="A9:B9"/>
    <mergeCell ref="A10:B10"/>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E18" sqref="E18"/>
    </sheetView>
  </sheetViews>
  <sheetFormatPr defaultColWidth="15.7109375" defaultRowHeight="12" x14ac:dyDescent="0.25"/>
  <cols>
    <col min="1" max="1" width="9.140625" style="98" customWidth="1"/>
    <col min="2" max="2" width="54.7109375" style="98" customWidth="1"/>
    <col min="3" max="3" width="15" style="98" customWidth="1"/>
    <col min="4" max="4" width="18.7109375" style="38" customWidth="1"/>
    <col min="5" max="10" width="15.7109375" style="98" customWidth="1"/>
    <col min="11" max="11" width="12.7109375" style="34" customWidth="1"/>
    <col min="12" max="12" width="9.140625" style="98" customWidth="1"/>
    <col min="13" max="16384" width="15.7109375" style="98"/>
  </cols>
  <sheetData>
    <row r="1" spans="1:11" ht="24" customHeight="1" x14ac:dyDescent="0.25">
      <c r="A1" s="171" t="s">
        <v>0</v>
      </c>
      <c r="B1" s="190"/>
      <c r="C1" s="31"/>
      <c r="D1" s="1"/>
      <c r="E1" s="2"/>
      <c r="F1" s="2"/>
      <c r="G1" s="2"/>
      <c r="H1" s="2"/>
      <c r="I1" s="2"/>
      <c r="J1" s="2"/>
      <c r="K1" s="3"/>
    </row>
    <row r="2" spans="1:11" ht="18" customHeight="1" x14ac:dyDescent="0.25">
      <c r="A2" s="191" t="s">
        <v>1</v>
      </c>
      <c r="B2" s="192"/>
      <c r="C2" s="1" t="str">
        <f>Cover!D15</f>
        <v>Portugal</v>
      </c>
      <c r="D2" s="1"/>
      <c r="E2" s="5"/>
      <c r="F2" s="3"/>
      <c r="G2" s="3"/>
      <c r="H2" s="3"/>
      <c r="I2" s="3"/>
      <c r="J2" s="3"/>
      <c r="K2" s="3"/>
    </row>
    <row r="3" spans="1:11" ht="18" customHeight="1" x14ac:dyDescent="0.25">
      <c r="A3" s="191" t="s">
        <v>2</v>
      </c>
      <c r="B3" s="192"/>
      <c r="C3" s="1">
        <f>Table1_Totals!C3</f>
        <v>2018</v>
      </c>
      <c r="D3" s="1"/>
      <c r="E3" s="5"/>
      <c r="F3" s="3"/>
      <c r="G3" s="3"/>
      <c r="H3" s="3"/>
      <c r="I3" s="3"/>
      <c r="J3" s="3"/>
      <c r="K3" s="3"/>
    </row>
    <row r="4" spans="1:11" ht="18" customHeight="1" x14ac:dyDescent="0.25">
      <c r="A4" s="194"/>
      <c r="B4" s="195"/>
      <c r="C4" s="31"/>
      <c r="D4" s="1"/>
      <c r="E4" s="5"/>
      <c r="F4" s="3"/>
      <c r="G4" s="3"/>
      <c r="H4" s="3"/>
      <c r="I4" s="3"/>
      <c r="J4" s="3"/>
      <c r="K4" s="3"/>
    </row>
    <row r="5" spans="1:11" ht="37.5" customHeight="1" x14ac:dyDescent="0.25">
      <c r="A5" s="178" t="s">
        <v>3</v>
      </c>
      <c r="B5" s="196"/>
      <c r="C5" s="6" t="s">
        <v>4</v>
      </c>
      <c r="D5" s="7" t="s">
        <v>5</v>
      </c>
      <c r="E5" s="6" t="s">
        <v>6</v>
      </c>
      <c r="F5" s="6" t="s">
        <v>7</v>
      </c>
      <c r="G5" s="6" t="s">
        <v>8</v>
      </c>
      <c r="H5" s="6" t="s">
        <v>9</v>
      </c>
      <c r="I5" s="6" t="s">
        <v>10</v>
      </c>
      <c r="J5" s="6" t="s">
        <v>11</v>
      </c>
      <c r="K5" s="7" t="s">
        <v>12</v>
      </c>
    </row>
    <row r="6" spans="1:11" ht="24" customHeight="1" x14ac:dyDescent="0.25">
      <c r="A6" s="188" t="s">
        <v>13</v>
      </c>
      <c r="B6" s="189"/>
      <c r="C6" s="108" t="s">
        <v>16</v>
      </c>
      <c r="D6" s="120">
        <f ca="1">SUM(E6:J6)</f>
        <v>47566.8</v>
      </c>
      <c r="E6" s="121">
        <f ca="1">Table1_Totals!E6*3.6</f>
        <v>4309.3493675352711</v>
      </c>
      <c r="F6" s="121">
        <f ca="1">Table1_Totals!F6*3.6</f>
        <v>759.72455622463599</v>
      </c>
      <c r="G6" s="121">
        <f ca="1">Table1_Totals!G6*3.6</f>
        <v>1138.3239866935724</v>
      </c>
      <c r="H6" s="121">
        <f ca="1">Table1_Totals!H6*3.6</f>
        <v>19275.685842160048</v>
      </c>
      <c r="I6" s="121">
        <f ca="1">Table1_Totals!I6*3.6</f>
        <v>22083.71624738647</v>
      </c>
      <c r="J6" s="121">
        <f ca="1">Table1_Totals!J6*3.6</f>
        <v>0</v>
      </c>
      <c r="K6" s="122"/>
    </row>
    <row r="7" spans="1:11" ht="24" customHeight="1" x14ac:dyDescent="0.25">
      <c r="A7" s="186" t="s">
        <v>15</v>
      </c>
      <c r="B7" s="187"/>
      <c r="C7" s="109" t="s">
        <v>16</v>
      </c>
      <c r="D7" s="123">
        <f t="shared" ref="D7:D18" ca="1" si="0">SUM(E7:J7)</f>
        <v>44.17</v>
      </c>
      <c r="E7" s="124">
        <f ca="1">Table1_Totals!E7</f>
        <v>44.17</v>
      </c>
      <c r="F7" s="125"/>
      <c r="G7" s="124">
        <f ca="1">Table1_Totals!G7</f>
        <v>0</v>
      </c>
      <c r="H7" s="124">
        <f ca="1">Table1_Totals!H7</f>
        <v>0</v>
      </c>
      <c r="I7" s="125"/>
      <c r="J7" s="124">
        <f ca="1">Table1_Totals!J7</f>
        <v>0</v>
      </c>
      <c r="K7" s="125"/>
    </row>
    <row r="8" spans="1:11" ht="24" customHeight="1" x14ac:dyDescent="0.25">
      <c r="A8" s="186" t="s">
        <v>29</v>
      </c>
      <c r="B8" s="187"/>
      <c r="C8" s="109" t="s">
        <v>16</v>
      </c>
      <c r="D8" s="123">
        <f t="shared" ca="1" si="0"/>
        <v>11433.6</v>
      </c>
      <c r="E8" s="124">
        <f ca="1">Table1_Totals!E8*0.9</f>
        <v>357.14402669792071</v>
      </c>
      <c r="F8" s="125"/>
      <c r="G8" s="124">
        <f ca="1">Table1_Totals!G8*0.9</f>
        <v>7063.1217011649633</v>
      </c>
      <c r="H8" s="124">
        <f ca="1">Table1_Totals!H8*0.9</f>
        <v>4013.3342721371168</v>
      </c>
      <c r="I8" s="125"/>
      <c r="J8" s="124">
        <f ca="1">Table1_Totals!J8*0.9</f>
        <v>0</v>
      </c>
      <c r="K8" s="125"/>
    </row>
    <row r="9" spans="1:11" ht="24" customHeight="1" x14ac:dyDescent="0.25">
      <c r="A9" s="186" t="s">
        <v>156</v>
      </c>
      <c r="B9" s="187"/>
      <c r="C9" s="109" t="s">
        <v>16</v>
      </c>
      <c r="D9" s="123">
        <f t="shared" ca="1" si="0"/>
        <v>0</v>
      </c>
      <c r="E9" s="124" t="str">
        <f ca="1">IF(Table1_Totals!E9&lt;&gt;0,IF(Table1_Totals!$K9&lt;&gt;0,Table1_Totals!E9*Table1_Totals!$K9/1000,"Please check CV"),"0,000")</f>
        <v>0,000</v>
      </c>
      <c r="F9" s="125"/>
      <c r="G9" s="124" t="str">
        <f ca="1">IF(Table1_Totals!G9&lt;&gt;0,IF(Table1_Totals!$K9&lt;&gt;0,Table1_Totals!G9*Table1_Totals!$K$9/1000,"Please check CV"),"0,000")</f>
        <v>0,000</v>
      </c>
      <c r="H9" s="124" t="str">
        <f ca="1">IF(Table1_Totals!H9&lt;&gt;0,IF(Table1_Totals!$K9&lt;&gt;0,Table1_Totals!H9*Table1_Totals!$K$9/1000,"Please check CV"),"0,000")</f>
        <v>0,000</v>
      </c>
      <c r="I9" s="125"/>
      <c r="J9" s="124" t="str">
        <f ca="1">IF(Table1_Totals!J9&lt;&gt;0,IF(Table1_Totals!$K9&lt;&gt;0,Table1_Totals!J9*Table1_Totals!$K$9/1000,"Please check CV"),"0,000")</f>
        <v>0,000</v>
      </c>
      <c r="K9" s="126">
        <f ca="1">Table1_Totals!K9</f>
        <v>0</v>
      </c>
    </row>
    <row r="10" spans="1:11" ht="24" customHeight="1" x14ac:dyDescent="0.25">
      <c r="A10" s="186" t="s">
        <v>42</v>
      </c>
      <c r="B10" s="187"/>
      <c r="C10" s="109" t="s">
        <v>16</v>
      </c>
      <c r="D10" s="123">
        <f t="shared" ca="1" si="0"/>
        <v>17614.788050216986</v>
      </c>
      <c r="E10" s="124">
        <f ca="1">IF(Table1_Totals!E10&lt;&gt;0,IF(Table1_Totals!$K10&lt;&gt;0,Table1_Totals!E10*Table1_Totals!$K10/1000,"Please check CV"),"0,000")</f>
        <v>1877.8841134859192</v>
      </c>
      <c r="F10" s="125"/>
      <c r="G10" s="124">
        <f ca="1">IF(Table1_Totals!G10&lt;&gt;0,IF(Table1_Totals!$K10&lt;&gt;0,Table1_Totals!G10*Table1_Totals!$K10/1000,"Please check CV"),"0,000")</f>
        <v>8969.2606870113759</v>
      </c>
      <c r="H10" s="124">
        <f ca="1">IF(Table1_Totals!H10&lt;&gt;0,IF(Table1_Totals!$K10&lt;&gt;0,Table1_Totals!H10*Table1_Totals!$K10/1000,"Please check CV"),"0,000")</f>
        <v>6767.6432497196929</v>
      </c>
      <c r="I10" s="125"/>
      <c r="J10" s="124" t="str">
        <f ca="1">IF(Table1_Totals!J10&lt;&gt;0,IF(Table1_Totals!$K10&lt;&gt;0,Table1_Totals!J10*Table1_Totals!$K10/1000,"Please check CV"),"0,000")</f>
        <v>0,000</v>
      </c>
      <c r="K10" s="126">
        <f ca="1">Table1_Totals!K10</f>
        <v>45516.248191775165</v>
      </c>
    </row>
    <row r="11" spans="1:11" s="34" customFormat="1" ht="15" customHeight="1" x14ac:dyDescent="0.25">
      <c r="A11" s="185" t="s">
        <v>18</v>
      </c>
      <c r="B11" s="10" t="s">
        <v>21</v>
      </c>
      <c r="C11" s="11" t="s">
        <v>16</v>
      </c>
      <c r="D11" s="127">
        <f t="shared" ca="1" si="0"/>
        <v>15272</v>
      </c>
      <c r="E11" s="128">
        <f ca="1">IF(Table1_Totals!E11&lt;&gt;0,IF(Table1_Totals!$K11&lt;&gt;0,Table1_Totals!E11*Table1_Totals!$K11/1000,"Please check CV"),"0,000")</f>
        <v>366.37707285439723</v>
      </c>
      <c r="F11" s="129"/>
      <c r="G11" s="128">
        <f ca="1">IF(Table1_Totals!G11&lt;&gt;0,IF(Table1_Totals!$K11&lt;&gt;0,Table1_Totals!G11*Table1_Totals!$K11/1000,"Please check CV"),"0,000")</f>
        <v>8066.0524033307629</v>
      </c>
      <c r="H11" s="128">
        <f ca="1">IF(Table1_Totals!H11&lt;&gt;0,IF(Table1_Totals!$K11&lt;&gt;0,Table1_Totals!H11*Table1_Totals!$K11/1000,"Please check CV"),"0,000")</f>
        <v>6839.5705238148394</v>
      </c>
      <c r="I11" s="129"/>
      <c r="J11" s="128" t="str">
        <f ca="1">IF(Table1_Totals!J11&lt;&gt;0,IF(Table1_Totals!$K11&lt;&gt;0,Table1_Totals!J11*Table1_Totals!$K11/1000,"Please check CV"),"0,000")</f>
        <v>0,000</v>
      </c>
      <c r="K11" s="130">
        <f ca="1">Table1_Totals!K11</f>
        <v>46000</v>
      </c>
    </row>
    <row r="12" spans="1:11" s="34" customFormat="1" ht="15" customHeight="1" x14ac:dyDescent="0.25">
      <c r="A12" s="185"/>
      <c r="B12" s="10" t="s">
        <v>22</v>
      </c>
      <c r="C12" s="11" t="s">
        <v>16</v>
      </c>
      <c r="D12" s="127">
        <f t="shared" ca="1" si="0"/>
        <v>0</v>
      </c>
      <c r="E12" s="128" t="str">
        <f ca="1">IF(Table1_Totals!E12&lt;&gt;0,IF(Table1_Totals!$K12&lt;&gt;0,Table1_Totals!E12*Table1_Totals!$K12/1000,"Please check CV"),"0,000")</f>
        <v>0,000</v>
      </c>
      <c r="F12" s="129"/>
      <c r="G12" s="128" t="str">
        <f ca="1">IF(Table1_Totals!G12&lt;&gt;0,IF(Table1_Totals!$K12&lt;&gt;0,Table1_Totals!G12*Table1_Totals!$K12/1000,"Please check CV"),"0,000")</f>
        <v>0,000</v>
      </c>
      <c r="H12" s="128" t="str">
        <f ca="1">IF(Table1_Totals!H12&lt;&gt;0,IF(Table1_Totals!$K12&lt;&gt;0,Table1_Totals!H12*Table1_Totals!$K12/1000,"Please check CV"),"0,000")</f>
        <v>0,000</v>
      </c>
      <c r="I12" s="129"/>
      <c r="J12" s="128" t="str">
        <f ca="1">IF(Table1_Totals!J12&lt;&gt;0,IF(Table1_Totals!$K12&lt;&gt;0,Table1_Totals!J12*Table1_Totals!$K12/1000,"Please check CV"),"0,000")</f>
        <v>0,000</v>
      </c>
      <c r="K12" s="130">
        <f ca="1">Table1_Totals!K12</f>
        <v>43750</v>
      </c>
    </row>
    <row r="13" spans="1:11" s="34" customFormat="1" ht="15" customHeight="1" x14ac:dyDescent="0.25">
      <c r="A13" s="185"/>
      <c r="B13" s="10" t="s">
        <v>23</v>
      </c>
      <c r="C13" s="11" t="s">
        <v>16</v>
      </c>
      <c r="D13" s="127">
        <f t="shared" ca="1" si="0"/>
        <v>2343</v>
      </c>
      <c r="E13" s="128">
        <f ca="1">IF(Table1_Totals!E13&lt;&gt;0,IF(Table1_Totals!$K13&lt;&gt;0,Table1_Totals!E13*Table1_Totals!$K13/1000,"Please check CV"),"0,000")</f>
        <v>1418.2701353129589</v>
      </c>
      <c r="F13" s="129"/>
      <c r="G13" s="128">
        <f ca="1">IF(Table1_Totals!G13&lt;&gt;0,IF(Table1_Totals!$K13&lt;&gt;0,Table1_Totals!G13*Table1_Totals!$K13/1000,"Please check CV"),"0,000")</f>
        <v>924.72986468704119</v>
      </c>
      <c r="H13" s="128" t="str">
        <f ca="1">IF(Table1_Totals!H13&lt;&gt;0,IF(Table1_Totals!$K13&lt;&gt;0,Table1_Totals!H13*Table1_Totals!$K13/1000,"Please check CV"),"0,000")</f>
        <v>0,000</v>
      </c>
      <c r="I13" s="129"/>
      <c r="J13" s="128" t="str">
        <f ca="1">IF(Table1_Totals!J13&lt;&gt;0,IF(Table1_Totals!$K13&lt;&gt;0,Table1_Totals!J13*Table1_Totals!$K13/1000,"Please check CV"),"0,000")</f>
        <v>0,000</v>
      </c>
      <c r="K13" s="130">
        <f ca="1">Table1_Totals!K13</f>
        <v>42600</v>
      </c>
    </row>
    <row r="14" spans="1:11" ht="24" customHeight="1" x14ac:dyDescent="0.25">
      <c r="A14" s="186" t="s">
        <v>43</v>
      </c>
      <c r="B14" s="187"/>
      <c r="C14" s="109" t="s">
        <v>16</v>
      </c>
      <c r="D14" s="123">
        <f t="shared" ca="1" si="0"/>
        <v>45294</v>
      </c>
      <c r="E14" s="124">
        <f ca="1">Table1_Totals!E14</f>
        <v>27822.148844456202</v>
      </c>
      <c r="F14" s="125"/>
      <c r="G14" s="124">
        <f ca="1">Table1_Totals!G14</f>
        <v>4085.7079739277106</v>
      </c>
      <c r="H14" s="124">
        <f ca="1">Table1_Totals!H14</f>
        <v>13386.143181616089</v>
      </c>
      <c r="I14" s="125"/>
      <c r="J14" s="124">
        <f ca="1">Table1_Totals!J14</f>
        <v>0</v>
      </c>
      <c r="K14" s="125"/>
    </row>
    <row r="15" spans="1:11" s="34" customFormat="1" ht="15" customHeight="1" x14ac:dyDescent="0.25">
      <c r="A15" s="185" t="s">
        <v>18</v>
      </c>
      <c r="B15" s="10" t="s">
        <v>26</v>
      </c>
      <c r="C15" s="11" t="s">
        <v>16</v>
      </c>
      <c r="D15" s="127">
        <f t="shared" ca="1" si="0"/>
        <v>2402</v>
      </c>
      <c r="E15" s="128">
        <f ca="1">Table1_Totals!E15</f>
        <v>194.3708089074654</v>
      </c>
      <c r="F15" s="129"/>
      <c r="G15" s="128">
        <f ca="1">Table1_Totals!G15</f>
        <v>2207.6291910925347</v>
      </c>
      <c r="H15" s="128">
        <f ca="1">Table1_Totals!H15</f>
        <v>0</v>
      </c>
      <c r="I15" s="129"/>
      <c r="J15" s="128">
        <f ca="1">Table1_Totals!J15</f>
        <v>0</v>
      </c>
      <c r="K15" s="129"/>
    </row>
    <row r="16" spans="1:11" s="34" customFormat="1" ht="15" customHeight="1" x14ac:dyDescent="0.25">
      <c r="A16" s="185"/>
      <c r="B16" s="10" t="s">
        <v>27</v>
      </c>
      <c r="C16" s="11" t="s">
        <v>16</v>
      </c>
      <c r="D16" s="127">
        <f t="shared" ca="1" si="0"/>
        <v>31786</v>
      </c>
      <c r="E16" s="128">
        <f ca="1">Table1_Totals!E16</f>
        <v>16521.778035548738</v>
      </c>
      <c r="F16" s="129"/>
      <c r="G16" s="128">
        <f ca="1">Table1_Totals!G16</f>
        <v>1878.0787828351761</v>
      </c>
      <c r="H16" s="128">
        <f ca="1">Table1_Totals!H16</f>
        <v>13386.143181616089</v>
      </c>
      <c r="I16" s="129"/>
      <c r="J16" s="128">
        <f ca="1">Table1_Totals!J16</f>
        <v>0</v>
      </c>
      <c r="K16" s="129"/>
    </row>
    <row r="17" spans="1:11" s="34" customFormat="1" ht="15" customHeight="1" x14ac:dyDescent="0.25">
      <c r="A17" s="185"/>
      <c r="B17" s="10" t="s">
        <v>28</v>
      </c>
      <c r="C17" s="11"/>
      <c r="D17" s="127">
        <f t="shared" ref="D17" ca="1" si="1">SUM(E17:J17)</f>
        <v>0</v>
      </c>
      <c r="E17" s="128">
        <f ca="1">Table1_Totals!E17</f>
        <v>0</v>
      </c>
      <c r="F17" s="129"/>
      <c r="G17" s="128">
        <f ca="1">Table1_Totals!G17</f>
        <v>0</v>
      </c>
      <c r="H17" s="128">
        <f ca="1">Table1_Totals!H17</f>
        <v>0</v>
      </c>
      <c r="I17" s="129"/>
      <c r="J17" s="128">
        <f ca="1">Table1_Totals!J17</f>
        <v>0</v>
      </c>
      <c r="K17" s="129"/>
    </row>
    <row r="18" spans="1:11" s="34" customFormat="1" ht="15" customHeight="1" x14ac:dyDescent="0.25">
      <c r="A18" s="185"/>
      <c r="B18" s="34" t="s">
        <v>184</v>
      </c>
      <c r="C18" s="11" t="s">
        <v>16</v>
      </c>
      <c r="D18" s="127">
        <f t="shared" ca="1" si="0"/>
        <v>11106</v>
      </c>
      <c r="E18" s="128">
        <f ca="1">Table1_Totals!E18</f>
        <v>11106</v>
      </c>
      <c r="F18" s="129"/>
      <c r="G18" s="128">
        <f ca="1">Table1_Totals!G18</f>
        <v>0</v>
      </c>
      <c r="H18" s="128">
        <f ca="1">Table1_Totals!H18</f>
        <v>0</v>
      </c>
      <c r="I18" s="129"/>
      <c r="J18" s="128">
        <f ca="1">Table1_Totals!J18</f>
        <v>0</v>
      </c>
      <c r="K18" s="129"/>
    </row>
    <row r="19" spans="1:11" ht="24" customHeight="1" x14ac:dyDescent="0.25">
      <c r="A19" s="186" t="s">
        <v>171</v>
      </c>
      <c r="B19" s="187"/>
      <c r="C19" s="109" t="s">
        <v>16</v>
      </c>
      <c r="D19" s="123">
        <f t="shared" ref="D19" ca="1" si="2">SUM(E19:J19)</f>
        <v>121953.35805021699</v>
      </c>
      <c r="E19" s="124">
        <f ca="1">SUM(E6:E10,E14)</f>
        <v>34410.696352175313</v>
      </c>
      <c r="F19" s="124">
        <f t="shared" ref="F19:J19" ca="1" si="3">SUM(F6:F10,F14)</f>
        <v>759.72455622463599</v>
      </c>
      <c r="G19" s="124">
        <f t="shared" ca="1" si="3"/>
        <v>21256.414348797622</v>
      </c>
      <c r="H19" s="124">
        <f t="shared" ca="1" si="3"/>
        <v>43442.80654563295</v>
      </c>
      <c r="I19" s="124">
        <f t="shared" ca="1" si="3"/>
        <v>22083.71624738647</v>
      </c>
      <c r="J19" s="124">
        <f t="shared" ca="1" si="3"/>
        <v>0</v>
      </c>
      <c r="K19" s="125"/>
    </row>
    <row r="20" spans="1:11" ht="21" customHeight="1" x14ac:dyDescent="0.25">
      <c r="A20" s="35"/>
      <c r="B20" s="35"/>
      <c r="C20" s="100" t="s">
        <v>157</v>
      </c>
      <c r="D20" s="101" t="str">
        <f ca="1">IF(ABS(SUM(D6:D10,D14)-D19)&gt;0.01,"check values","")</f>
        <v/>
      </c>
      <c r="E20" s="101" t="str">
        <f t="shared" ref="E20:J20" ca="1" si="4">IF(SUM(E6:E10,E14)&lt;&gt;E19,"check values","")</f>
        <v/>
      </c>
      <c r="F20" s="101" t="str">
        <f t="shared" ca="1" si="4"/>
        <v/>
      </c>
      <c r="G20" s="101" t="str">
        <f t="shared" ca="1" si="4"/>
        <v/>
      </c>
      <c r="H20" s="101" t="str">
        <f t="shared" ca="1" si="4"/>
        <v/>
      </c>
      <c r="I20" s="101"/>
      <c r="J20" s="101" t="str">
        <f t="shared" ca="1" si="4"/>
        <v/>
      </c>
      <c r="K20" s="101"/>
    </row>
    <row r="21" spans="1:11" x14ac:dyDescent="0.25">
      <c r="D21" s="102"/>
    </row>
  </sheetData>
  <sheetProtection algorithmName="SHA-512" hashValue="oczTZzOLOZcquMEeAJHzJY/AabrlVqEFwAzmA6bnVVo8QscvGdXy3cdqJouTOF7gLKBKrqUGxTuD19G6eXAUhA==" saltValue="8cppeNeQ6IvyswcAGHz6pw==" spinCount="100000" sheet="1" objects="1" scenarios="1"/>
  <mergeCells count="14">
    <mergeCell ref="A6:B6"/>
    <mergeCell ref="A1:B1"/>
    <mergeCell ref="A2:B2"/>
    <mergeCell ref="A3:B3"/>
    <mergeCell ref="A4:B4"/>
    <mergeCell ref="A5:B5"/>
    <mergeCell ref="A15:A18"/>
    <mergeCell ref="A19:B19"/>
    <mergeCell ref="A7:B7"/>
    <mergeCell ref="A8:B8"/>
    <mergeCell ref="A9:B9"/>
    <mergeCell ref="A10:B10"/>
    <mergeCell ref="A11:A13"/>
    <mergeCell ref="A14:B14"/>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ED19"/>
  <sheetViews>
    <sheetView showGridLines="0" zoomScale="90" zoomScaleNormal="90" workbookViewId="0">
      <pane xSplit="3" topLeftCell="D1" activePane="topRight" state="frozen"/>
      <selection activeCell="DS1" sqref="DS1:ED1048576"/>
      <selection pane="topRight" activeCell="E7" sqref="E7"/>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30</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99"/>
      <c r="C6" s="8" t="s">
        <v>14</v>
      </c>
      <c r="D6" s="59">
        <v>1315.6313124983644</v>
      </c>
      <c r="E6" s="60">
        <v>1245.872593959338</v>
      </c>
      <c r="F6" s="60">
        <v>1168.5038333978725</v>
      </c>
      <c r="G6" s="60">
        <v>1115.5959221942474</v>
      </c>
      <c r="H6" s="60">
        <v>1079.4482225876609</v>
      </c>
      <c r="I6" s="60">
        <v>1084.7933711510409</v>
      </c>
      <c r="J6" s="60">
        <v>1175.2985137750504</v>
      </c>
      <c r="K6" s="60">
        <v>1140.6003459822618</v>
      </c>
      <c r="L6" s="60">
        <v>1197.0414909820197</v>
      </c>
      <c r="M6" s="60"/>
      <c r="N6" s="60"/>
      <c r="O6" s="60"/>
      <c r="DS6" s="4" t="str">
        <f>VLOOKUP(Cover!$D$15, Country_list!$B$3:$C$44, 2, 0)</f>
        <v>PT</v>
      </c>
      <c r="DT6" s="33" t="s">
        <v>289</v>
      </c>
      <c r="DV6" s="33" t="s">
        <v>302</v>
      </c>
      <c r="EB6" s="33" t="s">
        <v>291</v>
      </c>
      <c r="ED6" s="33" t="s">
        <v>294</v>
      </c>
    </row>
    <row r="7" spans="1:134" ht="24" customHeight="1" x14ac:dyDescent="0.25">
      <c r="A7" s="183" t="s">
        <v>15</v>
      </c>
      <c r="B7" s="200"/>
      <c r="C7" s="9" t="s">
        <v>25</v>
      </c>
      <c r="D7" s="61">
        <v>43</v>
      </c>
      <c r="E7" s="58">
        <v>38</v>
      </c>
      <c r="F7" s="58">
        <v>45</v>
      </c>
      <c r="G7" s="58">
        <v>41</v>
      </c>
      <c r="H7" s="58">
        <v>38</v>
      </c>
      <c r="I7" s="58">
        <v>36</v>
      </c>
      <c r="J7" s="58">
        <v>36</v>
      </c>
      <c r="K7" s="58">
        <v>36</v>
      </c>
      <c r="L7" s="58">
        <v>44.17</v>
      </c>
      <c r="M7" s="58"/>
      <c r="N7" s="58"/>
      <c r="O7" s="58"/>
      <c r="DT7" s="33" t="s">
        <v>290</v>
      </c>
      <c r="EB7" s="33" t="s">
        <v>291</v>
      </c>
      <c r="ED7" s="33" t="s">
        <v>295</v>
      </c>
    </row>
    <row r="8" spans="1:134" ht="24" customHeight="1" x14ac:dyDescent="0.25">
      <c r="A8" s="183" t="s">
        <v>29</v>
      </c>
      <c r="B8" s="200"/>
      <c r="C8" s="9" t="s">
        <v>17</v>
      </c>
      <c r="D8" s="61">
        <v>434.49774448713242</v>
      </c>
      <c r="E8" s="58">
        <v>374.86753641912844</v>
      </c>
      <c r="F8" s="58">
        <v>374.61764555242121</v>
      </c>
      <c r="G8" s="58">
        <v>355.62593968267453</v>
      </c>
      <c r="H8" s="58">
        <v>375.11742728583562</v>
      </c>
      <c r="I8" s="58">
        <v>382.02066247862183</v>
      </c>
      <c r="J8" s="58">
        <v>354.31401263246175</v>
      </c>
      <c r="K8" s="58">
        <v>364.34088365908792</v>
      </c>
      <c r="L8" s="58">
        <v>396.82669633102302</v>
      </c>
      <c r="M8" s="58"/>
      <c r="N8" s="58"/>
      <c r="O8" s="58"/>
      <c r="DT8" s="33" t="s">
        <v>231</v>
      </c>
      <c r="EB8" s="33" t="s">
        <v>291</v>
      </c>
      <c r="ED8" s="33" t="s">
        <v>296</v>
      </c>
    </row>
    <row r="9" spans="1:134" ht="24" customHeight="1" x14ac:dyDescent="0.25">
      <c r="A9" s="183" t="s">
        <v>156</v>
      </c>
      <c r="B9" s="200"/>
      <c r="C9" s="9" t="s">
        <v>19</v>
      </c>
      <c r="D9" s="61">
        <v>0</v>
      </c>
      <c r="E9" s="58">
        <v>0</v>
      </c>
      <c r="F9" s="58">
        <v>0</v>
      </c>
      <c r="G9" s="58">
        <v>0</v>
      </c>
      <c r="H9" s="58">
        <v>0</v>
      </c>
      <c r="I9" s="58">
        <v>0</v>
      </c>
      <c r="J9" s="58">
        <v>0</v>
      </c>
      <c r="K9" s="58">
        <v>0</v>
      </c>
      <c r="L9" s="58">
        <v>0</v>
      </c>
      <c r="M9" s="58"/>
      <c r="N9" s="58"/>
      <c r="O9" s="58"/>
      <c r="DT9" s="33" t="s">
        <v>279</v>
      </c>
      <c r="EB9" s="33" t="s">
        <v>292</v>
      </c>
      <c r="ED9" s="33" t="s">
        <v>293</v>
      </c>
    </row>
    <row r="10" spans="1:134" ht="24" customHeight="1" x14ac:dyDescent="0.25">
      <c r="A10" s="183" t="s">
        <v>20</v>
      </c>
      <c r="B10" s="200"/>
      <c r="C10" s="9" t="s">
        <v>19</v>
      </c>
      <c r="D10" s="61">
        <v>85.964329176930264</v>
      </c>
      <c r="E10" s="58">
        <v>62.949230598555843</v>
      </c>
      <c r="F10" s="58">
        <v>49.517758898488722</v>
      </c>
      <c r="G10" s="58">
        <v>46.203266018745296</v>
      </c>
      <c r="H10" s="58">
        <v>43.451684557742496</v>
      </c>
      <c r="I10" s="58">
        <v>40.358672093882205</v>
      </c>
      <c r="J10" s="58">
        <v>40.868033918503748</v>
      </c>
      <c r="K10" s="58">
        <v>36.169396269264894</v>
      </c>
      <c r="L10" s="58">
        <v>41.257445156150965</v>
      </c>
      <c r="M10" s="58"/>
      <c r="N10" s="58"/>
      <c r="O10" s="58"/>
      <c r="DT10" s="139" t="s">
        <v>280</v>
      </c>
      <c r="EB10" s="33" t="s">
        <v>292</v>
      </c>
      <c r="ED10" s="33" t="s">
        <v>293</v>
      </c>
    </row>
    <row r="11" spans="1:134" s="34" customFormat="1" ht="15" customHeight="1" x14ac:dyDescent="0.25">
      <c r="A11" s="182" t="s">
        <v>18</v>
      </c>
      <c r="B11" s="110" t="s">
        <v>21</v>
      </c>
      <c r="C11" s="111" t="s">
        <v>19</v>
      </c>
      <c r="D11" s="112">
        <v>12.115009284407453</v>
      </c>
      <c r="E11" s="113">
        <v>10.891513297269274</v>
      </c>
      <c r="F11" s="113">
        <v>10.171809775423286</v>
      </c>
      <c r="G11" s="113">
        <v>9.8839283666848914</v>
      </c>
      <c r="H11" s="113">
        <v>8.9483137882851089</v>
      </c>
      <c r="I11" s="113">
        <v>8.2765905012288528</v>
      </c>
      <c r="J11" s="113">
        <v>8.1806300316493878</v>
      </c>
      <c r="K11" s="113">
        <v>8.3245707360185861</v>
      </c>
      <c r="L11" s="113">
        <v>7.9647189750955922</v>
      </c>
      <c r="M11" s="113"/>
      <c r="N11" s="113"/>
      <c r="O11" s="113"/>
      <c r="DT11" s="34" t="s">
        <v>281</v>
      </c>
      <c r="EB11" s="34" t="s">
        <v>292</v>
      </c>
      <c r="ED11" s="34" t="s">
        <v>293</v>
      </c>
    </row>
    <row r="12" spans="1:134" s="34" customFormat="1" ht="15" customHeight="1" x14ac:dyDescent="0.25">
      <c r="A12" s="182"/>
      <c r="B12" s="110" t="s">
        <v>22</v>
      </c>
      <c r="C12" s="111" t="s">
        <v>19</v>
      </c>
      <c r="D12" s="112">
        <v>0</v>
      </c>
      <c r="E12" s="113">
        <v>0</v>
      </c>
      <c r="F12" s="113">
        <v>0</v>
      </c>
      <c r="G12" s="113">
        <v>0</v>
      </c>
      <c r="H12" s="113">
        <v>0</v>
      </c>
      <c r="I12" s="113">
        <v>0</v>
      </c>
      <c r="J12" s="113">
        <v>0</v>
      </c>
      <c r="K12" s="113">
        <v>0</v>
      </c>
      <c r="L12" s="113">
        <v>0</v>
      </c>
      <c r="M12" s="113"/>
      <c r="N12" s="113"/>
      <c r="O12" s="113"/>
      <c r="DT12" s="34" t="s">
        <v>282</v>
      </c>
      <c r="EB12" s="34" t="s">
        <v>292</v>
      </c>
      <c r="ED12" s="34" t="s">
        <v>293</v>
      </c>
    </row>
    <row r="13" spans="1:134" s="34" customFormat="1" ht="15" customHeight="1" x14ac:dyDescent="0.25">
      <c r="A13" s="182"/>
      <c r="B13" s="110" t="s">
        <v>23</v>
      </c>
      <c r="C13" s="111" t="s">
        <v>19</v>
      </c>
      <c r="D13" s="112">
        <v>73.849319892522814</v>
      </c>
      <c r="E13" s="113">
        <v>52.057717301286573</v>
      </c>
      <c r="F13" s="113">
        <v>39.345949123065438</v>
      </c>
      <c r="G13" s="113">
        <v>36.319337652060405</v>
      </c>
      <c r="H13" s="113">
        <v>34.503370769457383</v>
      </c>
      <c r="I13" s="113">
        <v>32.082081592653353</v>
      </c>
      <c r="J13" s="113">
        <v>32.687403886854362</v>
      </c>
      <c r="K13" s="113">
        <v>27.844825533246308</v>
      </c>
      <c r="L13" s="113">
        <v>33.292726181055372</v>
      </c>
      <c r="M13" s="113"/>
      <c r="N13" s="113"/>
      <c r="O13" s="113"/>
      <c r="DT13" s="34" t="s">
        <v>283</v>
      </c>
      <c r="EB13" s="34" t="s">
        <v>292</v>
      </c>
      <c r="ED13" s="34" t="s">
        <v>293</v>
      </c>
    </row>
    <row r="14" spans="1:134" ht="24" customHeight="1" x14ac:dyDescent="0.25">
      <c r="A14" s="183" t="s">
        <v>24</v>
      </c>
      <c r="B14" s="200"/>
      <c r="C14" s="9" t="s">
        <v>25</v>
      </c>
      <c r="D14" s="61">
        <v>15590.362308724714</v>
      </c>
      <c r="E14" s="58">
        <v>15613.586464493426</v>
      </c>
      <c r="F14" s="58">
        <v>16393.086958885091</v>
      </c>
      <c r="G14" s="58">
        <v>16764.300784679614</v>
      </c>
      <c r="H14" s="58">
        <v>26857.911184924982</v>
      </c>
      <c r="I14" s="58">
        <v>26879.025454703435</v>
      </c>
      <c r="J14" s="58">
        <v>26980.297293211475</v>
      </c>
      <c r="K14" s="58">
        <v>27329.455607359367</v>
      </c>
      <c r="L14" s="58">
        <v>27822.148844456202</v>
      </c>
      <c r="M14" s="58"/>
      <c r="N14" s="58"/>
      <c r="O14" s="58"/>
      <c r="DT14" s="139" t="s">
        <v>284</v>
      </c>
      <c r="EB14" s="33" t="s">
        <v>291</v>
      </c>
      <c r="ED14" s="33" t="s">
        <v>295</v>
      </c>
    </row>
    <row r="15" spans="1:134" s="34" customFormat="1" ht="15" customHeight="1" x14ac:dyDescent="0.25">
      <c r="A15" s="182" t="s">
        <v>18</v>
      </c>
      <c r="B15" s="110" t="s">
        <v>26</v>
      </c>
      <c r="C15" s="111" t="s">
        <v>25</v>
      </c>
      <c r="D15" s="112">
        <v>97.751847277359786</v>
      </c>
      <c r="E15" s="113">
        <v>120.97600304607026</v>
      </c>
      <c r="F15" s="113">
        <v>136.91732251100393</v>
      </c>
      <c r="G15" s="113">
        <v>147.92249737004445</v>
      </c>
      <c r="H15" s="113">
        <v>156.25729891770013</v>
      </c>
      <c r="I15" s="113">
        <v>163.13553320460045</v>
      </c>
      <c r="J15" s="113">
        <v>170.66113071850313</v>
      </c>
      <c r="K15" s="113">
        <v>178.81944486639728</v>
      </c>
      <c r="L15" s="113">
        <v>194.3708089074654</v>
      </c>
      <c r="M15" s="113"/>
      <c r="N15" s="113"/>
      <c r="O15" s="113"/>
      <c r="DT15" s="34" t="s">
        <v>285</v>
      </c>
      <c r="EB15" s="34" t="s">
        <v>291</v>
      </c>
      <c r="ED15" s="34" t="s">
        <v>295</v>
      </c>
    </row>
    <row r="16" spans="1:134" s="34" customFormat="1" ht="15" customHeight="1" x14ac:dyDescent="0.25">
      <c r="A16" s="182"/>
      <c r="B16" s="110" t="s">
        <v>27</v>
      </c>
      <c r="C16" s="111" t="s">
        <v>25</v>
      </c>
      <c r="D16" s="112">
        <v>15492.610461447355</v>
      </c>
      <c r="E16" s="113">
        <v>15492.610461447355</v>
      </c>
      <c r="F16" s="113">
        <v>16256.169636374087</v>
      </c>
      <c r="G16" s="113">
        <v>16616.37828730957</v>
      </c>
      <c r="H16" s="113">
        <v>16531.653886007283</v>
      </c>
      <c r="I16" s="113">
        <v>16445.889921498834</v>
      </c>
      <c r="J16" s="113">
        <v>16478.63616249297</v>
      </c>
      <c r="K16" s="113">
        <v>16478.63616249297</v>
      </c>
      <c r="L16" s="113">
        <v>16521.778035548738</v>
      </c>
      <c r="M16" s="113"/>
      <c r="N16" s="113"/>
      <c r="O16" s="113"/>
      <c r="DT16" s="34" t="s">
        <v>286</v>
      </c>
      <c r="EB16" s="34" t="s">
        <v>291</v>
      </c>
      <c r="ED16" s="34" t="s">
        <v>295</v>
      </c>
    </row>
    <row r="17" spans="1:134" s="34" customFormat="1" ht="15" customHeight="1" x14ac:dyDescent="0.25">
      <c r="A17" s="182"/>
      <c r="B17" s="110" t="s">
        <v>28</v>
      </c>
      <c r="C17" s="111" t="s">
        <v>25</v>
      </c>
      <c r="D17" s="112">
        <v>0</v>
      </c>
      <c r="E17" s="112">
        <v>0</v>
      </c>
      <c r="F17" s="112">
        <v>0</v>
      </c>
      <c r="G17" s="112">
        <v>0</v>
      </c>
      <c r="H17" s="112">
        <v>0</v>
      </c>
      <c r="I17" s="112">
        <v>0</v>
      </c>
      <c r="J17" s="112">
        <v>0</v>
      </c>
      <c r="K17" s="112">
        <v>0</v>
      </c>
      <c r="L17" s="112">
        <v>0</v>
      </c>
      <c r="M17" s="112"/>
      <c r="N17" s="112"/>
      <c r="O17" s="112"/>
      <c r="DT17" s="34" t="s">
        <v>287</v>
      </c>
      <c r="EB17" s="34" t="s">
        <v>291</v>
      </c>
      <c r="ED17" s="34" t="s">
        <v>295</v>
      </c>
    </row>
    <row r="18" spans="1:134" s="34" customFormat="1" ht="15" customHeight="1" x14ac:dyDescent="0.25">
      <c r="A18" s="182"/>
      <c r="B18" s="110" t="s">
        <v>184</v>
      </c>
      <c r="C18" s="111" t="s">
        <v>25</v>
      </c>
      <c r="D18" s="112">
        <v>0</v>
      </c>
      <c r="E18" s="112">
        <v>0</v>
      </c>
      <c r="F18" s="112">
        <v>0</v>
      </c>
      <c r="G18" s="112">
        <v>0</v>
      </c>
      <c r="H18" s="112">
        <v>10170</v>
      </c>
      <c r="I18" s="112">
        <v>10270</v>
      </c>
      <c r="J18" s="112">
        <v>10331</v>
      </c>
      <c r="K18" s="112">
        <v>10672</v>
      </c>
      <c r="L18" s="112">
        <v>11106</v>
      </c>
      <c r="M18" s="112"/>
      <c r="N18" s="112"/>
      <c r="O18" s="112"/>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ED19"/>
  <sheetViews>
    <sheetView showGridLines="0" zoomScale="90" zoomScaleNormal="90" workbookViewId="0">
      <pane xSplit="3" topLeftCell="D1" activePane="topRight" state="frozen"/>
      <selection activeCell="DS1" sqref="DS1:ED1048576"/>
      <selection pane="topRight" activeCell="D1" sqref="D1"/>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31</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80"/>
      <c r="C6" s="8" t="s">
        <v>14</v>
      </c>
      <c r="D6" s="59">
        <v>231.94160644596994</v>
      </c>
      <c r="E6" s="60">
        <v>219.64336674321572</v>
      </c>
      <c r="F6" s="60">
        <v>206.00350089107013</v>
      </c>
      <c r="G6" s="60">
        <v>196.67600480482537</v>
      </c>
      <c r="H6" s="60">
        <v>190.30328059521636</v>
      </c>
      <c r="I6" s="60">
        <v>191.24561324776505</v>
      </c>
      <c r="J6" s="60">
        <v>207.20138138159814</v>
      </c>
      <c r="K6" s="60">
        <v>201.08420500996843</v>
      </c>
      <c r="L6" s="60">
        <v>211.03459895128776</v>
      </c>
      <c r="M6" s="60"/>
      <c r="N6" s="60"/>
      <c r="O6" s="60"/>
      <c r="DS6" s="4" t="str">
        <f>VLOOKUP(Cover!$D$15, Country_list!$B$3:$C$44, 2, 0)</f>
        <v>PT</v>
      </c>
      <c r="DT6" s="33" t="s">
        <v>289</v>
      </c>
      <c r="DV6" s="33" t="s">
        <v>303</v>
      </c>
      <c r="EB6" s="33" t="s">
        <v>291</v>
      </c>
      <c r="ED6" s="33" t="s">
        <v>294</v>
      </c>
    </row>
    <row r="7" spans="1:134" s="119" customFormat="1" ht="24" customHeight="1" x14ac:dyDescent="0.25">
      <c r="A7" s="201" t="s">
        <v>15</v>
      </c>
      <c r="B7" s="202"/>
      <c r="C7" s="132" t="s">
        <v>25</v>
      </c>
      <c r="D7" s="133"/>
      <c r="E7" s="134"/>
      <c r="F7" s="134"/>
      <c r="G7" s="134"/>
      <c r="H7" s="134"/>
      <c r="I7" s="134"/>
      <c r="J7" s="134"/>
      <c r="K7" s="134"/>
      <c r="L7" s="134"/>
      <c r="M7" s="134"/>
      <c r="N7" s="134"/>
      <c r="O7" s="134"/>
      <c r="DT7" s="119" t="s">
        <v>290</v>
      </c>
      <c r="EB7" s="119" t="s">
        <v>291</v>
      </c>
      <c r="ED7" s="119" t="s">
        <v>295</v>
      </c>
    </row>
    <row r="8" spans="1:134" s="119" customFormat="1" ht="24" customHeight="1" x14ac:dyDescent="0.25">
      <c r="A8" s="201" t="s">
        <v>29</v>
      </c>
      <c r="B8" s="202"/>
      <c r="C8" s="132" t="s">
        <v>17</v>
      </c>
      <c r="D8" s="133"/>
      <c r="E8" s="134"/>
      <c r="F8" s="134"/>
      <c r="G8" s="134"/>
      <c r="H8" s="134"/>
      <c r="I8" s="134"/>
      <c r="J8" s="134"/>
      <c r="K8" s="134"/>
      <c r="L8" s="134"/>
      <c r="M8" s="134"/>
      <c r="N8" s="134"/>
      <c r="O8" s="134"/>
      <c r="DT8" s="119" t="s">
        <v>231</v>
      </c>
      <c r="EB8" s="119" t="s">
        <v>291</v>
      </c>
      <c r="ED8" s="119" t="s">
        <v>296</v>
      </c>
    </row>
    <row r="9" spans="1:134" s="119" customFormat="1" ht="24" customHeight="1" x14ac:dyDescent="0.25">
      <c r="A9" s="201" t="s">
        <v>156</v>
      </c>
      <c r="B9" s="202"/>
      <c r="C9" s="132" t="s">
        <v>19</v>
      </c>
      <c r="D9" s="133"/>
      <c r="E9" s="134"/>
      <c r="F9" s="134"/>
      <c r="G9" s="134"/>
      <c r="H9" s="134"/>
      <c r="I9" s="134"/>
      <c r="J9" s="134"/>
      <c r="K9" s="134"/>
      <c r="L9" s="134"/>
      <c r="M9" s="134"/>
      <c r="N9" s="134"/>
      <c r="O9" s="134"/>
      <c r="DT9" s="119" t="s">
        <v>279</v>
      </c>
      <c r="EB9" s="119" t="s">
        <v>292</v>
      </c>
      <c r="ED9" s="119" t="s">
        <v>293</v>
      </c>
    </row>
    <row r="10" spans="1:134" s="119" customFormat="1" ht="24" customHeight="1" x14ac:dyDescent="0.25">
      <c r="A10" s="201" t="s">
        <v>20</v>
      </c>
      <c r="B10" s="202"/>
      <c r="C10" s="132" t="s">
        <v>19</v>
      </c>
      <c r="D10" s="133"/>
      <c r="E10" s="134"/>
      <c r="F10" s="134"/>
      <c r="G10" s="134"/>
      <c r="H10" s="134"/>
      <c r="I10" s="134"/>
      <c r="J10" s="134"/>
      <c r="K10" s="134"/>
      <c r="L10" s="134"/>
      <c r="M10" s="134"/>
      <c r="N10" s="134"/>
      <c r="O10" s="134"/>
      <c r="DT10" s="139" t="s">
        <v>280</v>
      </c>
      <c r="EB10" s="119" t="s">
        <v>292</v>
      </c>
      <c r="ED10" s="119" t="s">
        <v>293</v>
      </c>
    </row>
    <row r="11" spans="1:134" s="34" customFormat="1" ht="15" customHeight="1" x14ac:dyDescent="0.25">
      <c r="A11" s="203" t="s">
        <v>18</v>
      </c>
      <c r="B11" s="135" t="s">
        <v>21</v>
      </c>
      <c r="C11" s="136" t="s">
        <v>19</v>
      </c>
      <c r="D11" s="137"/>
      <c r="E11" s="138"/>
      <c r="F11" s="138"/>
      <c r="G11" s="138"/>
      <c r="H11" s="138"/>
      <c r="I11" s="138"/>
      <c r="J11" s="138"/>
      <c r="K11" s="138"/>
      <c r="L11" s="138"/>
      <c r="M11" s="138"/>
      <c r="N11" s="138"/>
      <c r="O11" s="138"/>
      <c r="DT11" s="34" t="s">
        <v>281</v>
      </c>
      <c r="EB11" s="34" t="s">
        <v>292</v>
      </c>
      <c r="ED11" s="34" t="s">
        <v>293</v>
      </c>
    </row>
    <row r="12" spans="1:134" s="34" customFormat="1" ht="15" customHeight="1" x14ac:dyDescent="0.25">
      <c r="A12" s="203"/>
      <c r="B12" s="135" t="s">
        <v>22</v>
      </c>
      <c r="C12" s="136" t="s">
        <v>19</v>
      </c>
      <c r="D12" s="137"/>
      <c r="E12" s="138"/>
      <c r="F12" s="138"/>
      <c r="G12" s="138"/>
      <c r="H12" s="138"/>
      <c r="I12" s="138"/>
      <c r="J12" s="138"/>
      <c r="K12" s="138"/>
      <c r="L12" s="138"/>
      <c r="M12" s="138"/>
      <c r="N12" s="138"/>
      <c r="O12" s="138"/>
      <c r="DT12" s="34" t="s">
        <v>282</v>
      </c>
      <c r="EB12" s="34" t="s">
        <v>292</v>
      </c>
      <c r="ED12" s="34" t="s">
        <v>293</v>
      </c>
    </row>
    <row r="13" spans="1:134" s="34" customFormat="1" ht="15" customHeight="1" x14ac:dyDescent="0.25">
      <c r="A13" s="203"/>
      <c r="B13" s="135" t="s">
        <v>23</v>
      </c>
      <c r="C13" s="136" t="s">
        <v>19</v>
      </c>
      <c r="D13" s="137"/>
      <c r="E13" s="138"/>
      <c r="F13" s="138"/>
      <c r="G13" s="138"/>
      <c r="H13" s="138"/>
      <c r="I13" s="138"/>
      <c r="J13" s="138"/>
      <c r="K13" s="138"/>
      <c r="L13" s="138"/>
      <c r="M13" s="138"/>
      <c r="N13" s="138"/>
      <c r="O13" s="138"/>
      <c r="DT13" s="34" t="s">
        <v>283</v>
      </c>
      <c r="EB13" s="34" t="s">
        <v>292</v>
      </c>
      <c r="ED13" s="34" t="s">
        <v>293</v>
      </c>
    </row>
    <row r="14" spans="1:134" s="119" customFormat="1" ht="24" customHeight="1" x14ac:dyDescent="0.25">
      <c r="A14" s="201" t="s">
        <v>24</v>
      </c>
      <c r="B14" s="202"/>
      <c r="C14" s="132" t="s">
        <v>25</v>
      </c>
      <c r="D14" s="133"/>
      <c r="E14" s="134"/>
      <c r="F14" s="134"/>
      <c r="G14" s="134"/>
      <c r="H14" s="134"/>
      <c r="I14" s="134"/>
      <c r="J14" s="134"/>
      <c r="K14" s="134"/>
      <c r="L14" s="134"/>
      <c r="M14" s="134"/>
      <c r="N14" s="134"/>
      <c r="O14" s="134"/>
      <c r="DT14" s="139" t="s">
        <v>284</v>
      </c>
      <c r="EB14" s="119" t="s">
        <v>291</v>
      </c>
      <c r="ED14" s="119" t="s">
        <v>295</v>
      </c>
    </row>
    <row r="15" spans="1:134" s="34" customFormat="1" ht="15" customHeight="1" x14ac:dyDescent="0.25">
      <c r="A15" s="203" t="s">
        <v>18</v>
      </c>
      <c r="B15" s="135" t="s">
        <v>26</v>
      </c>
      <c r="C15" s="136" t="s">
        <v>25</v>
      </c>
      <c r="D15" s="137"/>
      <c r="E15" s="138"/>
      <c r="F15" s="138"/>
      <c r="G15" s="138"/>
      <c r="H15" s="138"/>
      <c r="I15" s="138"/>
      <c r="J15" s="138"/>
      <c r="K15" s="138"/>
      <c r="L15" s="138"/>
      <c r="M15" s="138"/>
      <c r="N15" s="138"/>
      <c r="O15" s="138"/>
      <c r="DT15" s="34" t="s">
        <v>285</v>
      </c>
      <c r="EB15" s="34" t="s">
        <v>291</v>
      </c>
      <c r="ED15" s="34" t="s">
        <v>295</v>
      </c>
    </row>
    <row r="16" spans="1:134" s="34" customFormat="1" ht="15" customHeight="1" x14ac:dyDescent="0.25">
      <c r="A16" s="203"/>
      <c r="B16" s="135" t="s">
        <v>27</v>
      </c>
      <c r="C16" s="136" t="s">
        <v>25</v>
      </c>
      <c r="D16" s="137"/>
      <c r="E16" s="138"/>
      <c r="F16" s="138"/>
      <c r="G16" s="138"/>
      <c r="H16" s="138"/>
      <c r="I16" s="138"/>
      <c r="J16" s="138"/>
      <c r="K16" s="138"/>
      <c r="L16" s="138"/>
      <c r="M16" s="138"/>
      <c r="N16" s="138"/>
      <c r="O16" s="138"/>
      <c r="DT16" s="34" t="s">
        <v>286</v>
      </c>
      <c r="EB16" s="34" t="s">
        <v>291</v>
      </c>
      <c r="ED16" s="34" t="s">
        <v>295</v>
      </c>
    </row>
    <row r="17" spans="1:134" s="34" customFormat="1" ht="15" customHeight="1" x14ac:dyDescent="0.25">
      <c r="A17" s="203"/>
      <c r="B17" s="135" t="s">
        <v>28</v>
      </c>
      <c r="C17" s="136" t="s">
        <v>25</v>
      </c>
      <c r="D17" s="137"/>
      <c r="E17" s="137"/>
      <c r="F17" s="137"/>
      <c r="G17" s="137"/>
      <c r="H17" s="137"/>
      <c r="I17" s="137"/>
      <c r="J17" s="137"/>
      <c r="K17" s="137"/>
      <c r="L17" s="137"/>
      <c r="M17" s="137"/>
      <c r="N17" s="137"/>
      <c r="O17" s="137"/>
      <c r="DT17" s="34" t="s">
        <v>287</v>
      </c>
      <c r="EB17" s="34" t="s">
        <v>291</v>
      </c>
      <c r="ED17" s="34" t="s">
        <v>295</v>
      </c>
    </row>
    <row r="18" spans="1:134" s="34" customFormat="1" ht="15" customHeight="1" x14ac:dyDescent="0.25">
      <c r="A18" s="203"/>
      <c r="B18" s="135" t="s">
        <v>184</v>
      </c>
      <c r="C18" s="136" t="s">
        <v>25</v>
      </c>
      <c r="D18" s="137"/>
      <c r="E18" s="137"/>
      <c r="F18" s="137"/>
      <c r="G18" s="137"/>
      <c r="H18" s="137"/>
      <c r="I18" s="137"/>
      <c r="J18" s="137"/>
      <c r="K18" s="137"/>
      <c r="L18" s="137"/>
      <c r="M18" s="137"/>
      <c r="N18" s="137"/>
      <c r="O18" s="137"/>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6:B6"/>
    <mergeCell ref="A1:B1"/>
    <mergeCell ref="A2:B2"/>
    <mergeCell ref="A3:B3"/>
    <mergeCell ref="A4:B4"/>
    <mergeCell ref="A5:B5"/>
    <mergeCell ref="A14:B14"/>
    <mergeCell ref="A15:A18"/>
    <mergeCell ref="A7:B7"/>
    <mergeCell ref="A8:B8"/>
    <mergeCell ref="A9:B9"/>
    <mergeCell ref="A10:B10"/>
    <mergeCell ref="A11:A13"/>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D19"/>
  <sheetViews>
    <sheetView showGridLines="0" zoomScale="90" zoomScaleNormal="90" workbookViewId="0">
      <pane xSplit="3" topLeftCell="D1" activePane="topRight" state="frozen"/>
      <selection activeCell="DS1" sqref="DS1:ED1048576"/>
      <selection pane="topRight" activeCell="I17" sqref="I17"/>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8</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99"/>
      <c r="C6" s="8" t="s">
        <v>14</v>
      </c>
      <c r="D6" s="59">
        <v>347.52686610753841</v>
      </c>
      <c r="E6" s="60">
        <v>329.09994922950477</v>
      </c>
      <c r="F6" s="60">
        <v>308.66282323750386</v>
      </c>
      <c r="G6" s="60">
        <v>294.68708368325491</v>
      </c>
      <c r="H6" s="60">
        <v>285.13859039191021</v>
      </c>
      <c r="I6" s="60">
        <v>286.55052298386346</v>
      </c>
      <c r="J6" s="60">
        <v>310.45765280354607</v>
      </c>
      <c r="K6" s="60">
        <v>301.29205648629039</v>
      </c>
      <c r="L6" s="60">
        <v>316.20110741488122</v>
      </c>
      <c r="M6" s="60"/>
      <c r="N6" s="60"/>
      <c r="O6" s="60"/>
      <c r="DS6" s="4" t="str">
        <f>VLOOKUP(Cover!$D$15, Country_list!$B$3:$C$44, 2, 0)</f>
        <v>PT</v>
      </c>
      <c r="DT6" s="33" t="s">
        <v>289</v>
      </c>
      <c r="DV6" s="33" t="s">
        <v>304</v>
      </c>
      <c r="EB6" s="33" t="s">
        <v>291</v>
      </c>
      <c r="ED6" s="33" t="s">
        <v>294</v>
      </c>
    </row>
    <row r="7" spans="1:134" ht="24" customHeight="1" x14ac:dyDescent="0.25">
      <c r="A7" s="183" t="s">
        <v>15</v>
      </c>
      <c r="B7" s="200"/>
      <c r="C7" s="9" t="s">
        <v>25</v>
      </c>
      <c r="D7" s="61">
        <v>0</v>
      </c>
      <c r="E7" s="58">
        <v>0</v>
      </c>
      <c r="F7" s="58">
        <v>0</v>
      </c>
      <c r="G7" s="58">
        <v>0</v>
      </c>
      <c r="H7" s="58">
        <v>0</v>
      </c>
      <c r="I7" s="58">
        <v>0</v>
      </c>
      <c r="J7" s="58">
        <v>0</v>
      </c>
      <c r="K7" s="58">
        <v>0</v>
      </c>
      <c r="L7" s="58">
        <v>0</v>
      </c>
      <c r="M7" s="58"/>
      <c r="N7" s="58"/>
      <c r="O7" s="58"/>
      <c r="DT7" s="33" t="s">
        <v>290</v>
      </c>
      <c r="EB7" s="33" t="s">
        <v>291</v>
      </c>
      <c r="ED7" s="33" t="s">
        <v>295</v>
      </c>
    </row>
    <row r="8" spans="1:134" ht="24" customHeight="1" x14ac:dyDescent="0.25">
      <c r="A8" s="183" t="s">
        <v>29</v>
      </c>
      <c r="B8" s="200"/>
      <c r="C8" s="9" t="s">
        <v>17</v>
      </c>
      <c r="D8" s="61">
        <v>8592.9211152397002</v>
      </c>
      <c r="E8" s="58">
        <v>7413.6338104954448</v>
      </c>
      <c r="F8" s="58">
        <v>7408.6917997893397</v>
      </c>
      <c r="G8" s="58">
        <v>7033.0989861253765</v>
      </c>
      <c r="H8" s="58">
        <v>7418.5758212015498</v>
      </c>
      <c r="I8" s="58">
        <v>7555.0988669576946</v>
      </c>
      <c r="J8" s="58">
        <v>7007.1534299183259</v>
      </c>
      <c r="K8" s="58">
        <v>7205.4516095007803</v>
      </c>
      <c r="L8" s="58">
        <v>7847.9130012944033</v>
      </c>
      <c r="M8" s="58"/>
      <c r="N8" s="58"/>
      <c r="O8" s="58"/>
      <c r="DT8" s="33" t="s">
        <v>231</v>
      </c>
      <c r="EB8" s="33" t="s">
        <v>291</v>
      </c>
      <c r="ED8" s="33" t="s">
        <v>296</v>
      </c>
    </row>
    <row r="9" spans="1:134" ht="24" customHeight="1" x14ac:dyDescent="0.25">
      <c r="A9" s="183" t="s">
        <v>156</v>
      </c>
      <c r="B9" s="200"/>
      <c r="C9" s="9" t="s">
        <v>19</v>
      </c>
      <c r="D9" s="61">
        <v>0</v>
      </c>
      <c r="E9" s="58">
        <v>0</v>
      </c>
      <c r="F9" s="58">
        <v>0</v>
      </c>
      <c r="G9" s="58">
        <v>0</v>
      </c>
      <c r="H9" s="58">
        <v>0</v>
      </c>
      <c r="I9" s="58">
        <v>0</v>
      </c>
      <c r="J9" s="58">
        <v>0</v>
      </c>
      <c r="K9" s="58">
        <v>0</v>
      </c>
      <c r="L9" s="58">
        <v>0</v>
      </c>
      <c r="M9" s="58"/>
      <c r="N9" s="58"/>
      <c r="O9" s="58"/>
      <c r="DT9" s="33" t="s">
        <v>279</v>
      </c>
      <c r="EB9" s="33" t="s">
        <v>292</v>
      </c>
      <c r="ED9" s="33" t="s">
        <v>293</v>
      </c>
    </row>
    <row r="10" spans="1:134" ht="24" customHeight="1" x14ac:dyDescent="0.25">
      <c r="A10" s="183" t="s">
        <v>20</v>
      </c>
      <c r="B10" s="200"/>
      <c r="C10" s="9" t="s">
        <v>19</v>
      </c>
      <c r="D10" s="61">
        <v>314.87124478021389</v>
      </c>
      <c r="E10" s="58">
        <v>273.72671113717377</v>
      </c>
      <c r="F10" s="58">
        <v>249.59369329523236</v>
      </c>
      <c r="G10" s="58">
        <v>241.28239035817234</v>
      </c>
      <c r="H10" s="58">
        <v>219.500135414564</v>
      </c>
      <c r="I10" s="58">
        <v>203.13295763921627</v>
      </c>
      <c r="J10" s="58">
        <v>201.41499720899361</v>
      </c>
      <c r="K10" s="58">
        <v>201.42653276663418</v>
      </c>
      <c r="L10" s="58">
        <v>197.05623910874382</v>
      </c>
      <c r="M10" s="58"/>
      <c r="N10" s="58"/>
      <c r="O10" s="58"/>
      <c r="DT10" s="139" t="s">
        <v>280</v>
      </c>
      <c r="EB10" s="33" t="s">
        <v>292</v>
      </c>
      <c r="ED10" s="33" t="s">
        <v>293</v>
      </c>
    </row>
    <row r="11" spans="1:134" s="34" customFormat="1" ht="15" customHeight="1" x14ac:dyDescent="0.25">
      <c r="A11" s="182" t="s">
        <v>18</v>
      </c>
      <c r="B11" s="110" t="s">
        <v>21</v>
      </c>
      <c r="C11" s="111" t="s">
        <v>19</v>
      </c>
      <c r="D11" s="112">
        <v>266.72056467273671</v>
      </c>
      <c r="E11" s="113">
        <v>239.78442843846034</v>
      </c>
      <c r="F11" s="113">
        <v>223.93964241829778</v>
      </c>
      <c r="G11" s="113">
        <v>217.60172801023273</v>
      </c>
      <c r="H11" s="113">
        <v>197.00350618402138</v>
      </c>
      <c r="I11" s="113">
        <v>182.21503923186964</v>
      </c>
      <c r="J11" s="113">
        <v>180.10240109584797</v>
      </c>
      <c r="K11" s="113">
        <v>183.27135829988049</v>
      </c>
      <c r="L11" s="113">
        <v>175.3489652897992</v>
      </c>
      <c r="M11" s="113"/>
      <c r="N11" s="113"/>
      <c r="O11" s="113"/>
      <c r="DT11" s="34" t="s">
        <v>281</v>
      </c>
      <c r="EB11" s="34" t="s">
        <v>292</v>
      </c>
      <c r="ED11" s="34" t="s">
        <v>293</v>
      </c>
    </row>
    <row r="12" spans="1:134" s="34" customFormat="1" ht="15" customHeight="1" x14ac:dyDescent="0.25">
      <c r="A12" s="182"/>
      <c r="B12" s="110" t="s">
        <v>22</v>
      </c>
      <c r="C12" s="111" t="s">
        <v>19</v>
      </c>
      <c r="D12" s="112">
        <v>0</v>
      </c>
      <c r="E12" s="113">
        <v>0</v>
      </c>
      <c r="F12" s="113">
        <v>0</v>
      </c>
      <c r="G12" s="113">
        <v>0</v>
      </c>
      <c r="H12" s="113">
        <v>0</v>
      </c>
      <c r="I12" s="113">
        <v>0</v>
      </c>
      <c r="J12" s="113">
        <v>0</v>
      </c>
      <c r="K12" s="113">
        <v>0</v>
      </c>
      <c r="L12" s="113">
        <v>0</v>
      </c>
      <c r="M12" s="113"/>
      <c r="N12" s="113"/>
      <c r="O12" s="113"/>
      <c r="DT12" s="34" t="s">
        <v>282</v>
      </c>
      <c r="EB12" s="34" t="s">
        <v>292</v>
      </c>
      <c r="ED12" s="34" t="s">
        <v>293</v>
      </c>
    </row>
    <row r="13" spans="1:134" s="34" customFormat="1" ht="15" customHeight="1" x14ac:dyDescent="0.25">
      <c r="A13" s="182"/>
      <c r="B13" s="110" t="s">
        <v>23</v>
      </c>
      <c r="C13" s="111" t="s">
        <v>19</v>
      </c>
      <c r="D13" s="112">
        <v>48.150680107477179</v>
      </c>
      <c r="E13" s="113">
        <v>33.94228269871342</v>
      </c>
      <c r="F13" s="113">
        <v>25.654050876934562</v>
      </c>
      <c r="G13" s="113">
        <v>23.680662347939595</v>
      </c>
      <c r="H13" s="113">
        <v>22.496629230542617</v>
      </c>
      <c r="I13" s="113">
        <v>20.917918407346644</v>
      </c>
      <c r="J13" s="113">
        <v>21.312596113145634</v>
      </c>
      <c r="K13" s="113">
        <v>18.155174466753689</v>
      </c>
      <c r="L13" s="113">
        <v>21.707273818944628</v>
      </c>
      <c r="M13" s="113"/>
      <c r="N13" s="113"/>
      <c r="O13" s="113"/>
      <c r="DT13" s="34" t="s">
        <v>283</v>
      </c>
      <c r="EB13" s="34" t="s">
        <v>292</v>
      </c>
      <c r="ED13" s="34" t="s">
        <v>293</v>
      </c>
    </row>
    <row r="14" spans="1:134" ht="24" customHeight="1" x14ac:dyDescent="0.25">
      <c r="A14" s="183" t="s">
        <v>24</v>
      </c>
      <c r="B14" s="200"/>
      <c r="C14" s="9" t="s">
        <v>25</v>
      </c>
      <c r="D14" s="61">
        <v>2871.3384503752313</v>
      </c>
      <c r="E14" s="58">
        <v>3135.1142946065211</v>
      </c>
      <c r="F14" s="58">
        <v>3402.9689775321008</v>
      </c>
      <c r="G14" s="58">
        <v>3568.9097724869653</v>
      </c>
      <c r="H14" s="58">
        <v>3653.9441006944808</v>
      </c>
      <c r="I14" s="58">
        <v>3722.3168259756981</v>
      </c>
      <c r="J14" s="58">
        <v>3811.5135893539687</v>
      </c>
      <c r="K14" s="58">
        <v>3904.1742752060745</v>
      </c>
      <c r="L14" s="58">
        <v>4085.7079739277106</v>
      </c>
      <c r="M14" s="58"/>
      <c r="N14" s="58"/>
      <c r="O14" s="58"/>
      <c r="DT14" s="139" t="s">
        <v>284</v>
      </c>
      <c r="EB14" s="33" t="s">
        <v>291</v>
      </c>
      <c r="ED14" s="33" t="s">
        <v>295</v>
      </c>
    </row>
    <row r="15" spans="1:134" s="34" customFormat="1" ht="15" customHeight="1" x14ac:dyDescent="0.25">
      <c r="A15" s="182" t="s">
        <v>18</v>
      </c>
      <c r="B15" s="110" t="s">
        <v>26</v>
      </c>
      <c r="C15" s="111" t="s">
        <v>25</v>
      </c>
      <c r="D15" s="112">
        <v>1110.2481527226403</v>
      </c>
      <c r="E15" s="113">
        <v>1374.0239969539298</v>
      </c>
      <c r="F15" s="113">
        <v>1555.0826774889961</v>
      </c>
      <c r="G15" s="113">
        <v>1680.0775026299557</v>
      </c>
      <c r="H15" s="113">
        <v>1774.7427010822998</v>
      </c>
      <c r="I15" s="113">
        <v>1852.8644667953995</v>
      </c>
      <c r="J15" s="113">
        <v>1938.338869281497</v>
      </c>
      <c r="K15" s="113">
        <v>2030.9995551336026</v>
      </c>
      <c r="L15" s="113">
        <v>2207.6291910925347</v>
      </c>
      <c r="M15" s="113"/>
      <c r="N15" s="113"/>
      <c r="O15" s="113"/>
      <c r="DT15" s="34" t="s">
        <v>285</v>
      </c>
      <c r="EB15" s="34" t="s">
        <v>291</v>
      </c>
      <c r="ED15" s="34" t="s">
        <v>295</v>
      </c>
    </row>
    <row r="16" spans="1:134" s="34" customFormat="1" ht="15" customHeight="1" x14ac:dyDescent="0.25">
      <c r="A16" s="182"/>
      <c r="B16" s="110" t="s">
        <v>27</v>
      </c>
      <c r="C16" s="111" t="s">
        <v>25</v>
      </c>
      <c r="D16" s="112">
        <v>1761.0902976525911</v>
      </c>
      <c r="E16" s="113">
        <v>1761.0902976525911</v>
      </c>
      <c r="F16" s="113">
        <v>1847.8863000431047</v>
      </c>
      <c r="G16" s="113">
        <v>1888.8322698570096</v>
      </c>
      <c r="H16" s="113">
        <v>1879.2013996121807</v>
      </c>
      <c r="I16" s="113">
        <v>1869.4523591802986</v>
      </c>
      <c r="J16" s="113">
        <v>1873.1747200724717</v>
      </c>
      <c r="K16" s="113">
        <v>1873.1747200724717</v>
      </c>
      <c r="L16" s="113">
        <v>1878.0787828351761</v>
      </c>
      <c r="M16" s="113"/>
      <c r="N16" s="113"/>
      <c r="O16" s="113"/>
      <c r="DT16" s="34" t="s">
        <v>286</v>
      </c>
      <c r="EB16" s="34" t="s">
        <v>291</v>
      </c>
      <c r="ED16" s="34" t="s">
        <v>295</v>
      </c>
    </row>
    <row r="17" spans="1:134" s="34" customFormat="1" ht="15" customHeight="1" x14ac:dyDescent="0.25">
      <c r="A17" s="182"/>
      <c r="B17" s="110" t="s">
        <v>28</v>
      </c>
      <c r="C17" s="111" t="s">
        <v>25</v>
      </c>
      <c r="D17" s="112">
        <v>0</v>
      </c>
      <c r="E17" s="112">
        <v>0</v>
      </c>
      <c r="F17" s="112">
        <v>0</v>
      </c>
      <c r="G17" s="112">
        <v>0</v>
      </c>
      <c r="H17" s="112">
        <v>0</v>
      </c>
      <c r="I17" s="112">
        <v>0</v>
      </c>
      <c r="J17" s="112">
        <v>0</v>
      </c>
      <c r="K17" s="112">
        <v>0</v>
      </c>
      <c r="L17" s="112">
        <v>0</v>
      </c>
      <c r="M17" s="112"/>
      <c r="N17" s="112"/>
      <c r="O17" s="112"/>
      <c r="DT17" s="34" t="s">
        <v>287</v>
      </c>
      <c r="EB17" s="34" t="s">
        <v>291</v>
      </c>
      <c r="ED17" s="34" t="s">
        <v>295</v>
      </c>
    </row>
    <row r="18" spans="1:134" s="34" customFormat="1" ht="15" customHeight="1" x14ac:dyDescent="0.25">
      <c r="A18" s="182"/>
      <c r="B18" s="110" t="s">
        <v>185</v>
      </c>
      <c r="C18" s="111" t="s">
        <v>25</v>
      </c>
      <c r="D18" s="112">
        <v>0</v>
      </c>
      <c r="E18" s="113">
        <v>0</v>
      </c>
      <c r="F18" s="113">
        <v>0</v>
      </c>
      <c r="G18" s="113">
        <v>0</v>
      </c>
      <c r="H18" s="113">
        <v>0</v>
      </c>
      <c r="I18" s="113">
        <v>0</v>
      </c>
      <c r="J18" s="113">
        <v>0</v>
      </c>
      <c r="K18" s="113">
        <v>0</v>
      </c>
      <c r="L18" s="113">
        <v>0</v>
      </c>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ED19"/>
  <sheetViews>
    <sheetView showGridLines="0" zoomScale="90" zoomScaleNormal="90" workbookViewId="0">
      <pane xSplit="3" topLeftCell="D1" activePane="topRight" state="frozen"/>
      <selection activeCell="DS1" sqref="DS1:ED1048576"/>
      <selection pane="topRight" activeCell="L18" sqref="L18"/>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9</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99"/>
      <c r="C6" s="8" t="s">
        <v>14</v>
      </c>
      <c r="D6" s="59">
        <v>5884.8085177024359</v>
      </c>
      <c r="E6" s="60">
        <v>5572.778318099703</v>
      </c>
      <c r="F6" s="60">
        <v>5226.7084603584917</v>
      </c>
      <c r="G6" s="60">
        <v>4990.0517894909644</v>
      </c>
      <c r="H6" s="60">
        <v>4828.3634133331852</v>
      </c>
      <c r="I6" s="60">
        <v>4852.2722208352134</v>
      </c>
      <c r="J6" s="60">
        <v>5257.1010122678481</v>
      </c>
      <c r="K6" s="60">
        <v>5101.8963805173989</v>
      </c>
      <c r="L6" s="60">
        <v>5354.3571783777907</v>
      </c>
      <c r="M6" s="60"/>
      <c r="N6" s="60"/>
      <c r="O6" s="60"/>
      <c r="DS6" s="4" t="str">
        <f>VLOOKUP(Cover!$D$15, Country_list!$B$3:$C$44, 2, 0)</f>
        <v>PT</v>
      </c>
      <c r="DT6" s="33" t="s">
        <v>289</v>
      </c>
      <c r="DV6" s="33" t="s">
        <v>305</v>
      </c>
      <c r="EB6" s="33" t="s">
        <v>291</v>
      </c>
      <c r="ED6" s="33" t="s">
        <v>294</v>
      </c>
    </row>
    <row r="7" spans="1:134" ht="24" customHeight="1" x14ac:dyDescent="0.25">
      <c r="A7" s="183" t="s">
        <v>15</v>
      </c>
      <c r="B7" s="200"/>
      <c r="C7" s="9" t="s">
        <v>25</v>
      </c>
      <c r="D7" s="61">
        <v>0</v>
      </c>
      <c r="E7" s="58">
        <v>0</v>
      </c>
      <c r="F7" s="58">
        <v>0</v>
      </c>
      <c r="G7" s="58">
        <v>0</v>
      </c>
      <c r="H7" s="58">
        <v>0</v>
      </c>
      <c r="I7" s="58">
        <v>0</v>
      </c>
      <c r="J7" s="58">
        <v>0</v>
      </c>
      <c r="K7" s="58">
        <v>0</v>
      </c>
      <c r="L7" s="58">
        <v>0</v>
      </c>
      <c r="M7" s="58"/>
      <c r="N7" s="58"/>
      <c r="O7" s="58"/>
      <c r="DT7" s="33" t="s">
        <v>290</v>
      </c>
      <c r="EB7" s="33" t="s">
        <v>291</v>
      </c>
      <c r="ED7" s="33" t="s">
        <v>295</v>
      </c>
    </row>
    <row r="8" spans="1:134" ht="24" customHeight="1" x14ac:dyDescent="0.25">
      <c r="A8" s="183" t="s">
        <v>29</v>
      </c>
      <c r="B8" s="200"/>
      <c r="C8" s="9" t="s">
        <v>17</v>
      </c>
      <c r="D8" s="61">
        <v>4882.5811402731679</v>
      </c>
      <c r="E8" s="58">
        <v>4212.4986530854267</v>
      </c>
      <c r="F8" s="58">
        <v>4209.6905546582393</v>
      </c>
      <c r="G8" s="58">
        <v>3996.2750741919494</v>
      </c>
      <c r="H8" s="58">
        <v>4215.3067515126149</v>
      </c>
      <c r="I8" s="58">
        <v>4292.880470563684</v>
      </c>
      <c r="J8" s="58">
        <v>3981.5325574492122</v>
      </c>
      <c r="K8" s="58">
        <v>4094.2075068401318</v>
      </c>
      <c r="L8" s="58">
        <v>4459.2603023745742</v>
      </c>
      <c r="M8" s="58"/>
      <c r="N8" s="58"/>
      <c r="O8" s="58"/>
      <c r="DT8" s="33" t="s">
        <v>231</v>
      </c>
      <c r="EB8" s="33" t="s">
        <v>291</v>
      </c>
      <c r="ED8" s="33" t="s">
        <v>296</v>
      </c>
    </row>
    <row r="9" spans="1:134" ht="24" customHeight="1" x14ac:dyDescent="0.25">
      <c r="A9" s="183" t="s">
        <v>156</v>
      </c>
      <c r="B9" s="200"/>
      <c r="C9" s="9" t="s">
        <v>19</v>
      </c>
      <c r="D9" s="61">
        <v>0</v>
      </c>
      <c r="E9" s="58">
        <v>0</v>
      </c>
      <c r="F9" s="58">
        <v>0</v>
      </c>
      <c r="G9" s="58">
        <v>0</v>
      </c>
      <c r="H9" s="58">
        <v>0</v>
      </c>
      <c r="I9" s="58">
        <v>0</v>
      </c>
      <c r="J9" s="58">
        <v>0</v>
      </c>
      <c r="K9" s="58">
        <v>0</v>
      </c>
      <c r="L9" s="58">
        <v>0</v>
      </c>
      <c r="M9" s="58"/>
      <c r="N9" s="58"/>
      <c r="O9" s="58"/>
      <c r="DT9" s="33" t="s">
        <v>279</v>
      </c>
      <c r="EB9" s="33" t="s">
        <v>292</v>
      </c>
      <c r="ED9" s="33" t="s">
        <v>293</v>
      </c>
    </row>
    <row r="10" spans="1:134" ht="24" customHeight="1" x14ac:dyDescent="0.25">
      <c r="A10" s="183" t="s">
        <v>20</v>
      </c>
      <c r="B10" s="200"/>
      <c r="C10" s="9" t="s">
        <v>19</v>
      </c>
      <c r="D10" s="61">
        <v>226.16442604285584</v>
      </c>
      <c r="E10" s="58">
        <v>203.32405826427038</v>
      </c>
      <c r="F10" s="58">
        <v>189.88854780627895</v>
      </c>
      <c r="G10" s="58">
        <v>184.51434362308237</v>
      </c>
      <c r="H10" s="58">
        <v>167.04818002769352</v>
      </c>
      <c r="I10" s="58">
        <v>154.50837026690149</v>
      </c>
      <c r="J10" s="58">
        <v>152.71696887250266</v>
      </c>
      <c r="K10" s="58">
        <v>155.40407096410092</v>
      </c>
      <c r="L10" s="58">
        <v>148.68631573510521</v>
      </c>
      <c r="M10" s="58"/>
      <c r="N10" s="58"/>
      <c r="O10" s="58"/>
      <c r="DT10" s="139" t="s">
        <v>280</v>
      </c>
      <c r="EB10" s="33" t="s">
        <v>292</v>
      </c>
      <c r="ED10" s="33" t="s">
        <v>293</v>
      </c>
    </row>
    <row r="11" spans="1:134" s="34" customFormat="1" ht="15" customHeight="1" x14ac:dyDescent="0.25">
      <c r="A11" s="182" t="s">
        <v>18</v>
      </c>
      <c r="B11" s="110" t="s">
        <v>21</v>
      </c>
      <c r="C11" s="111" t="s">
        <v>19</v>
      </c>
      <c r="D11" s="112">
        <v>226.16442604285584</v>
      </c>
      <c r="E11" s="113">
        <v>203.32405826427038</v>
      </c>
      <c r="F11" s="113">
        <v>189.88854780627895</v>
      </c>
      <c r="G11" s="113">
        <v>184.51434362308237</v>
      </c>
      <c r="H11" s="113">
        <v>167.04818002769352</v>
      </c>
      <c r="I11" s="113">
        <v>154.50837026690149</v>
      </c>
      <c r="J11" s="113">
        <v>152.71696887250266</v>
      </c>
      <c r="K11" s="113">
        <v>155.40407096410092</v>
      </c>
      <c r="L11" s="113">
        <v>148.68631573510521</v>
      </c>
      <c r="M11" s="113"/>
      <c r="N11" s="113"/>
      <c r="O11" s="113"/>
      <c r="DT11" s="34" t="s">
        <v>281</v>
      </c>
      <c r="EB11" s="34" t="s">
        <v>292</v>
      </c>
      <c r="ED11" s="34" t="s">
        <v>293</v>
      </c>
    </row>
    <row r="12" spans="1:134" s="34" customFormat="1" ht="15" customHeight="1" x14ac:dyDescent="0.25">
      <c r="A12" s="182"/>
      <c r="B12" s="110" t="s">
        <v>22</v>
      </c>
      <c r="C12" s="111" t="s">
        <v>19</v>
      </c>
      <c r="D12" s="112">
        <v>0</v>
      </c>
      <c r="E12" s="113">
        <v>0</v>
      </c>
      <c r="F12" s="113">
        <v>0</v>
      </c>
      <c r="G12" s="113">
        <v>0</v>
      </c>
      <c r="H12" s="113">
        <v>0</v>
      </c>
      <c r="I12" s="113">
        <v>0</v>
      </c>
      <c r="J12" s="113">
        <v>0</v>
      </c>
      <c r="K12" s="113">
        <v>0</v>
      </c>
      <c r="L12" s="113">
        <v>0</v>
      </c>
      <c r="M12" s="113"/>
      <c r="N12" s="113"/>
      <c r="O12" s="113"/>
      <c r="DT12" s="34" t="s">
        <v>282</v>
      </c>
      <c r="EB12" s="34" t="s">
        <v>292</v>
      </c>
      <c r="ED12" s="34" t="s">
        <v>293</v>
      </c>
    </row>
    <row r="13" spans="1:134" s="34" customFormat="1" ht="15" customHeight="1" x14ac:dyDescent="0.25">
      <c r="A13" s="182"/>
      <c r="B13" s="110" t="s">
        <v>23</v>
      </c>
      <c r="C13" s="111" t="s">
        <v>19</v>
      </c>
      <c r="D13" s="112">
        <v>0</v>
      </c>
      <c r="E13" s="113">
        <v>0</v>
      </c>
      <c r="F13" s="113">
        <v>0</v>
      </c>
      <c r="G13" s="113">
        <v>0</v>
      </c>
      <c r="H13" s="113">
        <v>0</v>
      </c>
      <c r="I13" s="113">
        <v>0</v>
      </c>
      <c r="J13" s="113">
        <v>0</v>
      </c>
      <c r="K13" s="113">
        <v>0</v>
      </c>
      <c r="L13" s="113">
        <v>0</v>
      </c>
      <c r="M13" s="113"/>
      <c r="N13" s="113"/>
      <c r="O13" s="113"/>
      <c r="DT13" s="34" t="s">
        <v>283</v>
      </c>
      <c r="EB13" s="34" t="s">
        <v>292</v>
      </c>
      <c r="ED13" s="34" t="s">
        <v>293</v>
      </c>
    </row>
    <row r="14" spans="1:134" ht="24" customHeight="1" x14ac:dyDescent="0.25">
      <c r="A14" s="183" t="s">
        <v>24</v>
      </c>
      <c r="B14" s="200"/>
      <c r="C14" s="9" t="s">
        <v>25</v>
      </c>
      <c r="D14" s="61">
        <v>12552.299240900056</v>
      </c>
      <c r="E14" s="58">
        <v>12552.299240900056</v>
      </c>
      <c r="F14" s="58">
        <v>13170.94406358281</v>
      </c>
      <c r="G14" s="58">
        <v>13462.789442833422</v>
      </c>
      <c r="H14" s="58">
        <v>13394.144714380536</v>
      </c>
      <c r="I14" s="58">
        <v>13324.657719320867</v>
      </c>
      <c r="J14" s="58">
        <v>13351.18911743456</v>
      </c>
      <c r="K14" s="58">
        <v>13351.18911743456</v>
      </c>
      <c r="L14" s="58">
        <v>13386.143181616089</v>
      </c>
      <c r="M14" s="58"/>
      <c r="N14" s="58"/>
      <c r="O14" s="58"/>
      <c r="DT14" s="139" t="s">
        <v>284</v>
      </c>
      <c r="EB14" s="33" t="s">
        <v>291</v>
      </c>
      <c r="ED14" s="33" t="s">
        <v>295</v>
      </c>
    </row>
    <row r="15" spans="1:134" s="34" customFormat="1" ht="15" customHeight="1" x14ac:dyDescent="0.25">
      <c r="A15" s="204" t="s">
        <v>18</v>
      </c>
      <c r="B15" s="110" t="s">
        <v>26</v>
      </c>
      <c r="C15" s="111" t="s">
        <v>25</v>
      </c>
      <c r="D15" s="112">
        <v>0</v>
      </c>
      <c r="E15" s="113">
        <v>0</v>
      </c>
      <c r="F15" s="113">
        <v>0</v>
      </c>
      <c r="G15" s="113">
        <v>0</v>
      </c>
      <c r="H15" s="113">
        <v>0</v>
      </c>
      <c r="I15" s="113">
        <v>0</v>
      </c>
      <c r="J15" s="113">
        <v>0</v>
      </c>
      <c r="K15" s="113">
        <v>0</v>
      </c>
      <c r="L15" s="113">
        <v>0</v>
      </c>
      <c r="M15" s="113"/>
      <c r="N15" s="113"/>
      <c r="O15" s="113"/>
      <c r="DT15" s="34" t="s">
        <v>285</v>
      </c>
      <c r="EB15" s="34" t="s">
        <v>291</v>
      </c>
      <c r="ED15" s="34" t="s">
        <v>295</v>
      </c>
    </row>
    <row r="16" spans="1:134" s="34" customFormat="1" ht="15" customHeight="1" x14ac:dyDescent="0.25">
      <c r="A16" s="205"/>
      <c r="B16" s="110" t="s">
        <v>27</v>
      </c>
      <c r="C16" s="111" t="s">
        <v>25</v>
      </c>
      <c r="D16" s="112">
        <v>12552.299240900056</v>
      </c>
      <c r="E16" s="113">
        <v>12552.299240900056</v>
      </c>
      <c r="F16" s="113">
        <v>13170.94406358281</v>
      </c>
      <c r="G16" s="113">
        <v>13462.789442833422</v>
      </c>
      <c r="H16" s="113">
        <v>13394.144714380536</v>
      </c>
      <c r="I16" s="113">
        <v>13324.657719320867</v>
      </c>
      <c r="J16" s="113">
        <v>13351.18911743456</v>
      </c>
      <c r="K16" s="113">
        <v>13351.18911743456</v>
      </c>
      <c r="L16" s="113">
        <v>13386.143181616089</v>
      </c>
      <c r="M16" s="113"/>
      <c r="N16" s="113"/>
      <c r="O16" s="113"/>
      <c r="DT16" s="34" t="s">
        <v>286</v>
      </c>
      <c r="EB16" s="34" t="s">
        <v>291</v>
      </c>
      <c r="ED16" s="34" t="s">
        <v>295</v>
      </c>
    </row>
    <row r="17" spans="1:134" s="34" customFormat="1" ht="15" customHeight="1" x14ac:dyDescent="0.25">
      <c r="A17" s="205"/>
      <c r="B17" s="110" t="s">
        <v>28</v>
      </c>
      <c r="C17" s="111" t="s">
        <v>25</v>
      </c>
      <c r="D17" s="112">
        <v>0</v>
      </c>
      <c r="E17" s="113">
        <v>0</v>
      </c>
      <c r="F17" s="113">
        <v>0</v>
      </c>
      <c r="G17" s="113">
        <v>0</v>
      </c>
      <c r="H17" s="113">
        <v>0</v>
      </c>
      <c r="I17" s="113">
        <v>0</v>
      </c>
      <c r="J17" s="113">
        <v>0</v>
      </c>
      <c r="K17" s="113">
        <v>0</v>
      </c>
      <c r="L17" s="113">
        <v>0</v>
      </c>
      <c r="M17" s="113"/>
      <c r="N17" s="113"/>
      <c r="O17" s="113"/>
      <c r="DT17" s="34" t="s">
        <v>287</v>
      </c>
      <c r="EB17" s="34" t="s">
        <v>291</v>
      </c>
      <c r="ED17" s="34" t="s">
        <v>295</v>
      </c>
    </row>
    <row r="18" spans="1:134" s="34" customFormat="1" ht="15" customHeight="1" x14ac:dyDescent="0.25">
      <c r="A18" s="206"/>
      <c r="B18" s="110" t="s">
        <v>185</v>
      </c>
      <c r="C18" s="111" t="s">
        <v>25</v>
      </c>
      <c r="D18" s="112">
        <v>0</v>
      </c>
      <c r="E18" s="113">
        <v>0</v>
      </c>
      <c r="F18" s="113">
        <v>0</v>
      </c>
      <c r="G18" s="113">
        <v>0</v>
      </c>
      <c r="H18" s="113">
        <v>0</v>
      </c>
      <c r="I18" s="113">
        <v>0</v>
      </c>
      <c r="J18" s="113">
        <v>0</v>
      </c>
      <c r="K18" s="113">
        <v>0</v>
      </c>
      <c r="L18" s="113">
        <v>0</v>
      </c>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D18"/>
  <sheetViews>
    <sheetView showGridLines="0" zoomScale="90" zoomScaleNormal="90" workbookViewId="0">
      <pane xSplit="3" topLeftCell="D1" activePane="topRight" state="frozen"/>
      <selection activeCell="DS1" sqref="DS1:ED1048576"/>
      <selection pane="topRight" activeCell="L6" sqref="L6"/>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10</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thickBot="1" x14ac:dyDescent="0.3">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207" t="s">
        <v>13</v>
      </c>
      <c r="B6" s="208"/>
      <c r="C6" s="32" t="s">
        <v>14</v>
      </c>
      <c r="D6" s="62">
        <v>6742.0916972456898</v>
      </c>
      <c r="E6" s="63">
        <v>6384.6057719682367</v>
      </c>
      <c r="F6" s="63">
        <v>5988.1213821150604</v>
      </c>
      <c r="G6" s="63">
        <v>5716.9891998267067</v>
      </c>
      <c r="H6" s="63">
        <v>5531.746493092026</v>
      </c>
      <c r="I6" s="63">
        <v>5559.1382717821161</v>
      </c>
      <c r="J6" s="63">
        <v>6022.9414397719556</v>
      </c>
      <c r="K6" s="63">
        <v>5845.127012004079</v>
      </c>
      <c r="L6" s="63">
        <v>6134.365624274019</v>
      </c>
      <c r="M6" s="63"/>
      <c r="N6" s="63"/>
      <c r="O6" s="63"/>
      <c r="DS6" s="4" t="str">
        <f>VLOOKUP(Cover!$D$15, Country_list!$B$3:$C$44, 2, 0)</f>
        <v>PT</v>
      </c>
      <c r="DT6" s="33" t="s">
        <v>289</v>
      </c>
      <c r="DV6" s="155" t="s">
        <v>306</v>
      </c>
      <c r="EB6" s="33" t="s">
        <v>291</v>
      </c>
      <c r="ED6" s="33" t="s">
        <v>294</v>
      </c>
    </row>
    <row r="7" spans="1:134" ht="21" customHeight="1" x14ac:dyDescent="0.25"/>
    <row r="10" spans="1:134" x14ac:dyDescent="0.25">
      <c r="DT10" s="139"/>
    </row>
    <row r="14" spans="1:134" x14ac:dyDescent="0.25">
      <c r="DT14" s="139"/>
    </row>
    <row r="18" spans="124:124" x14ac:dyDescent="0.25">
      <c r="DT18" s="139"/>
    </row>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ED19"/>
  <sheetViews>
    <sheetView showGridLines="0" zoomScale="90" zoomScaleNormal="90" workbookViewId="0">
      <pane xSplit="3" topLeftCell="D1" activePane="topRight" state="frozen"/>
      <selection activeCell="DS1" sqref="DS1:ED1048576"/>
      <selection pane="topRight" activeCell="D1" sqref="D1"/>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11</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209"/>
      <c r="C6" s="8" t="s">
        <v>14</v>
      </c>
      <c r="D6" s="59"/>
      <c r="E6" s="60"/>
      <c r="F6" s="60"/>
      <c r="G6" s="60"/>
      <c r="H6" s="60"/>
      <c r="I6" s="60"/>
      <c r="J6" s="60"/>
      <c r="K6" s="60"/>
      <c r="L6" s="60"/>
      <c r="M6" s="60"/>
      <c r="N6" s="60"/>
      <c r="O6" s="60"/>
      <c r="DS6" s="4" t="str">
        <f>VLOOKUP(Cover!$D$15, Country_list!$B$3:$C$44, 2, 0)</f>
        <v>PT</v>
      </c>
      <c r="DT6" s="33" t="s">
        <v>289</v>
      </c>
      <c r="DV6" s="33" t="s">
        <v>307</v>
      </c>
      <c r="EB6" s="33" t="s">
        <v>291</v>
      </c>
      <c r="ED6" s="33" t="s">
        <v>294</v>
      </c>
    </row>
    <row r="7" spans="1:134" ht="24" customHeight="1" x14ac:dyDescent="0.25">
      <c r="A7" s="183" t="s">
        <v>15</v>
      </c>
      <c r="B7" s="210"/>
      <c r="C7" s="9" t="s">
        <v>25</v>
      </c>
      <c r="D7" s="61"/>
      <c r="E7" s="58"/>
      <c r="F7" s="58"/>
      <c r="G7" s="58"/>
      <c r="H7" s="58"/>
      <c r="I7" s="58"/>
      <c r="J7" s="58"/>
      <c r="K7" s="58"/>
      <c r="L7" s="58"/>
      <c r="M7" s="58"/>
      <c r="N7" s="58"/>
      <c r="O7" s="58"/>
      <c r="DT7" s="33" t="s">
        <v>290</v>
      </c>
      <c r="EB7" s="33" t="s">
        <v>291</v>
      </c>
      <c r="ED7" s="33" t="s">
        <v>295</v>
      </c>
    </row>
    <row r="8" spans="1:134" ht="24" customHeight="1" x14ac:dyDescent="0.25">
      <c r="A8" s="183" t="s">
        <v>29</v>
      </c>
      <c r="B8" s="210"/>
      <c r="C8" s="9" t="s">
        <v>17</v>
      </c>
      <c r="D8" s="61"/>
      <c r="E8" s="58"/>
      <c r="F8" s="58"/>
      <c r="G8" s="58"/>
      <c r="H8" s="58"/>
      <c r="I8" s="58"/>
      <c r="J8" s="58"/>
      <c r="K8" s="58"/>
      <c r="L8" s="58"/>
      <c r="M8" s="58"/>
      <c r="N8" s="58"/>
      <c r="O8" s="58"/>
      <c r="DT8" s="33" t="s">
        <v>231</v>
      </c>
      <c r="EB8" s="33" t="s">
        <v>291</v>
      </c>
      <c r="ED8" s="33" t="s">
        <v>296</v>
      </c>
    </row>
    <row r="9" spans="1:134" ht="24" customHeight="1" x14ac:dyDescent="0.25">
      <c r="A9" s="183" t="s">
        <v>156</v>
      </c>
      <c r="B9" s="200"/>
      <c r="C9" s="9" t="s">
        <v>19</v>
      </c>
      <c r="D9" s="61"/>
      <c r="E9" s="58"/>
      <c r="F9" s="58"/>
      <c r="G9" s="58"/>
      <c r="H9" s="58"/>
      <c r="I9" s="58"/>
      <c r="J9" s="58"/>
      <c r="K9" s="58"/>
      <c r="L9" s="58"/>
      <c r="M9" s="58"/>
      <c r="N9" s="58"/>
      <c r="O9" s="58"/>
      <c r="DT9" s="33" t="s">
        <v>279</v>
      </c>
      <c r="EB9" s="33" t="s">
        <v>292</v>
      </c>
      <c r="ED9" s="33" t="s">
        <v>293</v>
      </c>
    </row>
    <row r="10" spans="1:134" ht="24" customHeight="1" x14ac:dyDescent="0.25">
      <c r="A10" s="183" t="s">
        <v>20</v>
      </c>
      <c r="B10" s="200"/>
      <c r="C10" s="9" t="s">
        <v>19</v>
      </c>
      <c r="D10" s="61"/>
      <c r="E10" s="58"/>
      <c r="F10" s="58"/>
      <c r="G10" s="58"/>
      <c r="H10" s="58"/>
      <c r="I10" s="58"/>
      <c r="J10" s="58"/>
      <c r="K10" s="58"/>
      <c r="L10" s="58"/>
      <c r="M10" s="58"/>
      <c r="N10" s="58"/>
      <c r="O10" s="58"/>
      <c r="DT10" s="139" t="s">
        <v>280</v>
      </c>
      <c r="EB10" s="33" t="s">
        <v>292</v>
      </c>
      <c r="ED10" s="33" t="s">
        <v>293</v>
      </c>
    </row>
    <row r="11" spans="1:134" s="34" customFormat="1" ht="15" customHeight="1" x14ac:dyDescent="0.25">
      <c r="A11" s="182" t="s">
        <v>18</v>
      </c>
      <c r="B11" s="110" t="s">
        <v>21</v>
      </c>
      <c r="C11" s="111" t="s">
        <v>19</v>
      </c>
      <c r="D11" s="112"/>
      <c r="E11" s="113"/>
      <c r="F11" s="113"/>
      <c r="G11" s="113"/>
      <c r="H11" s="113"/>
      <c r="I11" s="113"/>
      <c r="J11" s="113"/>
      <c r="K11" s="113"/>
      <c r="L11" s="113"/>
      <c r="M11" s="113"/>
      <c r="N11" s="113"/>
      <c r="O11" s="113"/>
      <c r="DT11" s="34" t="s">
        <v>281</v>
      </c>
      <c r="EB11" s="34" t="s">
        <v>292</v>
      </c>
      <c r="ED11" s="34" t="s">
        <v>293</v>
      </c>
    </row>
    <row r="12" spans="1:134" s="34" customFormat="1" ht="15" customHeight="1" x14ac:dyDescent="0.25">
      <c r="A12" s="182"/>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82"/>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83" t="s">
        <v>24</v>
      </c>
      <c r="B14" s="200"/>
      <c r="C14" s="9" t="s">
        <v>25</v>
      </c>
      <c r="D14" s="61"/>
      <c r="E14" s="58"/>
      <c r="F14" s="58"/>
      <c r="G14" s="58"/>
      <c r="H14" s="58"/>
      <c r="I14" s="58"/>
      <c r="J14" s="58"/>
      <c r="K14" s="58"/>
      <c r="L14" s="58"/>
      <c r="M14" s="58"/>
      <c r="N14" s="58"/>
      <c r="O14" s="58"/>
      <c r="DT14" s="139" t="s">
        <v>284</v>
      </c>
      <c r="EB14" s="33" t="s">
        <v>291</v>
      </c>
      <c r="ED14" s="33" t="s">
        <v>295</v>
      </c>
    </row>
    <row r="15" spans="1:134" s="34" customFormat="1" ht="15" customHeight="1" x14ac:dyDescent="0.25">
      <c r="A15" s="204"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5"/>
      <c r="B16" s="110" t="s">
        <v>27</v>
      </c>
      <c r="C16" s="111" t="s">
        <v>25</v>
      </c>
      <c r="D16" s="112"/>
      <c r="E16" s="113"/>
      <c r="F16" s="113"/>
      <c r="G16" s="113"/>
      <c r="H16" s="113"/>
      <c r="I16" s="113"/>
      <c r="J16" s="113"/>
      <c r="K16" s="113"/>
      <c r="L16" s="113"/>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B2:D43"/>
  <sheetViews>
    <sheetView showGridLines="0" zoomScale="90" zoomScaleNormal="90" workbookViewId="0">
      <selection activeCell="C5" sqref="C5:C43"/>
    </sheetView>
  </sheetViews>
  <sheetFormatPr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211" t="s">
        <v>44</v>
      </c>
      <c r="C3" s="212"/>
      <c r="D3" s="213"/>
    </row>
    <row r="4" spans="2:4" ht="15.75" thickBot="1" x14ac:dyDescent="0.3"/>
    <row r="5" spans="2:4" ht="15" customHeight="1" x14ac:dyDescent="0.25">
      <c r="B5" s="39"/>
      <c r="C5" s="214"/>
      <c r="D5" s="95"/>
    </row>
    <row r="6" spans="2:4" x14ac:dyDescent="0.25">
      <c r="B6" s="40"/>
      <c r="C6" s="215"/>
      <c r="D6" s="41"/>
    </row>
    <row r="7" spans="2:4" x14ac:dyDescent="0.25">
      <c r="B7" s="40"/>
      <c r="C7" s="215"/>
      <c r="D7" s="41"/>
    </row>
    <row r="8" spans="2:4" x14ac:dyDescent="0.25">
      <c r="B8" s="40"/>
      <c r="C8" s="215"/>
      <c r="D8" s="41"/>
    </row>
    <row r="9" spans="2:4" x14ac:dyDescent="0.25">
      <c r="B9" s="40"/>
      <c r="C9" s="215"/>
      <c r="D9" s="41"/>
    </row>
    <row r="10" spans="2:4" x14ac:dyDescent="0.25">
      <c r="B10" s="40"/>
      <c r="C10" s="215"/>
      <c r="D10" s="41"/>
    </row>
    <row r="11" spans="2:4" x14ac:dyDescent="0.25">
      <c r="B11" s="40"/>
      <c r="C11" s="215"/>
      <c r="D11" s="41"/>
    </row>
    <row r="12" spans="2:4" x14ac:dyDescent="0.25">
      <c r="B12" s="40"/>
      <c r="C12" s="215"/>
      <c r="D12" s="41"/>
    </row>
    <row r="13" spans="2:4" x14ac:dyDescent="0.25">
      <c r="B13" s="40"/>
      <c r="C13" s="215"/>
      <c r="D13" s="41"/>
    </row>
    <row r="14" spans="2:4" x14ac:dyDescent="0.25">
      <c r="B14" s="40"/>
      <c r="C14" s="215"/>
      <c r="D14" s="41"/>
    </row>
    <row r="15" spans="2:4" x14ac:dyDescent="0.25">
      <c r="B15" s="40"/>
      <c r="C15" s="215"/>
      <c r="D15" s="41"/>
    </row>
    <row r="16" spans="2:4" x14ac:dyDescent="0.25">
      <c r="B16" s="40"/>
      <c r="C16" s="215"/>
      <c r="D16" s="41"/>
    </row>
    <row r="17" spans="2:4" x14ac:dyDescent="0.25">
      <c r="B17" s="40"/>
      <c r="C17" s="215"/>
      <c r="D17" s="41"/>
    </row>
    <row r="18" spans="2:4" x14ac:dyDescent="0.25">
      <c r="B18" s="40"/>
      <c r="C18" s="215"/>
      <c r="D18" s="41"/>
    </row>
    <row r="19" spans="2:4" x14ac:dyDescent="0.25">
      <c r="B19" s="40"/>
      <c r="C19" s="215"/>
      <c r="D19" s="41"/>
    </row>
    <row r="20" spans="2:4" x14ac:dyDescent="0.25">
      <c r="B20" s="40"/>
      <c r="C20" s="215"/>
      <c r="D20" s="41"/>
    </row>
    <row r="21" spans="2:4" x14ac:dyDescent="0.25">
      <c r="B21" s="40"/>
      <c r="C21" s="215"/>
      <c r="D21" s="41"/>
    </row>
    <row r="22" spans="2:4" x14ac:dyDescent="0.25">
      <c r="B22" s="40"/>
      <c r="C22" s="215"/>
      <c r="D22" s="41"/>
    </row>
    <row r="23" spans="2:4" x14ac:dyDescent="0.25">
      <c r="B23" s="40"/>
      <c r="C23" s="215"/>
      <c r="D23" s="41"/>
    </row>
    <row r="24" spans="2:4" x14ac:dyDescent="0.25">
      <c r="B24" s="40"/>
      <c r="C24" s="215"/>
      <c r="D24" s="41"/>
    </row>
    <row r="25" spans="2:4" x14ac:dyDescent="0.25">
      <c r="B25" s="40"/>
      <c r="C25" s="215"/>
      <c r="D25" s="41"/>
    </row>
    <row r="26" spans="2:4" x14ac:dyDescent="0.25">
      <c r="B26" s="40"/>
      <c r="C26" s="215"/>
      <c r="D26" s="41"/>
    </row>
    <row r="27" spans="2:4" x14ac:dyDescent="0.25">
      <c r="B27" s="40"/>
      <c r="C27" s="215"/>
      <c r="D27" s="41"/>
    </row>
    <row r="28" spans="2:4" x14ac:dyDescent="0.25">
      <c r="B28" s="40"/>
      <c r="C28" s="215"/>
      <c r="D28" s="41"/>
    </row>
    <row r="29" spans="2:4" x14ac:dyDescent="0.25">
      <c r="B29" s="40"/>
      <c r="C29" s="215"/>
      <c r="D29" s="41"/>
    </row>
    <row r="30" spans="2:4" x14ac:dyDescent="0.25">
      <c r="B30" s="40"/>
      <c r="C30" s="215"/>
      <c r="D30" s="41"/>
    </row>
    <row r="31" spans="2:4" x14ac:dyDescent="0.25">
      <c r="B31" s="40"/>
      <c r="C31" s="215"/>
      <c r="D31" s="41"/>
    </row>
    <row r="32" spans="2:4" x14ac:dyDescent="0.25">
      <c r="B32" s="40"/>
      <c r="C32" s="215"/>
      <c r="D32" s="41"/>
    </row>
    <row r="33" spans="2:4" x14ac:dyDescent="0.25">
      <c r="B33" s="40"/>
      <c r="C33" s="215"/>
      <c r="D33" s="41"/>
    </row>
    <row r="34" spans="2:4" x14ac:dyDescent="0.25">
      <c r="B34" s="40"/>
      <c r="C34" s="215"/>
      <c r="D34" s="41"/>
    </row>
    <row r="35" spans="2:4" x14ac:dyDescent="0.25">
      <c r="B35" s="40"/>
      <c r="C35" s="215"/>
      <c r="D35" s="41"/>
    </row>
    <row r="36" spans="2:4" x14ac:dyDescent="0.25">
      <c r="B36" s="40"/>
      <c r="C36" s="215"/>
      <c r="D36" s="41"/>
    </row>
    <row r="37" spans="2:4" x14ac:dyDescent="0.25">
      <c r="B37" s="40"/>
      <c r="C37" s="215"/>
      <c r="D37" s="41"/>
    </row>
    <row r="38" spans="2:4" x14ac:dyDescent="0.25">
      <c r="B38" s="40"/>
      <c r="C38" s="215"/>
      <c r="D38" s="41"/>
    </row>
    <row r="39" spans="2:4" x14ac:dyDescent="0.25">
      <c r="B39" s="40"/>
      <c r="C39" s="215"/>
      <c r="D39" s="41"/>
    </row>
    <row r="40" spans="2:4" x14ac:dyDescent="0.25">
      <c r="B40" s="40"/>
      <c r="C40" s="215"/>
      <c r="D40" s="41"/>
    </row>
    <row r="41" spans="2:4" x14ac:dyDescent="0.25">
      <c r="B41" s="40"/>
      <c r="C41" s="215"/>
      <c r="D41" s="41"/>
    </row>
    <row r="42" spans="2:4" x14ac:dyDescent="0.25">
      <c r="B42" s="40"/>
      <c r="C42" s="215"/>
      <c r="D42" s="41"/>
    </row>
    <row r="43" spans="2:4" ht="15.75" thickBot="1" x14ac:dyDescent="0.3">
      <c r="B43" s="42"/>
      <c r="C43" s="216"/>
      <c r="D43" s="43"/>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C44"/>
  <sheetViews>
    <sheetView workbookViewId="0">
      <selection activeCell="A45" sqref="A45:XFD45"/>
    </sheetView>
  </sheetViews>
  <sheetFormatPr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46"/>
  <sheetViews>
    <sheetView zoomScale="90" zoomScaleNormal="90" workbookViewId="0"/>
  </sheetViews>
  <sheetFormatPr defaultRowHeight="15" x14ac:dyDescent="0.25"/>
  <cols>
    <col min="1" max="1" width="18.7109375" customWidth="1"/>
    <col min="2" max="2" width="123.7109375" customWidth="1"/>
    <col min="3" max="14" width="9.140625" style="99"/>
  </cols>
  <sheetData>
    <row r="1" spans="1:14" ht="15.75" x14ac:dyDescent="0.25">
      <c r="A1" s="105" t="s">
        <v>170</v>
      </c>
    </row>
    <row r="4" spans="1:14" ht="15.75" x14ac:dyDescent="0.25">
      <c r="B4" s="106" t="s">
        <v>149</v>
      </c>
      <c r="C4" s="107" t="b">
        <f>COUNTIF(C7:J46, FALSE) = 0</f>
        <v>1</v>
      </c>
    </row>
    <row r="6" spans="1:14" x14ac:dyDescent="0.25">
      <c r="A6" s="103" t="s">
        <v>150</v>
      </c>
      <c r="B6" s="103" t="s">
        <v>151</v>
      </c>
      <c r="C6" s="104">
        <v>2010</v>
      </c>
      <c r="D6" s="104">
        <v>2011</v>
      </c>
      <c r="E6" s="104">
        <v>2012</v>
      </c>
      <c r="F6" s="104">
        <v>2013</v>
      </c>
      <c r="G6" s="104">
        <v>2014</v>
      </c>
      <c r="H6" s="104">
        <v>2015</v>
      </c>
      <c r="I6" s="104">
        <v>2016</v>
      </c>
      <c r="J6" s="104">
        <v>2017</v>
      </c>
      <c r="K6" s="104">
        <v>2018</v>
      </c>
      <c r="L6" s="104">
        <v>2019</v>
      </c>
      <c r="M6" s="104">
        <v>2020</v>
      </c>
      <c r="N6" s="104">
        <v>2021</v>
      </c>
    </row>
    <row r="7" spans="1:14" x14ac:dyDescent="0.25">
      <c r="A7" t="s">
        <v>152</v>
      </c>
      <c r="B7" t="s">
        <v>160</v>
      </c>
      <c r="C7" s="99" t="b">
        <f>'1a_SpaceHeating'!D10&gt;=SUM('1a_SpaceHeating'!D11+'1a_SpaceHeating'!D12+'1a_SpaceHeating'!D13)</f>
        <v>1</v>
      </c>
      <c r="D7" s="99" t="b">
        <f>'1a_SpaceHeating'!E10 &gt;= SUM('1a_SpaceHeating'!E11+'1a_SpaceHeating'!E12+'1a_SpaceHeating'!E13)</f>
        <v>1</v>
      </c>
      <c r="E7" s="99" t="b">
        <f>'1a_SpaceHeating'!F10 &gt;= SUM('1a_SpaceHeating'!F11+'1a_SpaceHeating'!F12+'1a_SpaceHeating'!F13)</f>
        <v>1</v>
      </c>
      <c r="F7" s="99" t="b">
        <f>'1a_SpaceHeating'!G10 &gt;= SUM('1a_SpaceHeating'!G11+'1a_SpaceHeating'!G12+'1a_SpaceHeating'!G13)</f>
        <v>1</v>
      </c>
      <c r="G7" s="99" t="b">
        <f>'1a_SpaceHeating'!H10 &gt;= SUM('1a_SpaceHeating'!H11+'1a_SpaceHeating'!H12+'1a_SpaceHeating'!H13)</f>
        <v>1</v>
      </c>
      <c r="H7" s="99" t="b">
        <f>'1a_SpaceHeating'!I10 &gt;= SUM('1a_SpaceHeating'!I11+'1a_SpaceHeating'!I12+'1a_SpaceHeating'!I13)</f>
        <v>1</v>
      </c>
      <c r="I7" s="99" t="b">
        <f>'1a_SpaceHeating'!J10 &gt;= SUM('1a_SpaceHeating'!J11+'1a_SpaceHeating'!J12+'1a_SpaceHeating'!J13)</f>
        <v>1</v>
      </c>
      <c r="J7" s="99" t="b">
        <f>'1a_SpaceHeating'!K10 &gt;= SUM('1a_SpaceHeating'!K11+'1a_SpaceHeating'!K12+'1a_SpaceHeating'!K13)</f>
        <v>1</v>
      </c>
      <c r="K7" s="99" t="b">
        <f>'1a_SpaceHeating'!L10 &gt;= SUM('1a_SpaceHeating'!L11+'1a_SpaceHeating'!L12+'1a_SpaceHeating'!L13)</f>
        <v>1</v>
      </c>
      <c r="L7" s="99" t="b">
        <f>'1a_SpaceHeating'!M10 &gt;= SUM('1a_SpaceHeating'!M11+'1a_SpaceHeating'!M12+'1a_SpaceHeating'!M13)</f>
        <v>1</v>
      </c>
      <c r="M7" s="99" t="b">
        <f>'1a_SpaceHeating'!N10 &gt;= SUM('1a_SpaceHeating'!N11+'1a_SpaceHeating'!N12+'1a_SpaceHeating'!N13)</f>
        <v>1</v>
      </c>
      <c r="N7" s="99" t="b">
        <f>'1a_SpaceHeating'!O10 &gt;= SUM('1a_SpaceHeating'!O11+'1a_SpaceHeating'!O12+'1a_SpaceHeating'!O13)</f>
        <v>1</v>
      </c>
    </row>
    <row r="8" spans="1:14" x14ac:dyDescent="0.25">
      <c r="A8" t="s">
        <v>152</v>
      </c>
      <c r="B8" t="s">
        <v>161</v>
      </c>
      <c r="C8" s="99" t="b">
        <f>'1a_SpaceHeating'!D14&gt;=SUM('1a_SpaceHeating'!D15+'1a_SpaceHeating'!D16+'1a_SpaceHeating'!D17+'1a_SpaceHeating'!D18)</f>
        <v>1</v>
      </c>
      <c r="D8" s="99" t="b">
        <f>'1a_SpaceHeating'!E14&gt;=SUM('1a_SpaceHeating'!E15+'1a_SpaceHeating'!E16+'1a_SpaceHeating'!E17+'1a_SpaceHeating'!E18)</f>
        <v>1</v>
      </c>
      <c r="E8" s="99" t="b">
        <f>'1a_SpaceHeating'!F14&gt;=SUM('1a_SpaceHeating'!F15+'1a_SpaceHeating'!F16+'1a_SpaceHeating'!F17+'1a_SpaceHeating'!F18)</f>
        <v>1</v>
      </c>
      <c r="F8" s="99" t="b">
        <f>'1a_SpaceHeating'!G14&gt;=SUM('1a_SpaceHeating'!G15+'1a_SpaceHeating'!G16+'1a_SpaceHeating'!G17+'1a_SpaceHeating'!G18)</f>
        <v>1</v>
      </c>
      <c r="G8" s="99" t="b">
        <f>'1a_SpaceHeating'!H14&gt;=SUM('1a_SpaceHeating'!H15+'1a_SpaceHeating'!H16+'1a_SpaceHeating'!H17+'1a_SpaceHeating'!H18)</f>
        <v>1</v>
      </c>
      <c r="H8" s="99" t="b">
        <f>'1a_SpaceHeating'!I14&gt;=SUM('1a_SpaceHeating'!I15+'1a_SpaceHeating'!I16+'1a_SpaceHeating'!I17+'1a_SpaceHeating'!I18)</f>
        <v>1</v>
      </c>
      <c r="I8" s="99" t="b">
        <f>'1a_SpaceHeating'!J14&gt;=SUM('1a_SpaceHeating'!J15+'1a_SpaceHeating'!J16+'1a_SpaceHeating'!J17+'1a_SpaceHeating'!J18)</f>
        <v>1</v>
      </c>
      <c r="J8" s="99" t="b">
        <f>'1a_SpaceHeating'!K14&gt;=SUM('1a_SpaceHeating'!K15+'1a_SpaceHeating'!K16+'1a_SpaceHeating'!K17+'1a_SpaceHeating'!K18)</f>
        <v>1</v>
      </c>
      <c r="K8" s="99" t="b">
        <f>'1a_SpaceHeating'!L14&gt;=SUM('1a_SpaceHeating'!L15+'1a_SpaceHeating'!L16+'1a_SpaceHeating'!L17+'1a_SpaceHeating'!L18)</f>
        <v>1</v>
      </c>
      <c r="L8" s="99" t="b">
        <f>'1a_SpaceHeating'!M14&gt;=SUM('1a_SpaceHeating'!M15+'1a_SpaceHeating'!M16+'1a_SpaceHeating'!M17+'1a_SpaceHeating'!M18)</f>
        <v>1</v>
      </c>
      <c r="M8" s="99" t="b">
        <f>'1a_SpaceHeating'!N14&gt;=SUM('1a_SpaceHeating'!N15+'1a_SpaceHeating'!N16+'1a_SpaceHeating'!N17+'1a_SpaceHeating'!N18)</f>
        <v>1</v>
      </c>
      <c r="N8" s="99" t="b">
        <f>'1a_SpaceHeating'!O14&gt;=SUM('1a_SpaceHeating'!O15+'1a_SpaceHeating'!O16+'1a_SpaceHeating'!O17+'1a_SpaceHeating'!O18)</f>
        <v>1</v>
      </c>
    </row>
    <row r="9" spans="1:14" x14ac:dyDescent="0.25">
      <c r="A9" t="s">
        <v>169</v>
      </c>
      <c r="B9" t="s">
        <v>160</v>
      </c>
      <c r="C9" s="99" t="b">
        <f>'1b_SpaceCooling'!D10&gt;=SUM('1b_SpaceCooling'!D11+'1b_SpaceCooling'!D12+'1b_SpaceCooling'!D13)</f>
        <v>1</v>
      </c>
      <c r="D9" s="99" t="b">
        <f>'1b_SpaceCooling'!E10&gt;=SUM('1b_SpaceCooling'!E11+'1b_SpaceCooling'!E12+'1b_SpaceCooling'!E13)</f>
        <v>1</v>
      </c>
      <c r="E9" s="99" t="b">
        <f>'1b_SpaceCooling'!F10&gt;=SUM('1b_SpaceCooling'!F11+'1b_SpaceCooling'!F12+'1b_SpaceCooling'!F13)</f>
        <v>1</v>
      </c>
      <c r="F9" s="99" t="b">
        <f>'1b_SpaceCooling'!G10&gt;=SUM('1b_SpaceCooling'!G11+'1b_SpaceCooling'!G12+'1b_SpaceCooling'!G13)</f>
        <v>1</v>
      </c>
      <c r="G9" s="99" t="b">
        <f>'1b_SpaceCooling'!H10&gt;=SUM('1b_SpaceCooling'!H11+'1b_SpaceCooling'!H12+'1b_SpaceCooling'!H13)</f>
        <v>1</v>
      </c>
      <c r="H9" s="99" t="b">
        <f>'1b_SpaceCooling'!I10&gt;=SUM('1b_SpaceCooling'!I11+'1b_SpaceCooling'!I12+'1b_SpaceCooling'!I13)</f>
        <v>1</v>
      </c>
      <c r="I9" s="99" t="b">
        <f>'1b_SpaceCooling'!J10&gt;=SUM('1b_SpaceCooling'!J11+'1b_SpaceCooling'!J12+'1b_SpaceCooling'!J13)</f>
        <v>1</v>
      </c>
      <c r="J9" s="99" t="b">
        <f>'1b_SpaceCooling'!K10&gt;=SUM('1b_SpaceCooling'!K11+'1b_SpaceCooling'!K12+'1b_SpaceCooling'!K13)</f>
        <v>1</v>
      </c>
      <c r="K9" s="99" t="b">
        <f>'1b_SpaceCooling'!L10&gt;=SUM('1b_SpaceCooling'!L11+'1b_SpaceCooling'!L12+'1b_SpaceCooling'!L13)</f>
        <v>1</v>
      </c>
      <c r="L9" s="99" t="b">
        <f>'1b_SpaceCooling'!M10&gt;=SUM('1b_SpaceCooling'!M11+'1b_SpaceCooling'!M12+'1b_SpaceCooling'!M13)</f>
        <v>1</v>
      </c>
      <c r="M9" s="99" t="b">
        <f>'1b_SpaceCooling'!N10&gt;=SUM('1b_SpaceCooling'!N11+'1b_SpaceCooling'!N12+'1b_SpaceCooling'!N13)</f>
        <v>1</v>
      </c>
      <c r="N9" s="99" t="b">
        <f>'1b_SpaceCooling'!O10&gt;=SUM('1b_SpaceCooling'!O11+'1b_SpaceCooling'!O12+'1b_SpaceCooling'!O13)</f>
        <v>1</v>
      </c>
    </row>
    <row r="10" spans="1:14" x14ac:dyDescent="0.25">
      <c r="A10" t="s">
        <v>169</v>
      </c>
      <c r="B10" t="s">
        <v>161</v>
      </c>
      <c r="C10" s="99" t="b">
        <f>'1b_SpaceCooling'!D14&gt;=SUM('1b_SpaceCooling'!D15+'1b_SpaceCooling'!D16+'1b_SpaceCooling'!D17+'1b_SpaceCooling'!D18)</f>
        <v>1</v>
      </c>
      <c r="D10" s="99" t="b">
        <f>'1b_SpaceCooling'!E14&gt;=SUM('1b_SpaceCooling'!E15+'1b_SpaceCooling'!E16+'1b_SpaceCooling'!E17+'1b_SpaceCooling'!E18)</f>
        <v>1</v>
      </c>
      <c r="E10" s="99" t="b">
        <f>'1b_SpaceCooling'!F14&gt;=SUM('1b_SpaceCooling'!F15+'1b_SpaceCooling'!F16+'1b_SpaceCooling'!F17+'1b_SpaceCooling'!F18)</f>
        <v>1</v>
      </c>
      <c r="F10" s="99" t="b">
        <f>'1b_SpaceCooling'!G14&gt;=SUM('1b_SpaceCooling'!G15+'1b_SpaceCooling'!G16+'1b_SpaceCooling'!G17+'1b_SpaceCooling'!G18)</f>
        <v>1</v>
      </c>
      <c r="G10" s="99" t="b">
        <f>'1b_SpaceCooling'!H14&gt;=SUM('1b_SpaceCooling'!H15+'1b_SpaceCooling'!H16+'1b_SpaceCooling'!H17+'1b_SpaceCooling'!H18)</f>
        <v>1</v>
      </c>
      <c r="H10" s="99" t="b">
        <f>'1b_SpaceCooling'!I14&gt;=SUM('1b_SpaceCooling'!I15+'1b_SpaceCooling'!I16+'1b_SpaceCooling'!I17+'1b_SpaceCooling'!I18)</f>
        <v>1</v>
      </c>
      <c r="I10" s="99" t="b">
        <f>'1b_SpaceCooling'!J14&gt;=SUM('1b_SpaceCooling'!J15+'1b_SpaceCooling'!J16+'1b_SpaceCooling'!J17+'1b_SpaceCooling'!J18)</f>
        <v>1</v>
      </c>
      <c r="J10" s="99" t="b">
        <f>'1b_SpaceCooling'!K14&gt;=SUM('1b_SpaceCooling'!K15+'1b_SpaceCooling'!K16+'1b_SpaceCooling'!K17+'1b_SpaceCooling'!K18)</f>
        <v>1</v>
      </c>
      <c r="K10" s="99" t="b">
        <f>'1b_SpaceCooling'!L14&gt;=SUM('1b_SpaceCooling'!L15+'1b_SpaceCooling'!L16+'1b_SpaceCooling'!L17+'1b_SpaceCooling'!L18)</f>
        <v>1</v>
      </c>
      <c r="L10" s="99" t="b">
        <f>'1b_SpaceCooling'!M14&gt;=SUM('1b_SpaceCooling'!M15+'1b_SpaceCooling'!M16+'1b_SpaceCooling'!M17+'1b_SpaceCooling'!M18)</f>
        <v>1</v>
      </c>
      <c r="M10" s="99" t="b">
        <f>'1b_SpaceCooling'!N14&gt;=SUM('1b_SpaceCooling'!N15+'1b_SpaceCooling'!N16+'1b_SpaceCooling'!N17+'1b_SpaceCooling'!N18)</f>
        <v>1</v>
      </c>
      <c r="N10" s="99" t="b">
        <f>'1b_SpaceCooling'!O14&gt;=SUM('1b_SpaceCooling'!O15+'1b_SpaceCooling'!O16+'1b_SpaceCooling'!O17+'1b_SpaceCooling'!O18)</f>
        <v>1</v>
      </c>
    </row>
    <row r="11" spans="1:14" x14ac:dyDescent="0.25">
      <c r="A11" t="s">
        <v>153</v>
      </c>
      <c r="B11" t="s">
        <v>159</v>
      </c>
      <c r="C11" s="99" t="b">
        <f>'1c_WaterHeating'!D10&gt;=SUM('1c_WaterHeating'!D11+'1c_WaterHeating'!D12+'1c_WaterHeating'!D13)</f>
        <v>1</v>
      </c>
      <c r="D11" s="99" t="b">
        <f>'1c_WaterHeating'!E10&gt;=SUM('1c_WaterHeating'!E11+'1c_WaterHeating'!E12+'1c_WaterHeating'!E13)</f>
        <v>1</v>
      </c>
      <c r="E11" s="99" t="b">
        <f>'1c_WaterHeating'!F10&gt;=SUM('1c_WaterHeating'!F11+'1c_WaterHeating'!F12+'1c_WaterHeating'!F13)</f>
        <v>1</v>
      </c>
      <c r="F11" s="99" t="b">
        <f>'1c_WaterHeating'!G10&gt;=SUM('1c_WaterHeating'!G11+'1c_WaterHeating'!G12+'1c_WaterHeating'!G13)</f>
        <v>1</v>
      </c>
      <c r="G11" s="99" t="b">
        <f>'1c_WaterHeating'!H10&gt;=SUM('1c_WaterHeating'!H11+'1c_WaterHeating'!H12+'1c_WaterHeating'!H13)</f>
        <v>1</v>
      </c>
      <c r="H11" s="99" t="b">
        <f>'1c_WaterHeating'!I10&gt;=SUM('1c_WaterHeating'!I11+'1c_WaterHeating'!I12+'1c_WaterHeating'!I13)</f>
        <v>1</v>
      </c>
      <c r="I11" s="99" t="b">
        <f>'1c_WaterHeating'!J10&gt;=SUM('1c_WaterHeating'!J11+'1c_WaterHeating'!J12+'1c_WaterHeating'!J13)</f>
        <v>1</v>
      </c>
      <c r="J11" s="99" t="b">
        <f>'1c_WaterHeating'!K10&gt;=SUM('1c_WaterHeating'!K11+'1c_WaterHeating'!K12+'1c_WaterHeating'!K13)</f>
        <v>1</v>
      </c>
      <c r="K11" s="99" t="b">
        <f>'1c_WaterHeating'!L10&gt;=SUM('1c_WaterHeating'!L11+'1c_WaterHeating'!L12+'1c_WaterHeating'!L13)</f>
        <v>1</v>
      </c>
      <c r="L11" s="99" t="b">
        <f>'1c_WaterHeating'!M10&gt;=SUM('1c_WaterHeating'!M11+'1c_WaterHeating'!M12+'1c_WaterHeating'!M13)</f>
        <v>1</v>
      </c>
      <c r="M11" s="99" t="b">
        <f>'1c_WaterHeating'!N10&gt;=SUM('1c_WaterHeating'!N11+'1c_WaterHeating'!N12+'1c_WaterHeating'!N13)</f>
        <v>1</v>
      </c>
      <c r="N11" s="99" t="b">
        <f>'1c_WaterHeating'!O10&gt;=SUM('1c_WaterHeating'!O11+'1c_WaterHeating'!O12+'1c_WaterHeating'!O13)</f>
        <v>1</v>
      </c>
    </row>
    <row r="12" spans="1:14" x14ac:dyDescent="0.25">
      <c r="A12" t="s">
        <v>153</v>
      </c>
      <c r="B12" t="s">
        <v>161</v>
      </c>
      <c r="C12" s="99" t="b">
        <f>'1c_WaterHeating'!D14&gt;=SUM('1c_WaterHeating'!D15+'1c_WaterHeating'!D16+'1c_WaterHeating'!D17+'1c_WaterHeating'!D18)</f>
        <v>1</v>
      </c>
      <c r="D12" s="99" t="b">
        <f>'1c_WaterHeating'!E14&gt;=SUM('1c_WaterHeating'!E15+'1c_WaterHeating'!E16+'1c_WaterHeating'!E17+'1c_WaterHeating'!E18)</f>
        <v>1</v>
      </c>
      <c r="E12" s="99" t="b">
        <f>'1c_WaterHeating'!F14&gt;=SUM('1c_WaterHeating'!F15+'1c_WaterHeating'!F16+'1c_WaterHeating'!F17+'1c_WaterHeating'!F18)</f>
        <v>1</v>
      </c>
      <c r="F12" s="99" t="b">
        <f>'1c_WaterHeating'!G14&gt;=SUM('1c_WaterHeating'!G15+'1c_WaterHeating'!G16+'1c_WaterHeating'!G17+'1c_WaterHeating'!G18)</f>
        <v>1</v>
      </c>
      <c r="G12" s="99" t="b">
        <f>'1c_WaterHeating'!H14&gt;=SUM('1c_WaterHeating'!H15+'1c_WaterHeating'!H16+'1c_WaterHeating'!H17+'1c_WaterHeating'!H18)</f>
        <v>1</v>
      </c>
      <c r="H12" s="99" t="b">
        <f>'1c_WaterHeating'!I14&gt;=SUM('1c_WaterHeating'!I15+'1c_WaterHeating'!I16+'1c_WaterHeating'!I17+'1c_WaterHeating'!I18)</f>
        <v>1</v>
      </c>
      <c r="I12" s="99" t="b">
        <f>'1c_WaterHeating'!J14&gt;=SUM('1c_WaterHeating'!J15+'1c_WaterHeating'!J16+'1c_WaterHeating'!J17+'1c_WaterHeating'!J18)</f>
        <v>1</v>
      </c>
      <c r="J12" s="99" t="b">
        <f>'1c_WaterHeating'!K14&gt;=SUM('1c_WaterHeating'!K15+'1c_WaterHeating'!K16+'1c_WaterHeating'!K17+'1c_WaterHeating'!K18)</f>
        <v>1</v>
      </c>
      <c r="K12" s="99" t="b">
        <f>'1c_WaterHeating'!L14&gt;=SUM('1c_WaterHeating'!L15+'1c_WaterHeating'!L16+'1c_WaterHeating'!L17+'1c_WaterHeating'!L18)</f>
        <v>1</v>
      </c>
      <c r="L12" s="99" t="b">
        <f>'1c_WaterHeating'!M14&gt;=SUM('1c_WaterHeating'!M15+'1c_WaterHeating'!M16+'1c_WaterHeating'!M17+'1c_WaterHeating'!M18)</f>
        <v>1</v>
      </c>
      <c r="M12" s="99" t="b">
        <f>'1c_WaterHeating'!N14&gt;=SUM('1c_WaterHeating'!N15+'1c_WaterHeating'!N16+'1c_WaterHeating'!N17+'1c_WaterHeating'!N18)</f>
        <v>1</v>
      </c>
      <c r="N12" s="99" t="b">
        <f>'1c_WaterHeating'!O14&gt;=SUM('1c_WaterHeating'!O15+'1c_WaterHeating'!O16+'1c_WaterHeating'!O17+'1c_WaterHeating'!O18)</f>
        <v>1</v>
      </c>
    </row>
    <row r="13" spans="1:14" x14ac:dyDescent="0.25">
      <c r="A13" t="s">
        <v>154</v>
      </c>
      <c r="B13" t="s">
        <v>160</v>
      </c>
      <c r="C13" s="99" t="b">
        <f>'1d_Cooking'!D10&gt;=SUM('1d_Cooking'!D11+'1d_Cooking'!D12+'1d_Cooking'!D13)</f>
        <v>1</v>
      </c>
      <c r="D13" s="99" t="b">
        <f>'1d_Cooking'!E10&gt;=SUM('1d_Cooking'!E11+'1d_Cooking'!E12+'1d_Cooking'!E13)</f>
        <v>1</v>
      </c>
      <c r="E13" s="99" t="b">
        <f>'1d_Cooking'!F10&gt;=SUM('1d_Cooking'!F11+'1d_Cooking'!F12+'1d_Cooking'!F13)</f>
        <v>1</v>
      </c>
      <c r="F13" s="99" t="b">
        <f>'1d_Cooking'!G10&gt;=SUM('1d_Cooking'!G11+'1d_Cooking'!G12+'1d_Cooking'!G13)</f>
        <v>1</v>
      </c>
      <c r="G13" s="99" t="b">
        <f>'1d_Cooking'!H10&gt;=SUM('1d_Cooking'!H11+'1d_Cooking'!H12+'1d_Cooking'!H13)</f>
        <v>1</v>
      </c>
      <c r="H13" s="99" t="b">
        <f>'1d_Cooking'!I10&gt;=SUM('1d_Cooking'!I11+'1d_Cooking'!I12+'1d_Cooking'!I13)</f>
        <v>1</v>
      </c>
      <c r="I13" s="99" t="b">
        <f>'1d_Cooking'!J10&gt;=SUM('1d_Cooking'!J11+'1d_Cooking'!J12+'1d_Cooking'!J13)</f>
        <v>1</v>
      </c>
      <c r="J13" s="99" t="b">
        <f>'1d_Cooking'!K10&gt;=SUM('1d_Cooking'!K11+'1d_Cooking'!K12+'1d_Cooking'!K13)</f>
        <v>1</v>
      </c>
      <c r="K13" s="99" t="b">
        <f>'1d_Cooking'!L10&gt;=SUM('1d_Cooking'!L11+'1d_Cooking'!L12+'1d_Cooking'!L13)</f>
        <v>1</v>
      </c>
      <c r="L13" s="99" t="b">
        <f>'1d_Cooking'!M10&gt;=SUM('1d_Cooking'!M11+'1d_Cooking'!M12+'1d_Cooking'!M13)</f>
        <v>1</v>
      </c>
      <c r="M13" s="99" t="b">
        <f>'1d_Cooking'!N10&gt;=SUM('1d_Cooking'!N11+'1d_Cooking'!N12+'1d_Cooking'!N13)</f>
        <v>1</v>
      </c>
      <c r="N13" s="99" t="b">
        <f>'1d_Cooking'!O10&gt;=SUM('1d_Cooking'!O11+'1d_Cooking'!O12+'1d_Cooking'!O13)</f>
        <v>1</v>
      </c>
    </row>
    <row r="14" spans="1:14" x14ac:dyDescent="0.25">
      <c r="A14" t="s">
        <v>154</v>
      </c>
      <c r="B14" t="s">
        <v>161</v>
      </c>
      <c r="C14" s="99" t="b">
        <f>'1d_Cooking'!D14&gt;=SUM('1d_Cooking'!D15+'1d_Cooking'!D16+'1d_Cooking'!D17+'1d_Cooking'!D18)</f>
        <v>1</v>
      </c>
      <c r="D14" s="99" t="b">
        <f>'1d_Cooking'!E14&gt;=SUM('1d_Cooking'!E15+'1d_Cooking'!E16+'1d_Cooking'!E17+'1d_Cooking'!E18)</f>
        <v>1</v>
      </c>
      <c r="E14" s="99" t="b">
        <f>'1d_Cooking'!F14&gt;=SUM('1d_Cooking'!F15+'1d_Cooking'!F16+'1d_Cooking'!F17+'1d_Cooking'!F18)</f>
        <v>1</v>
      </c>
      <c r="F14" s="99" t="b">
        <f>'1d_Cooking'!G14&gt;=SUM('1d_Cooking'!G15+'1d_Cooking'!G16+'1d_Cooking'!G17+'1d_Cooking'!G18)</f>
        <v>1</v>
      </c>
      <c r="G14" s="99" t="b">
        <f>'1d_Cooking'!H14&gt;=SUM('1d_Cooking'!H15+'1d_Cooking'!H16+'1d_Cooking'!H17+'1d_Cooking'!H18)</f>
        <v>1</v>
      </c>
      <c r="H14" s="99" t="b">
        <f>'1d_Cooking'!I14&gt;=SUM('1d_Cooking'!I15+'1d_Cooking'!I16+'1d_Cooking'!I17+'1d_Cooking'!I18)</f>
        <v>1</v>
      </c>
      <c r="I14" s="99" t="b">
        <f>'1d_Cooking'!J14&gt;=SUM('1d_Cooking'!J15+'1d_Cooking'!J16+'1d_Cooking'!J17+'1d_Cooking'!J18)</f>
        <v>1</v>
      </c>
      <c r="J14" s="99" t="b">
        <f>'1d_Cooking'!K14&gt;=SUM('1d_Cooking'!K15+'1d_Cooking'!K16+'1d_Cooking'!K17+'1d_Cooking'!K18)</f>
        <v>1</v>
      </c>
      <c r="K14" s="99" t="b">
        <f>'1d_Cooking'!L14&gt;=SUM('1d_Cooking'!L15+'1d_Cooking'!L16+'1d_Cooking'!L17+'1d_Cooking'!L18)</f>
        <v>1</v>
      </c>
      <c r="L14" s="99" t="b">
        <f>'1d_Cooking'!M14&gt;=SUM('1d_Cooking'!M15+'1d_Cooking'!M16+'1d_Cooking'!M17+'1d_Cooking'!M18)</f>
        <v>1</v>
      </c>
      <c r="M14" s="99" t="b">
        <f>'1d_Cooking'!N14&gt;=SUM('1d_Cooking'!N15+'1d_Cooking'!N16+'1d_Cooking'!N17+'1d_Cooking'!N18)</f>
        <v>1</v>
      </c>
      <c r="N14" s="99" t="b">
        <f>'1d_Cooking'!O14&gt;=SUM('1d_Cooking'!O15+'1d_Cooking'!O16+'1d_Cooking'!O17+'1d_Cooking'!O18)</f>
        <v>1</v>
      </c>
    </row>
    <row r="15" spans="1:14" x14ac:dyDescent="0.25">
      <c r="A15" t="s">
        <v>155</v>
      </c>
      <c r="B15" t="s">
        <v>160</v>
      </c>
      <c r="C15" s="99" t="b">
        <f>'1f_OtherEndUses'!D10&gt;=SUM('1f_OtherEndUses'!D11+'1f_OtherEndUses'!D12+'1f_OtherEndUses'!D13)</f>
        <v>1</v>
      </c>
      <c r="D15" s="99" t="b">
        <f>'1f_OtherEndUses'!E10&gt;=SUM('1f_OtherEndUses'!E11+'1f_OtherEndUses'!E12+'1f_OtherEndUses'!E13)</f>
        <v>1</v>
      </c>
      <c r="E15" s="99" t="b">
        <f>'1f_OtherEndUses'!F10&gt;=SUM('1f_OtherEndUses'!F11+'1f_OtherEndUses'!F12+'1f_OtherEndUses'!F13)</f>
        <v>1</v>
      </c>
      <c r="F15" s="99" t="b">
        <f>'1f_OtherEndUses'!G10&gt;=SUM('1f_OtherEndUses'!G11+'1f_OtherEndUses'!G12+'1f_OtherEndUses'!G13)</f>
        <v>1</v>
      </c>
      <c r="G15" s="99" t="b">
        <f>'1f_OtherEndUses'!H10&gt;=SUM('1f_OtherEndUses'!H11+'1f_OtherEndUses'!H12+'1f_OtherEndUses'!H13)</f>
        <v>1</v>
      </c>
      <c r="H15" s="99" t="b">
        <f>'1f_OtherEndUses'!I10&gt;=SUM('1f_OtherEndUses'!I11+'1f_OtherEndUses'!I12+'1f_OtherEndUses'!I13)</f>
        <v>1</v>
      </c>
      <c r="I15" s="99" t="b">
        <f>'1f_OtherEndUses'!J10&gt;=SUM('1f_OtherEndUses'!J11+'1f_OtherEndUses'!J12+'1f_OtherEndUses'!J13)</f>
        <v>1</v>
      </c>
      <c r="J15" s="99" t="b">
        <f>'1f_OtherEndUses'!K10&gt;=SUM('1f_OtherEndUses'!K11+'1f_OtherEndUses'!K12+'1f_OtherEndUses'!K13)</f>
        <v>1</v>
      </c>
      <c r="K15" s="99" t="b">
        <f>'1f_OtherEndUses'!L10&gt;=SUM('1f_OtherEndUses'!L11+'1f_OtherEndUses'!L12+'1f_OtherEndUses'!L13)</f>
        <v>1</v>
      </c>
      <c r="L15" s="99" t="b">
        <f>'1f_OtherEndUses'!M10&gt;=SUM('1f_OtherEndUses'!M11+'1f_OtherEndUses'!M12+'1f_OtherEndUses'!M13)</f>
        <v>1</v>
      </c>
      <c r="M15" s="99" t="b">
        <f>'1f_OtherEndUses'!N10&gt;=SUM('1f_OtherEndUses'!N11+'1f_OtherEndUses'!N12+'1f_OtherEndUses'!N13)</f>
        <v>1</v>
      </c>
      <c r="N15" s="99" t="b">
        <f>'1f_OtherEndUses'!O10&gt;=SUM('1f_OtherEndUses'!O11+'1f_OtherEndUses'!O12+'1f_OtherEndUses'!O13)</f>
        <v>1</v>
      </c>
    </row>
    <row r="16" spans="1:14" x14ac:dyDescent="0.25">
      <c r="A16" t="s">
        <v>155</v>
      </c>
      <c r="B16" t="s">
        <v>161</v>
      </c>
      <c r="C16" s="99" t="b">
        <f>'1f_OtherEndUses'!D14&gt;=SUM('1f_OtherEndUses'!D15+'1f_OtherEndUses'!D16+'1f_OtherEndUses'!D17++'1f_OtherEndUses'!D18)</f>
        <v>1</v>
      </c>
      <c r="D16" s="99" t="b">
        <f>'1f_OtherEndUses'!E14&gt;=SUM('1f_OtherEndUses'!E15+'1f_OtherEndUses'!E16+'1f_OtherEndUses'!E17++'1f_OtherEndUses'!E18)</f>
        <v>1</v>
      </c>
      <c r="E16" s="99" t="b">
        <f>'1f_OtherEndUses'!F14&gt;=SUM('1f_OtherEndUses'!F15+'1f_OtherEndUses'!F16+'1f_OtherEndUses'!F17++'1f_OtherEndUses'!F18)</f>
        <v>1</v>
      </c>
      <c r="F16" s="99" t="b">
        <f>'1f_OtherEndUses'!G14&gt;=SUM('1f_OtherEndUses'!G15+'1f_OtherEndUses'!G16+'1f_OtherEndUses'!G17++'1f_OtherEndUses'!G18)</f>
        <v>1</v>
      </c>
      <c r="G16" s="99" t="b">
        <f>'1f_OtherEndUses'!H14&gt;=SUM('1f_OtherEndUses'!H15+'1f_OtherEndUses'!H16+'1f_OtherEndUses'!H17++'1f_OtherEndUses'!H18)</f>
        <v>1</v>
      </c>
      <c r="H16" s="99" t="b">
        <f>'1f_OtherEndUses'!I14&gt;=SUM('1f_OtherEndUses'!I15+'1f_OtherEndUses'!I16+'1f_OtherEndUses'!I17++'1f_OtherEndUses'!I18)</f>
        <v>1</v>
      </c>
      <c r="I16" s="99" t="b">
        <f>'1f_OtherEndUses'!J14&gt;=SUM('1f_OtherEndUses'!J15+'1f_OtherEndUses'!J16+'1f_OtherEndUses'!J17++'1f_OtherEndUses'!J18)</f>
        <v>1</v>
      </c>
      <c r="J16" s="99" t="b">
        <f>'1f_OtherEndUses'!K14&gt;=SUM('1f_OtherEndUses'!K15+'1f_OtherEndUses'!K16+'1f_OtherEndUses'!K17++'1f_OtherEndUses'!K18)</f>
        <v>1</v>
      </c>
      <c r="K16" s="99" t="b">
        <f>'1f_OtherEndUses'!L14&gt;=SUM('1f_OtherEndUses'!L15+'1f_OtherEndUses'!L16+'1f_OtherEndUses'!L17++'1f_OtherEndUses'!L18)</f>
        <v>1</v>
      </c>
      <c r="L16" s="99" t="b">
        <f>'1f_OtherEndUses'!M14&gt;=SUM('1f_OtherEndUses'!M15+'1f_OtherEndUses'!M16+'1f_OtherEndUses'!M17++'1f_OtherEndUses'!M18)</f>
        <v>1</v>
      </c>
      <c r="M16" s="99" t="b">
        <f>'1f_OtherEndUses'!N14&gt;=SUM('1f_OtherEndUses'!N15+'1f_OtherEndUses'!N16+'1f_OtherEndUses'!N17++'1f_OtherEndUses'!N18)</f>
        <v>1</v>
      </c>
      <c r="N16" s="99" t="b">
        <f>'1f_OtherEndUses'!O14&gt;=SUM('1f_OtherEndUses'!O15+'1f_OtherEndUses'!O16+'1f_OtherEndUses'!O17++'1f_OtherEndUses'!O18)</f>
        <v>1</v>
      </c>
    </row>
    <row r="17" spans="1:14" x14ac:dyDescent="0.25">
      <c r="A17" t="s">
        <v>152</v>
      </c>
      <c r="B17" t="s">
        <v>162</v>
      </c>
      <c r="C17" s="99" t="str">
        <f>IF('1a_SpaceHeating'!D9&gt;0,IF(AND(Calorific_Values!D9&lt;=30000,Calorific_Values!D9&gt;=5000),"TRUE","FALSE"),"TRUE")</f>
        <v>TRUE</v>
      </c>
      <c r="D17" s="99" t="str">
        <f>IF('1a_SpaceHeating'!E9&gt;0,IF(AND(Calorific_Values!E9&lt;=30000,Calorific_Values!E9&gt;=5000),"TRUE","FALSE"),"TRUE")</f>
        <v>TRUE</v>
      </c>
      <c r="E17" s="99" t="str">
        <f>IF('1a_SpaceHeating'!F9&gt;0,IF(AND(Calorific_Values!F9&lt;=30000,Calorific_Values!F9&gt;=5000),"TRUE","FALSE"),"TRUE")</f>
        <v>TRUE</v>
      </c>
      <c r="F17" s="99" t="str">
        <f>IF('1a_SpaceHeating'!G9&gt;0,IF(AND(Calorific_Values!G9&lt;=30000,Calorific_Values!G9&gt;=5000),"TRUE","FALSE"),"TRUE")</f>
        <v>TRUE</v>
      </c>
      <c r="G17" s="99" t="str">
        <f>IF('1a_SpaceHeating'!H9&gt;0,IF(AND(Calorific_Values!H9&lt;=30000,Calorific_Values!H9&gt;=5000),"TRUE","FALSE"),"TRUE")</f>
        <v>TRUE</v>
      </c>
      <c r="H17" s="99" t="str">
        <f>IF('1a_SpaceHeating'!I9&gt;0,IF(AND(Calorific_Values!I9&lt;=30000,Calorific_Values!I9&gt;=5000),"TRUE","FALSE"),"TRUE")</f>
        <v>TRUE</v>
      </c>
      <c r="I17" s="99" t="str">
        <f>IF('1a_SpaceHeating'!J9&gt;0,IF(AND(Calorific_Values!J9&lt;=30000,Calorific_Values!J9&gt;=5000),"TRUE","FALSE"),"TRUE")</f>
        <v>TRUE</v>
      </c>
      <c r="J17" s="99" t="str">
        <f>IF('1a_SpaceHeating'!K9&gt;0,IF(AND(Calorific_Values!K9&lt;=30000,Calorific_Values!K9&gt;=5000),"TRUE","FALSE"),"TRUE")</f>
        <v>TRUE</v>
      </c>
      <c r="K17" s="99" t="str">
        <f>IF('1a_SpaceHeating'!L9&gt;0,IF(AND(Calorific_Values!L9&lt;=30000,Calorific_Values!L9&gt;=5000),"TRUE","FALSE"),"TRUE")</f>
        <v>TRUE</v>
      </c>
      <c r="L17" s="99" t="str">
        <f>IF('1a_SpaceHeating'!M9&gt;0,IF(AND(Calorific_Values!M9&lt;=30000,Calorific_Values!M9&gt;=5000),"TRUE","FALSE"),"TRUE")</f>
        <v>TRUE</v>
      </c>
      <c r="M17" s="99" t="str">
        <f>IF('1a_SpaceHeating'!N9&gt;0,IF(AND(Calorific_Values!N9&lt;=30000,Calorific_Values!N9&gt;=5000),"TRUE","FALSE"),"TRUE")</f>
        <v>TRUE</v>
      </c>
      <c r="N17" s="99" t="str">
        <f>IF('1a_SpaceHeating'!O9&gt;0,IF(AND(Calorific_Values!O9&lt;=30000,Calorific_Values!O9&gt;=5000),"TRUE","FALSE"),"TRUE")</f>
        <v>TRUE</v>
      </c>
    </row>
    <row r="18" spans="1:14" x14ac:dyDescent="0.25">
      <c r="A18" t="s">
        <v>152</v>
      </c>
      <c r="B18" t="s">
        <v>163</v>
      </c>
      <c r="C18" s="99" t="str">
        <f>IF('1a_SpaceHeating'!D10&gt;0,IF(AND(Calorific_Values!D10&lt;=50000,Calorific_Values!D10&gt;=40000),"TRUE","FALSE"),"TRUE")</f>
        <v>TRUE</v>
      </c>
      <c r="D18" s="99" t="str">
        <f>IF('1a_SpaceHeating'!E10&gt;0,IF(AND(Calorific_Values!E10&lt;=50000,Calorific_Values!E10&gt;=40000),"TRUE","FALSE"),"TRUE")</f>
        <v>TRUE</v>
      </c>
      <c r="E18" s="99" t="str">
        <f>IF('1a_SpaceHeating'!F10&gt;0,IF(AND(Calorific_Values!F10&lt;=50000,Calorific_Values!F10&gt;=40000),"TRUE","FALSE"),"TRUE")</f>
        <v>TRUE</v>
      </c>
      <c r="F18" s="99" t="str">
        <f>IF('1a_SpaceHeating'!G10&gt;0,IF(AND(Calorific_Values!G10&lt;=50000,Calorific_Values!G10&gt;=40000),"TRUE","FALSE"),"TRUE")</f>
        <v>TRUE</v>
      </c>
      <c r="G18" s="99" t="str">
        <f>IF('1a_SpaceHeating'!H10&gt;0,IF(AND(Calorific_Values!H10&lt;=50000,Calorific_Values!H10&gt;=40000),"TRUE","FALSE"),"TRUE")</f>
        <v>TRUE</v>
      </c>
      <c r="H18" s="99" t="str">
        <f>IF('1a_SpaceHeating'!I10&gt;0,IF(AND(Calorific_Values!I10&lt;=50000,Calorific_Values!I10&gt;=40000),"TRUE","FALSE"),"TRUE")</f>
        <v>TRUE</v>
      </c>
      <c r="I18" s="99" t="str">
        <f>IF('1a_SpaceHeating'!J10&gt;0,IF(AND(Calorific_Values!J10&lt;=50000,Calorific_Values!J10&gt;=40000),"TRUE","FALSE"),"TRUE")</f>
        <v>TRUE</v>
      </c>
      <c r="J18" s="99" t="str">
        <f>IF('1a_SpaceHeating'!K10&gt;0,IF(AND(Calorific_Values!K10&lt;=50000,Calorific_Values!K10&gt;=40000),"TRUE","FALSE"),"TRUE")</f>
        <v>TRUE</v>
      </c>
      <c r="K18" s="99" t="str">
        <f>IF('1a_SpaceHeating'!L10&gt;0,IF(AND(Calorific_Values!L10&lt;=50000,Calorific_Values!L10&gt;=40000),"TRUE","FALSE"),"TRUE")</f>
        <v>TRUE</v>
      </c>
      <c r="L18" s="99" t="str">
        <f>IF('1a_SpaceHeating'!M10&gt;0,IF(AND(Calorific_Values!M10&lt;=50000,Calorific_Values!M10&gt;=40000),"TRUE","FALSE"),"TRUE")</f>
        <v>TRUE</v>
      </c>
      <c r="M18" s="99" t="str">
        <f>IF('1a_SpaceHeating'!N10&gt;0,IF(AND(Calorific_Values!N10&lt;=50000,Calorific_Values!N10&gt;=40000),"TRUE","FALSE"),"TRUE")</f>
        <v>TRUE</v>
      </c>
      <c r="N18" s="99" t="str">
        <f>IF('1a_SpaceHeating'!O10&gt;0,IF(AND(Calorific_Values!O10&lt;=50000,Calorific_Values!O10&gt;=40000),"TRUE","FALSE"),"TRUE")</f>
        <v>TRUE</v>
      </c>
    </row>
    <row r="19" spans="1:14" x14ac:dyDescent="0.25">
      <c r="A19" t="s">
        <v>152</v>
      </c>
      <c r="B19" t="s">
        <v>164</v>
      </c>
      <c r="C19" s="99" t="str">
        <f>IF('1a_SpaceHeating'!D11&gt;0,IF(AND(Calorific_Values!D11&lt;=50000,Calorific_Values!D11&gt;=40000),"TRUE","FALSE"),"TRUE")</f>
        <v>TRUE</v>
      </c>
      <c r="D19" s="99" t="str">
        <f>IF('1a_SpaceHeating'!E11&gt;0,IF(AND(Calorific_Values!E11&lt;=50000,Calorific_Values!E11&gt;=40000),"TRUE","FALSE"),"TRUE")</f>
        <v>TRUE</v>
      </c>
      <c r="E19" s="99" t="str">
        <f>IF('1a_SpaceHeating'!F11&gt;0,IF(AND(Calorific_Values!F11&lt;=50000,Calorific_Values!F11&gt;=40000),"TRUE","FALSE"),"TRUE")</f>
        <v>TRUE</v>
      </c>
      <c r="F19" s="99" t="str">
        <f>IF('1a_SpaceHeating'!G11&gt;0,IF(AND(Calorific_Values!G11&lt;=50000,Calorific_Values!G11&gt;=40000),"TRUE","FALSE"),"TRUE")</f>
        <v>TRUE</v>
      </c>
      <c r="G19" s="99" t="str">
        <f>IF('1a_SpaceHeating'!H11&gt;0,IF(AND(Calorific_Values!H11&lt;=50000,Calorific_Values!H11&gt;=40000),"TRUE","FALSE"),"TRUE")</f>
        <v>TRUE</v>
      </c>
      <c r="H19" s="99" t="str">
        <f>IF('1a_SpaceHeating'!I11&gt;0,IF(AND(Calorific_Values!I11&lt;=50000,Calorific_Values!I11&gt;=40000),"TRUE","FALSE"),"TRUE")</f>
        <v>TRUE</v>
      </c>
      <c r="I19" s="99" t="str">
        <f>IF('1a_SpaceHeating'!J11&gt;0,IF(AND(Calorific_Values!J11&lt;=50000,Calorific_Values!J11&gt;=40000),"TRUE","FALSE"),"TRUE")</f>
        <v>TRUE</v>
      </c>
      <c r="J19" s="99" t="str">
        <f>IF('1a_SpaceHeating'!K11&gt;0,IF(AND(Calorific_Values!K11&lt;=50000,Calorific_Values!K11&gt;=40000),"TRUE","FALSE"),"TRUE")</f>
        <v>TRUE</v>
      </c>
      <c r="K19" s="99" t="str">
        <f>IF('1a_SpaceHeating'!L11&gt;0,IF(AND(Calorific_Values!L11&lt;=50000,Calorific_Values!L11&gt;=40000),"TRUE","FALSE"),"TRUE")</f>
        <v>TRUE</v>
      </c>
      <c r="L19" s="99" t="str">
        <f>IF('1a_SpaceHeating'!M11&gt;0,IF(AND(Calorific_Values!M11&lt;=50000,Calorific_Values!M11&gt;=40000),"TRUE","FALSE"),"TRUE")</f>
        <v>TRUE</v>
      </c>
      <c r="M19" s="99" t="str">
        <f>IF('1a_SpaceHeating'!N11&gt;0,IF(AND(Calorific_Values!N11&lt;=50000,Calorific_Values!N11&gt;=40000),"TRUE","FALSE"),"TRUE")</f>
        <v>TRUE</v>
      </c>
      <c r="N19" s="99" t="str">
        <f>IF('1a_SpaceHeating'!O11&gt;0,IF(AND(Calorific_Values!O11&lt;=50000,Calorific_Values!O11&gt;=40000),"TRUE","FALSE"),"TRUE")</f>
        <v>TRUE</v>
      </c>
    </row>
    <row r="20" spans="1:14" x14ac:dyDescent="0.25">
      <c r="A20" t="s">
        <v>152</v>
      </c>
      <c r="B20" t="s">
        <v>165</v>
      </c>
      <c r="C20" s="99" t="str">
        <f>IF('1a_SpaceHeating'!D12&gt;0,IF(AND(Calorific_Values!D12&lt;=45000,Calorific_Values!D12&gt;=40000),"TRUE","FALSE"),"TRUE")</f>
        <v>TRUE</v>
      </c>
      <c r="D20" s="99" t="str">
        <f>IF('1a_SpaceHeating'!E12&gt;0,IF(AND(Calorific_Values!E12&lt;=45000,Calorific_Values!E12&gt;=40000),"TRUE","FALSE"),"TRUE")</f>
        <v>TRUE</v>
      </c>
      <c r="E20" s="99" t="str">
        <f>IF('1a_SpaceHeating'!F12&gt;0,IF(AND(Calorific_Values!F12&lt;=45000,Calorific_Values!F12&gt;=40000),"TRUE","FALSE"),"TRUE")</f>
        <v>TRUE</v>
      </c>
      <c r="F20" s="99" t="str">
        <f>IF('1a_SpaceHeating'!G12&gt;0,IF(AND(Calorific_Values!G12&lt;=45000,Calorific_Values!G12&gt;=40000),"TRUE","FALSE"),"TRUE")</f>
        <v>TRUE</v>
      </c>
      <c r="G20" s="99" t="str">
        <f>IF('1a_SpaceHeating'!H12&gt;0,IF(AND(Calorific_Values!H12&lt;=45000,Calorific_Values!H12&gt;=40000),"TRUE","FALSE"),"TRUE")</f>
        <v>TRUE</v>
      </c>
      <c r="H20" s="99" t="str">
        <f>IF('1a_SpaceHeating'!I12&gt;0,IF(AND(Calorific_Values!I12&lt;=45000,Calorific_Values!I12&gt;=40000),"TRUE","FALSE"),"TRUE")</f>
        <v>TRUE</v>
      </c>
      <c r="I20" s="99" t="str">
        <f>IF('1a_SpaceHeating'!J12&gt;0,IF(AND(Calorific_Values!J12&lt;=45000,Calorific_Values!J12&gt;=40000),"TRUE","FALSE"),"TRUE")</f>
        <v>TRUE</v>
      </c>
      <c r="J20" s="99" t="str">
        <f>IF('1a_SpaceHeating'!K12&gt;0,IF(AND(Calorific_Values!K12&lt;=45000,Calorific_Values!K12&gt;=40000),"TRUE","FALSE"),"TRUE")</f>
        <v>TRUE</v>
      </c>
      <c r="K20" s="99" t="str">
        <f>IF('1a_SpaceHeating'!L12&gt;0,IF(AND(Calorific_Values!L12&lt;=45000,Calorific_Values!L12&gt;=40000),"TRUE","FALSE"),"TRUE")</f>
        <v>TRUE</v>
      </c>
      <c r="L20" s="99" t="str">
        <f>IF('1a_SpaceHeating'!M12&gt;0,IF(AND(Calorific_Values!M12&lt;=45000,Calorific_Values!M12&gt;=40000),"TRUE","FALSE"),"TRUE")</f>
        <v>TRUE</v>
      </c>
      <c r="M20" s="99" t="str">
        <f>IF('1a_SpaceHeating'!N12&gt;0,IF(AND(Calorific_Values!N12&lt;=45000,Calorific_Values!N12&gt;=40000),"TRUE","FALSE"),"TRUE")</f>
        <v>TRUE</v>
      </c>
      <c r="N20" s="99" t="str">
        <f>IF('1a_SpaceHeating'!O12&gt;0,IF(AND(Calorific_Values!O12&lt;=45000,Calorific_Values!O12&gt;=40000),"TRUE","FALSE"),"TRUE")</f>
        <v>TRUE</v>
      </c>
    </row>
    <row r="21" spans="1:14" x14ac:dyDescent="0.25">
      <c r="A21" t="s">
        <v>152</v>
      </c>
      <c r="B21" t="s">
        <v>166</v>
      </c>
      <c r="C21" s="99" t="str">
        <f>IF('1a_SpaceHeating'!D13&gt;0,IF(AND(Calorific_Values!D13&lt;=45000,Calorific_Values!D13&gt;=40000),"TRUE","FALSE"),"TRUE")</f>
        <v>TRUE</v>
      </c>
      <c r="D21" s="99" t="str">
        <f>IF('1a_SpaceHeating'!E13&gt;0,IF(AND(Calorific_Values!E13&lt;=45000,Calorific_Values!E13&gt;=40000),"TRUE","FALSE"),"TRUE")</f>
        <v>TRUE</v>
      </c>
      <c r="E21" s="99" t="str">
        <f>IF('1a_SpaceHeating'!F13&gt;0,IF(AND(Calorific_Values!F13&lt;=45000,Calorific_Values!F13&gt;=40000),"TRUE","FALSE"),"TRUE")</f>
        <v>TRUE</v>
      </c>
      <c r="F21" s="99" t="str">
        <f>IF('1a_SpaceHeating'!G13&gt;0,IF(AND(Calorific_Values!G13&lt;=45000,Calorific_Values!G13&gt;=40000),"TRUE","FALSE"),"TRUE")</f>
        <v>TRUE</v>
      </c>
      <c r="G21" s="99" t="str">
        <f>IF('1a_SpaceHeating'!H13&gt;0,IF(AND(Calorific_Values!H13&lt;=45000,Calorific_Values!H13&gt;=40000),"TRUE","FALSE"),"TRUE")</f>
        <v>TRUE</v>
      </c>
      <c r="H21" s="99" t="str">
        <f>IF('1a_SpaceHeating'!I13&gt;0,IF(AND(Calorific_Values!I13&lt;=45000,Calorific_Values!I13&gt;=40000),"TRUE","FALSE"),"TRUE")</f>
        <v>TRUE</v>
      </c>
      <c r="I21" s="99" t="str">
        <f>IF('1a_SpaceHeating'!J13&gt;0,IF(AND(Calorific_Values!J13&lt;=45000,Calorific_Values!J13&gt;=40000),"TRUE","FALSE"),"TRUE")</f>
        <v>TRUE</v>
      </c>
      <c r="J21" s="99" t="str">
        <f>IF('1a_SpaceHeating'!K13&gt;0,IF(AND(Calorific_Values!K13&lt;=45000,Calorific_Values!K13&gt;=40000),"TRUE","FALSE"),"TRUE")</f>
        <v>TRUE</v>
      </c>
      <c r="K21" s="99" t="str">
        <f>IF('1a_SpaceHeating'!L13&gt;0,IF(AND(Calorific_Values!L13&lt;=45000,Calorific_Values!L13&gt;=40000),"TRUE","FALSE"),"TRUE")</f>
        <v>TRUE</v>
      </c>
      <c r="L21" s="99" t="str">
        <f>IF('1a_SpaceHeating'!M13&gt;0,IF(AND(Calorific_Values!M13&lt;=45000,Calorific_Values!M13&gt;=40000),"TRUE","FALSE"),"TRUE")</f>
        <v>TRUE</v>
      </c>
      <c r="M21" s="99" t="str">
        <f>IF('1a_SpaceHeating'!N13&gt;0,IF(AND(Calorific_Values!N13&lt;=45000,Calorific_Values!N13&gt;=40000),"TRUE","FALSE"),"TRUE")</f>
        <v>TRUE</v>
      </c>
      <c r="N21" s="99" t="str">
        <f>IF('1a_SpaceHeating'!O13&gt;0,IF(AND(Calorific_Values!O13&lt;=45000,Calorific_Values!O13&gt;=40000),"TRUE","FALSE"),"TRUE")</f>
        <v>TRUE</v>
      </c>
    </row>
    <row r="22" spans="1:14" x14ac:dyDescent="0.25">
      <c r="A22" t="s">
        <v>169</v>
      </c>
      <c r="B22" t="s">
        <v>162</v>
      </c>
      <c r="C22" s="99" t="str">
        <f>IF('1b_SpaceCooling'!D9&gt;0,IF(AND(Calorific_Values!D9&lt;=30000,Calorific_Values!D9&gt;=5000),"TRUE","FALSE"),"TRUE")</f>
        <v>TRUE</v>
      </c>
      <c r="D22" s="99" t="str">
        <f>IF('1b_SpaceCooling'!E9&gt;0,IF(AND(Calorific_Values!E9&lt;=30000,Calorific_Values!E9&gt;=5000),"TRUE","FALSE"),"TRUE")</f>
        <v>TRUE</v>
      </c>
      <c r="E22" s="99" t="str">
        <f>IF('1b_SpaceCooling'!F9&gt;0,IF(AND(Calorific_Values!F9&lt;=30000,Calorific_Values!F9&gt;=5000),"TRUE","FALSE"),"TRUE")</f>
        <v>TRUE</v>
      </c>
      <c r="F22" s="99" t="str">
        <f>IF('1b_SpaceCooling'!G9&gt;0,IF(AND(Calorific_Values!G9&lt;=30000,Calorific_Values!G9&gt;=5000),"TRUE","FALSE"),"TRUE")</f>
        <v>TRUE</v>
      </c>
      <c r="G22" s="99" t="str">
        <f>IF('1b_SpaceCooling'!H9&gt;0,IF(AND(Calorific_Values!H9&lt;=30000,Calorific_Values!H9&gt;=5000),"TRUE","FALSE"),"TRUE")</f>
        <v>TRUE</v>
      </c>
      <c r="H22" s="99" t="str">
        <f>IF('1b_SpaceCooling'!I9&gt;0,IF(AND(Calorific_Values!I9&lt;=30000,Calorific_Values!I9&gt;=5000),"TRUE","FALSE"),"TRUE")</f>
        <v>TRUE</v>
      </c>
      <c r="I22" s="99" t="str">
        <f>IF('1b_SpaceCooling'!J9&gt;0,IF(AND(Calorific_Values!J9&lt;=30000,Calorific_Values!J9&gt;=5000),"TRUE","FALSE"),"TRUE")</f>
        <v>TRUE</v>
      </c>
      <c r="J22" s="99" t="str">
        <f>IF('1b_SpaceCooling'!K9&gt;0,IF(AND(Calorific_Values!K9&lt;=30000,Calorific_Values!K9&gt;=5000),"TRUE","FALSE"),"TRUE")</f>
        <v>TRUE</v>
      </c>
      <c r="K22" s="99" t="str">
        <f>IF('1b_SpaceCooling'!L9&gt;0,IF(AND(Calorific_Values!L9&lt;=30000,Calorific_Values!L9&gt;=5000),"TRUE","FALSE"),"TRUE")</f>
        <v>TRUE</v>
      </c>
      <c r="L22" s="99" t="str">
        <f>IF('1b_SpaceCooling'!M9&gt;0,IF(AND(Calorific_Values!M9&lt;=30000,Calorific_Values!M9&gt;=5000),"TRUE","FALSE"),"TRUE")</f>
        <v>TRUE</v>
      </c>
      <c r="M22" s="99" t="str">
        <f>IF('1b_SpaceCooling'!N9&gt;0,IF(AND(Calorific_Values!N9&lt;=30000,Calorific_Values!N9&gt;=5000),"TRUE","FALSE"),"TRUE")</f>
        <v>TRUE</v>
      </c>
      <c r="N22" s="99" t="str">
        <f>IF('1b_SpaceCooling'!O9&gt;0,IF(AND(Calorific_Values!O9&lt;=30000,Calorific_Values!O9&gt;=5000),"TRUE","FALSE"),"TRUE")</f>
        <v>TRUE</v>
      </c>
    </row>
    <row r="23" spans="1:14" x14ac:dyDescent="0.25">
      <c r="A23" t="s">
        <v>169</v>
      </c>
      <c r="B23" t="s">
        <v>163</v>
      </c>
      <c r="C23" s="99" t="str">
        <f>IF('1b_SpaceCooling'!D10&gt;0,IF(AND(Calorific_Values!D10&lt;=30000,Calorific_Values!D10&gt;=5000),"TRUE","FALSE"),"TRUE")</f>
        <v>TRUE</v>
      </c>
      <c r="D23" s="99" t="str">
        <f>IF('1b_SpaceCooling'!E10&gt;0,IF(AND(Calorific_Values!E10&lt;=30000,Calorific_Values!E10&gt;=5000),"TRUE","FALSE"),"TRUE")</f>
        <v>TRUE</v>
      </c>
      <c r="E23" s="99" t="str">
        <f>IF('1b_SpaceCooling'!F10&gt;0,IF(AND(Calorific_Values!F10&lt;=30000,Calorific_Values!F10&gt;=5000),"TRUE","FALSE"),"TRUE")</f>
        <v>TRUE</v>
      </c>
      <c r="F23" s="99" t="str">
        <f>IF('1b_SpaceCooling'!G10&gt;0,IF(AND(Calorific_Values!G10&lt;=30000,Calorific_Values!G10&gt;=5000),"TRUE","FALSE"),"TRUE")</f>
        <v>TRUE</v>
      </c>
      <c r="G23" s="99" t="str">
        <f>IF('1b_SpaceCooling'!H10&gt;0,IF(AND(Calorific_Values!H10&lt;=30000,Calorific_Values!H10&gt;=5000),"TRUE","FALSE"),"TRUE")</f>
        <v>TRUE</v>
      </c>
      <c r="H23" s="99" t="str">
        <f>IF('1b_SpaceCooling'!I10&gt;0,IF(AND(Calorific_Values!I10&lt;=30000,Calorific_Values!I10&gt;=5000),"TRUE","FALSE"),"TRUE")</f>
        <v>TRUE</v>
      </c>
      <c r="I23" s="99" t="str">
        <f>IF('1b_SpaceCooling'!J10&gt;0,IF(AND(Calorific_Values!J10&lt;=30000,Calorific_Values!J10&gt;=5000),"TRUE","FALSE"),"TRUE")</f>
        <v>TRUE</v>
      </c>
      <c r="J23" s="99" t="str">
        <f>IF('1b_SpaceCooling'!K10&gt;0,IF(AND(Calorific_Values!K10&lt;=30000,Calorific_Values!K10&gt;=5000),"TRUE","FALSE"),"TRUE")</f>
        <v>TRUE</v>
      </c>
      <c r="K23" s="99" t="str">
        <f>IF('1b_SpaceCooling'!L10&gt;0,IF(AND(Calorific_Values!L10&lt;=30000,Calorific_Values!L10&gt;=5000),"TRUE","FALSE"),"TRUE")</f>
        <v>TRUE</v>
      </c>
      <c r="L23" s="99" t="str">
        <f>IF('1b_SpaceCooling'!M10&gt;0,IF(AND(Calorific_Values!M10&lt;=30000,Calorific_Values!M10&gt;=5000),"TRUE","FALSE"),"TRUE")</f>
        <v>TRUE</v>
      </c>
      <c r="M23" s="99" t="str">
        <f>IF('1b_SpaceCooling'!N10&gt;0,IF(AND(Calorific_Values!N10&lt;=30000,Calorific_Values!N10&gt;=5000),"TRUE","FALSE"),"TRUE")</f>
        <v>TRUE</v>
      </c>
      <c r="N23" s="99" t="str">
        <f>IF('1b_SpaceCooling'!O10&gt;0,IF(AND(Calorific_Values!O10&lt;=30000,Calorific_Values!O10&gt;=5000),"TRUE","FALSE"),"TRUE")</f>
        <v>TRUE</v>
      </c>
    </row>
    <row r="24" spans="1:14" x14ac:dyDescent="0.25">
      <c r="A24" t="s">
        <v>169</v>
      </c>
      <c r="B24" t="s">
        <v>164</v>
      </c>
      <c r="C24" s="99" t="str">
        <f>IF('1b_SpaceCooling'!D11&gt;0,IF(AND(Calorific_Values!D11&lt;=30000,Calorific_Values!D11&gt;=5000),"TRUE","FALSE"),"TRUE")</f>
        <v>TRUE</v>
      </c>
      <c r="D24" s="99" t="str">
        <f>IF('1b_SpaceCooling'!E11&gt;0,IF(AND(Calorific_Values!E11&lt;=30000,Calorific_Values!E11&gt;=5000),"TRUE","FALSE"),"TRUE")</f>
        <v>TRUE</v>
      </c>
      <c r="E24" s="99" t="str">
        <f>IF('1b_SpaceCooling'!F11&gt;0,IF(AND(Calorific_Values!F11&lt;=30000,Calorific_Values!F11&gt;=5000),"TRUE","FALSE"),"TRUE")</f>
        <v>TRUE</v>
      </c>
      <c r="F24" s="99" t="str">
        <f>IF('1b_SpaceCooling'!G11&gt;0,IF(AND(Calorific_Values!G11&lt;=30000,Calorific_Values!G11&gt;=5000),"TRUE","FALSE"),"TRUE")</f>
        <v>TRUE</v>
      </c>
      <c r="G24" s="99" t="str">
        <f>IF('1b_SpaceCooling'!H11&gt;0,IF(AND(Calorific_Values!H11&lt;=30000,Calorific_Values!H11&gt;=5000),"TRUE","FALSE"),"TRUE")</f>
        <v>TRUE</v>
      </c>
      <c r="H24" s="99" t="str">
        <f>IF('1b_SpaceCooling'!I11&gt;0,IF(AND(Calorific_Values!I11&lt;=30000,Calorific_Values!I11&gt;=5000),"TRUE","FALSE"),"TRUE")</f>
        <v>TRUE</v>
      </c>
      <c r="I24" s="99" t="str">
        <f>IF('1b_SpaceCooling'!J11&gt;0,IF(AND(Calorific_Values!J11&lt;=30000,Calorific_Values!J11&gt;=5000),"TRUE","FALSE"),"TRUE")</f>
        <v>TRUE</v>
      </c>
      <c r="J24" s="99" t="str">
        <f>IF('1b_SpaceCooling'!K11&gt;0,IF(AND(Calorific_Values!K11&lt;=30000,Calorific_Values!K11&gt;=5000),"TRUE","FALSE"),"TRUE")</f>
        <v>TRUE</v>
      </c>
      <c r="K24" s="99" t="str">
        <f>IF('1b_SpaceCooling'!L11&gt;0,IF(AND(Calorific_Values!L11&lt;=30000,Calorific_Values!L11&gt;=5000),"TRUE","FALSE"),"TRUE")</f>
        <v>TRUE</v>
      </c>
      <c r="L24" s="99" t="str">
        <f>IF('1b_SpaceCooling'!M11&gt;0,IF(AND(Calorific_Values!M11&lt;=30000,Calorific_Values!M11&gt;=5000),"TRUE","FALSE"),"TRUE")</f>
        <v>TRUE</v>
      </c>
      <c r="M24" s="99" t="str">
        <f>IF('1b_SpaceCooling'!N11&gt;0,IF(AND(Calorific_Values!N11&lt;=30000,Calorific_Values!N11&gt;=5000),"TRUE","FALSE"),"TRUE")</f>
        <v>TRUE</v>
      </c>
      <c r="N24" s="99" t="str">
        <f>IF('1b_SpaceCooling'!O11&gt;0,IF(AND(Calorific_Values!O11&lt;=30000,Calorific_Values!O11&gt;=5000),"TRUE","FALSE"),"TRUE")</f>
        <v>TRUE</v>
      </c>
    </row>
    <row r="25" spans="1:14" x14ac:dyDescent="0.25">
      <c r="A25" t="s">
        <v>169</v>
      </c>
      <c r="B25" t="s">
        <v>165</v>
      </c>
      <c r="C25" s="99" t="str">
        <f>IF('1b_SpaceCooling'!D12&gt;0,IF(AND(Calorific_Values!D12&lt;=30000,Calorific_Values!D12&gt;=5000),"TRUE","FALSE"),"TRUE")</f>
        <v>TRUE</v>
      </c>
      <c r="D25" s="99" t="str">
        <f>IF('1b_SpaceCooling'!E12&gt;0,IF(AND(Calorific_Values!E12&lt;=30000,Calorific_Values!E12&gt;=5000),"TRUE","FALSE"),"TRUE")</f>
        <v>TRUE</v>
      </c>
      <c r="E25" s="99" t="str">
        <f>IF('1b_SpaceCooling'!F12&gt;0,IF(AND(Calorific_Values!F12&lt;=30000,Calorific_Values!F12&gt;=5000),"TRUE","FALSE"),"TRUE")</f>
        <v>TRUE</v>
      </c>
      <c r="F25" s="99" t="str">
        <f>IF('1b_SpaceCooling'!G12&gt;0,IF(AND(Calorific_Values!G12&lt;=30000,Calorific_Values!G12&gt;=5000),"TRUE","FALSE"),"TRUE")</f>
        <v>TRUE</v>
      </c>
      <c r="G25" s="99" t="str">
        <f>IF('1b_SpaceCooling'!H12&gt;0,IF(AND(Calorific_Values!H12&lt;=30000,Calorific_Values!H12&gt;=5000),"TRUE","FALSE"),"TRUE")</f>
        <v>TRUE</v>
      </c>
      <c r="H25" s="99" t="str">
        <f>IF('1b_SpaceCooling'!I12&gt;0,IF(AND(Calorific_Values!I12&lt;=30000,Calorific_Values!I12&gt;=5000),"TRUE","FALSE"),"TRUE")</f>
        <v>TRUE</v>
      </c>
      <c r="I25" s="99" t="str">
        <f>IF('1b_SpaceCooling'!J12&gt;0,IF(AND(Calorific_Values!J12&lt;=30000,Calorific_Values!J12&gt;=5000),"TRUE","FALSE"),"TRUE")</f>
        <v>TRUE</v>
      </c>
      <c r="J25" s="99" t="str">
        <f>IF('1b_SpaceCooling'!K12&gt;0,IF(AND(Calorific_Values!K12&lt;=30000,Calorific_Values!K12&gt;=5000),"TRUE","FALSE"),"TRUE")</f>
        <v>TRUE</v>
      </c>
      <c r="K25" s="99" t="str">
        <f>IF('1b_SpaceCooling'!L12&gt;0,IF(AND(Calorific_Values!L12&lt;=30000,Calorific_Values!L12&gt;=5000),"TRUE","FALSE"),"TRUE")</f>
        <v>TRUE</v>
      </c>
      <c r="L25" s="99" t="str">
        <f>IF('1b_SpaceCooling'!M12&gt;0,IF(AND(Calorific_Values!M12&lt;=30000,Calorific_Values!M12&gt;=5000),"TRUE","FALSE"),"TRUE")</f>
        <v>TRUE</v>
      </c>
      <c r="M25" s="99" t="str">
        <f>IF('1b_SpaceCooling'!N12&gt;0,IF(AND(Calorific_Values!N12&lt;=30000,Calorific_Values!N12&gt;=5000),"TRUE","FALSE"),"TRUE")</f>
        <v>TRUE</v>
      </c>
      <c r="N25" s="99" t="str">
        <f>IF('1b_SpaceCooling'!O12&gt;0,IF(AND(Calorific_Values!O12&lt;=30000,Calorific_Values!O12&gt;=5000),"TRUE","FALSE"),"TRUE")</f>
        <v>TRUE</v>
      </c>
    </row>
    <row r="26" spans="1:14" x14ac:dyDescent="0.25">
      <c r="A26" t="s">
        <v>169</v>
      </c>
      <c r="B26" t="s">
        <v>166</v>
      </c>
      <c r="C26" s="99" t="str">
        <f>IF('1b_SpaceCooling'!D13&gt;0,IF(AND(Calorific_Values!D13&lt;=30000,Calorific_Values!D13&gt;=5000),"TRUE","FALSE"),"TRUE")</f>
        <v>TRUE</v>
      </c>
      <c r="D26" s="99" t="str">
        <f>IF('1b_SpaceCooling'!E13&gt;0,IF(AND(Calorific_Values!E13&lt;=30000,Calorific_Values!E13&gt;=5000),"TRUE","FALSE"),"TRUE")</f>
        <v>TRUE</v>
      </c>
      <c r="E26" s="99" t="str">
        <f>IF('1b_SpaceCooling'!F13&gt;0,IF(AND(Calorific_Values!F13&lt;=30000,Calorific_Values!F13&gt;=5000),"TRUE","FALSE"),"TRUE")</f>
        <v>TRUE</v>
      </c>
      <c r="F26" s="99" t="str">
        <f>IF('1b_SpaceCooling'!G13&gt;0,IF(AND(Calorific_Values!G13&lt;=30000,Calorific_Values!G13&gt;=5000),"TRUE","FALSE"),"TRUE")</f>
        <v>TRUE</v>
      </c>
      <c r="G26" s="99" t="str">
        <f>IF('1b_SpaceCooling'!H13&gt;0,IF(AND(Calorific_Values!H13&lt;=30000,Calorific_Values!H13&gt;=5000),"TRUE","FALSE"),"TRUE")</f>
        <v>TRUE</v>
      </c>
      <c r="H26" s="99" t="str">
        <f>IF('1b_SpaceCooling'!I13&gt;0,IF(AND(Calorific_Values!I13&lt;=30000,Calorific_Values!I13&gt;=5000),"TRUE","FALSE"),"TRUE")</f>
        <v>TRUE</v>
      </c>
      <c r="I26" s="99" t="str">
        <f>IF('1b_SpaceCooling'!J13&gt;0,IF(AND(Calorific_Values!J13&lt;=30000,Calorific_Values!J13&gt;=5000),"TRUE","FALSE"),"TRUE")</f>
        <v>TRUE</v>
      </c>
      <c r="J26" s="99" t="str">
        <f>IF('1b_SpaceCooling'!K13&gt;0,IF(AND(Calorific_Values!K13&lt;=30000,Calorific_Values!K13&gt;=5000),"TRUE","FALSE"),"TRUE")</f>
        <v>TRUE</v>
      </c>
      <c r="K26" s="99" t="str">
        <f>IF('1b_SpaceCooling'!L13&gt;0,IF(AND(Calorific_Values!L13&lt;=30000,Calorific_Values!L13&gt;=5000),"TRUE","FALSE"),"TRUE")</f>
        <v>TRUE</v>
      </c>
      <c r="L26" s="99" t="str">
        <f>IF('1b_SpaceCooling'!M13&gt;0,IF(AND(Calorific_Values!M13&lt;=30000,Calorific_Values!M13&gt;=5000),"TRUE","FALSE"),"TRUE")</f>
        <v>TRUE</v>
      </c>
      <c r="M26" s="99" t="str">
        <f>IF('1b_SpaceCooling'!N13&gt;0,IF(AND(Calorific_Values!N13&lt;=30000,Calorific_Values!N13&gt;=5000),"TRUE","FALSE"),"TRUE")</f>
        <v>TRUE</v>
      </c>
      <c r="N26" s="99" t="str">
        <f>IF('1b_SpaceCooling'!O13&gt;0,IF(AND(Calorific_Values!O13&lt;=30000,Calorific_Values!O13&gt;=5000),"TRUE","FALSE"),"TRUE")</f>
        <v>TRUE</v>
      </c>
    </row>
    <row r="27" spans="1:14" x14ac:dyDescent="0.25">
      <c r="A27" t="s">
        <v>153</v>
      </c>
      <c r="B27" t="s">
        <v>167</v>
      </c>
      <c r="C27" s="99" t="str">
        <f>IF('1c_WaterHeating'!D9&gt;0,IF(AND(Calorific_Values!D9&lt;=30000,Calorific_Values!D9&gt;=5000),"TRUE","FALSE"),"TRUE")</f>
        <v>TRUE</v>
      </c>
      <c r="D27" s="99" t="str">
        <f>IF('1c_WaterHeating'!E9&gt;0,IF(AND(Calorific_Values!E9&lt;=30000,Calorific_Values!E9&gt;=5000),"TRUE","FALSE"),"TRUE")</f>
        <v>TRUE</v>
      </c>
      <c r="E27" s="99" t="str">
        <f>IF('1c_WaterHeating'!F9&gt;0,IF(AND(Calorific_Values!F9&lt;=30000,Calorific_Values!F9&gt;=5000),"TRUE","FALSE"),"TRUE")</f>
        <v>TRUE</v>
      </c>
      <c r="F27" s="99" t="str">
        <f>IF('1c_WaterHeating'!G9&gt;0,IF(AND(Calorific_Values!G9&lt;=30000,Calorific_Values!G9&gt;=5000),"TRUE","FALSE"),"TRUE")</f>
        <v>TRUE</v>
      </c>
      <c r="G27" s="99" t="str">
        <f>IF('1c_WaterHeating'!H9&gt;0,IF(AND(Calorific_Values!H9&lt;=30000,Calorific_Values!H9&gt;=5000),"TRUE","FALSE"),"TRUE")</f>
        <v>TRUE</v>
      </c>
      <c r="H27" s="99" t="str">
        <f>IF('1c_WaterHeating'!I9&gt;0,IF(AND(Calorific_Values!I9&lt;=30000,Calorific_Values!I9&gt;=5000),"TRUE","FALSE"),"TRUE")</f>
        <v>TRUE</v>
      </c>
      <c r="I27" s="99" t="str">
        <f>IF('1c_WaterHeating'!J9&gt;0,IF(AND(Calorific_Values!J9&lt;=30000,Calorific_Values!J9&gt;=5000),"TRUE","FALSE"),"TRUE")</f>
        <v>TRUE</v>
      </c>
      <c r="J27" s="99" t="str">
        <f>IF('1c_WaterHeating'!K9&gt;0,IF(AND(Calorific_Values!K9&lt;=30000,Calorific_Values!K9&gt;=5000),"TRUE","FALSE"),"TRUE")</f>
        <v>TRUE</v>
      </c>
      <c r="K27" s="99" t="str">
        <f>IF('1c_WaterHeating'!L9&gt;0,IF(AND(Calorific_Values!L9&lt;=30000,Calorific_Values!L9&gt;=5000),"TRUE","FALSE"),"TRUE")</f>
        <v>TRUE</v>
      </c>
      <c r="L27" s="99" t="str">
        <f>IF('1c_WaterHeating'!M9&gt;0,IF(AND(Calorific_Values!M9&lt;=30000,Calorific_Values!M9&gt;=5000),"TRUE","FALSE"),"TRUE")</f>
        <v>TRUE</v>
      </c>
      <c r="M27" s="99" t="str">
        <f>IF('1c_WaterHeating'!N9&gt;0,IF(AND(Calorific_Values!N9&lt;=30000,Calorific_Values!N9&gt;=5000),"TRUE","FALSE"),"TRUE")</f>
        <v>TRUE</v>
      </c>
      <c r="N27" s="99" t="str">
        <f>IF('1c_WaterHeating'!O9&gt;0,IF(AND(Calorific_Values!O9&lt;=30000,Calorific_Values!O9&gt;=5000),"TRUE","FALSE"),"TRUE")</f>
        <v>TRUE</v>
      </c>
    </row>
    <row r="28" spans="1:14" x14ac:dyDescent="0.25">
      <c r="A28" t="s">
        <v>153</v>
      </c>
      <c r="B28" t="s">
        <v>168</v>
      </c>
      <c r="C28" s="99" t="str">
        <f>IF('1c_WaterHeating'!D10&gt;0,IF(AND(Calorific_Values!D10&lt;=50000,Calorific_Values!D10&gt;=40000),"TRUE","FALSE"),"TRUE")</f>
        <v>TRUE</v>
      </c>
      <c r="D28" s="99" t="str">
        <f>IF('1c_WaterHeating'!E10&gt;0,IF(AND(Calorific_Values!E10&lt;=50000,Calorific_Values!E10&gt;=40000),"TRUE","FALSE"),"TRUE")</f>
        <v>TRUE</v>
      </c>
      <c r="E28" s="99" t="str">
        <f>IF('1c_WaterHeating'!F10&gt;0,IF(AND(Calorific_Values!F10&lt;=50000,Calorific_Values!F10&gt;=40000),"TRUE","FALSE"),"TRUE")</f>
        <v>TRUE</v>
      </c>
      <c r="F28" s="99" t="str">
        <f>IF('1c_WaterHeating'!G10&gt;0,IF(AND(Calorific_Values!G10&lt;=50000,Calorific_Values!G10&gt;=40000),"TRUE","FALSE"),"TRUE")</f>
        <v>TRUE</v>
      </c>
      <c r="G28" s="99" t="str">
        <f>IF('1c_WaterHeating'!H10&gt;0,IF(AND(Calorific_Values!H10&lt;=50000,Calorific_Values!H10&gt;=40000),"TRUE","FALSE"),"TRUE")</f>
        <v>TRUE</v>
      </c>
      <c r="H28" s="99" t="str">
        <f>IF('1c_WaterHeating'!I10&gt;0,IF(AND(Calorific_Values!I10&lt;=50000,Calorific_Values!I10&gt;=40000),"TRUE","FALSE"),"TRUE")</f>
        <v>TRUE</v>
      </c>
      <c r="I28" s="99" t="str">
        <f>IF('1c_WaterHeating'!J10&gt;0,IF(AND(Calorific_Values!J10&lt;=50000,Calorific_Values!J10&gt;=40000),"TRUE","FALSE"),"TRUE")</f>
        <v>TRUE</v>
      </c>
      <c r="J28" s="99" t="str">
        <f>IF('1c_WaterHeating'!K10&gt;0,IF(AND(Calorific_Values!K10&lt;=50000,Calorific_Values!K10&gt;=40000),"TRUE","FALSE"),"TRUE")</f>
        <v>TRUE</v>
      </c>
      <c r="K28" s="99" t="str">
        <f>IF('1c_WaterHeating'!L10&gt;0,IF(AND(Calorific_Values!L10&lt;=50000,Calorific_Values!L10&gt;=40000),"TRUE","FALSE"),"TRUE")</f>
        <v>TRUE</v>
      </c>
      <c r="L28" s="99" t="str">
        <f>IF('1c_WaterHeating'!M10&gt;0,IF(AND(Calorific_Values!M10&lt;=50000,Calorific_Values!M10&gt;=40000),"TRUE","FALSE"),"TRUE")</f>
        <v>TRUE</v>
      </c>
      <c r="M28" s="99" t="str">
        <f>IF('1c_WaterHeating'!N10&gt;0,IF(AND(Calorific_Values!N10&lt;=50000,Calorific_Values!N10&gt;=40000),"TRUE","FALSE"),"TRUE")</f>
        <v>TRUE</v>
      </c>
      <c r="N28" s="99" t="str">
        <f>IF('1c_WaterHeating'!O10&gt;0,IF(AND(Calorific_Values!O10&lt;=50000,Calorific_Values!O10&gt;=40000),"TRUE","FALSE"),"TRUE")</f>
        <v>TRUE</v>
      </c>
    </row>
    <row r="29" spans="1:14" x14ac:dyDescent="0.25">
      <c r="A29" t="s">
        <v>153</v>
      </c>
      <c r="B29" t="s">
        <v>164</v>
      </c>
      <c r="C29" s="99" t="str">
        <f>IF('1c_WaterHeating'!D11&gt;0,IF(AND(Calorific_Values!D11&lt;=50000,Calorific_Values!D11&gt;=4000),"TRUE","FALSE"),"TRUE")</f>
        <v>TRUE</v>
      </c>
      <c r="D29" s="99" t="str">
        <f>IF('1c_WaterHeating'!E11&gt;0,IF(AND(Calorific_Values!E11&lt;=50000,Calorific_Values!E11&gt;=4000),"TRUE","FALSE"),"TRUE")</f>
        <v>TRUE</v>
      </c>
      <c r="E29" s="99" t="str">
        <f>IF('1c_WaterHeating'!F11&gt;0,IF(AND(Calorific_Values!F11&lt;=50000,Calorific_Values!F11&gt;=4000),"TRUE","FALSE"),"TRUE")</f>
        <v>TRUE</v>
      </c>
      <c r="F29" s="99" t="str">
        <f>IF('1c_WaterHeating'!G11&gt;0,IF(AND(Calorific_Values!G11&lt;=50000,Calorific_Values!G11&gt;=4000),"TRUE","FALSE"),"TRUE")</f>
        <v>TRUE</v>
      </c>
      <c r="G29" s="99" t="str">
        <f>IF('1c_WaterHeating'!H11&gt;0,IF(AND(Calorific_Values!H11&lt;=50000,Calorific_Values!H11&gt;=4000),"TRUE","FALSE"),"TRUE")</f>
        <v>TRUE</v>
      </c>
      <c r="H29" s="99" t="str">
        <f>IF('1c_WaterHeating'!I11&gt;0,IF(AND(Calorific_Values!I11&lt;=50000,Calorific_Values!I11&gt;=4000),"TRUE","FALSE"),"TRUE")</f>
        <v>TRUE</v>
      </c>
      <c r="I29" s="99" t="str">
        <f>IF('1c_WaterHeating'!J11&gt;0,IF(AND(Calorific_Values!J11&lt;=50000,Calorific_Values!J11&gt;=4000),"TRUE","FALSE"),"TRUE")</f>
        <v>TRUE</v>
      </c>
      <c r="J29" s="99" t="str">
        <f>IF('1c_WaterHeating'!K11&gt;0,IF(AND(Calorific_Values!K11&lt;=50000,Calorific_Values!K11&gt;=4000),"TRUE","FALSE"),"TRUE")</f>
        <v>TRUE</v>
      </c>
      <c r="K29" s="99" t="str">
        <f>IF('1c_WaterHeating'!L11&gt;0,IF(AND(Calorific_Values!L11&lt;=50000,Calorific_Values!L11&gt;=4000),"TRUE","FALSE"),"TRUE")</f>
        <v>TRUE</v>
      </c>
      <c r="L29" s="99" t="str">
        <f>IF('1c_WaterHeating'!M11&gt;0,IF(AND(Calorific_Values!M11&lt;=50000,Calorific_Values!M11&gt;=4000),"TRUE","FALSE"),"TRUE")</f>
        <v>TRUE</v>
      </c>
      <c r="M29" s="99" t="str">
        <f>IF('1c_WaterHeating'!N11&gt;0,IF(AND(Calorific_Values!N11&lt;=50000,Calorific_Values!N11&gt;=4000),"TRUE","FALSE"),"TRUE")</f>
        <v>TRUE</v>
      </c>
      <c r="N29" s="99" t="str">
        <f>IF('1c_WaterHeating'!O11&gt;0,IF(AND(Calorific_Values!O11&lt;=50000,Calorific_Values!O11&gt;=4000),"TRUE","FALSE"),"TRUE")</f>
        <v>TRUE</v>
      </c>
    </row>
    <row r="30" spans="1:14" x14ac:dyDescent="0.25">
      <c r="A30" t="s">
        <v>153</v>
      </c>
      <c r="B30" t="s">
        <v>165</v>
      </c>
      <c r="C30" s="99" t="str">
        <f>IF('1c_WaterHeating'!D12&gt;0,IF(AND(Calorific_Values!D12&lt;=45000,Calorific_Values!D12&gt;=40000),"TRUE","FALSE"),"TRUE")</f>
        <v>TRUE</v>
      </c>
      <c r="D30" s="99" t="str">
        <f>IF('1c_WaterHeating'!E12&gt;0,IF(AND(Calorific_Values!E12&lt;=45000,Calorific_Values!E12&gt;=40000),"TRUE","FALSE"),"TRUE")</f>
        <v>TRUE</v>
      </c>
      <c r="E30" s="99" t="str">
        <f>IF('1c_WaterHeating'!F12&gt;0,IF(AND(Calorific_Values!F12&lt;=45000,Calorific_Values!F12&gt;=40000),"TRUE","FALSE"),"TRUE")</f>
        <v>TRUE</v>
      </c>
      <c r="F30" s="99" t="str">
        <f>IF('1c_WaterHeating'!G12&gt;0,IF(AND(Calorific_Values!G12&lt;=45000,Calorific_Values!G12&gt;=40000),"TRUE","FALSE"),"TRUE")</f>
        <v>TRUE</v>
      </c>
      <c r="G30" s="99" t="str">
        <f>IF('1c_WaterHeating'!H12&gt;0,IF(AND(Calorific_Values!H12&lt;=45000,Calorific_Values!H12&gt;=40000),"TRUE","FALSE"),"TRUE")</f>
        <v>TRUE</v>
      </c>
      <c r="H30" s="99" t="str">
        <f>IF('1c_WaterHeating'!I12&gt;0,IF(AND(Calorific_Values!I12&lt;=45000,Calorific_Values!I12&gt;=40000),"TRUE","FALSE"),"TRUE")</f>
        <v>TRUE</v>
      </c>
      <c r="I30" s="99" t="str">
        <f>IF('1c_WaterHeating'!J12&gt;0,IF(AND(Calorific_Values!J12&lt;=45000,Calorific_Values!J12&gt;=40000),"TRUE","FALSE"),"TRUE")</f>
        <v>TRUE</v>
      </c>
      <c r="J30" s="99" t="str">
        <f>IF('1c_WaterHeating'!K12&gt;0,IF(AND(Calorific_Values!K12&lt;=45000,Calorific_Values!K12&gt;=40000),"TRUE","FALSE"),"TRUE")</f>
        <v>TRUE</v>
      </c>
      <c r="K30" s="99" t="str">
        <f>IF('1c_WaterHeating'!L12&gt;0,IF(AND(Calorific_Values!L12&lt;=45000,Calorific_Values!L12&gt;=40000),"TRUE","FALSE"),"TRUE")</f>
        <v>TRUE</v>
      </c>
      <c r="L30" s="99" t="str">
        <f>IF('1c_WaterHeating'!M12&gt;0,IF(AND(Calorific_Values!M12&lt;=45000,Calorific_Values!M12&gt;=40000),"TRUE","FALSE"),"TRUE")</f>
        <v>TRUE</v>
      </c>
      <c r="M30" s="99" t="str">
        <f>IF('1c_WaterHeating'!N12&gt;0,IF(AND(Calorific_Values!N12&lt;=45000,Calorific_Values!N12&gt;=40000),"TRUE","FALSE"),"TRUE")</f>
        <v>TRUE</v>
      </c>
      <c r="N30" s="99" t="str">
        <f>IF('1c_WaterHeating'!O12&gt;0,IF(AND(Calorific_Values!O12&lt;=45000,Calorific_Values!O12&gt;=40000),"TRUE","FALSE"),"TRUE")</f>
        <v>TRUE</v>
      </c>
    </row>
    <row r="31" spans="1:14" x14ac:dyDescent="0.25">
      <c r="A31" t="s">
        <v>153</v>
      </c>
      <c r="B31" t="s">
        <v>166</v>
      </c>
      <c r="C31" s="99" t="str">
        <f>IF('1c_WaterHeating'!D13&gt;0,IF(AND(Calorific_Values!D13&lt;=45000,Calorific_Values!D13&gt;=40000),"TRUE","FALSE"),"TRUE")</f>
        <v>TRUE</v>
      </c>
      <c r="D31" s="99" t="str">
        <f>IF('1c_WaterHeating'!E13&gt;0,IF(AND(Calorific_Values!E13&lt;=45000,Calorific_Values!E13&gt;=40000),"TRUE","FALSE"),"TRUE")</f>
        <v>TRUE</v>
      </c>
      <c r="E31" s="99" t="str">
        <f>IF('1c_WaterHeating'!F13&gt;0,IF(AND(Calorific_Values!F13&lt;=45000,Calorific_Values!F13&gt;=40000),"TRUE","FALSE"),"TRUE")</f>
        <v>TRUE</v>
      </c>
      <c r="F31" s="99" t="str">
        <f>IF('1c_WaterHeating'!G13&gt;0,IF(AND(Calorific_Values!G13&lt;=45000,Calorific_Values!G13&gt;=40000),"TRUE","FALSE"),"TRUE")</f>
        <v>TRUE</v>
      </c>
      <c r="G31" s="99" t="str">
        <f>IF('1c_WaterHeating'!H13&gt;0,IF(AND(Calorific_Values!H13&lt;=45000,Calorific_Values!H13&gt;=40000),"TRUE","FALSE"),"TRUE")</f>
        <v>TRUE</v>
      </c>
      <c r="H31" s="99" t="str">
        <f>IF('1c_WaterHeating'!I13&gt;0,IF(AND(Calorific_Values!I13&lt;=45000,Calorific_Values!I13&gt;=40000),"TRUE","FALSE"),"TRUE")</f>
        <v>TRUE</v>
      </c>
      <c r="I31" s="99" t="str">
        <f>IF('1c_WaterHeating'!J13&gt;0,IF(AND(Calorific_Values!J13&lt;=45000,Calorific_Values!J13&gt;=40000),"TRUE","FALSE"),"TRUE")</f>
        <v>TRUE</v>
      </c>
      <c r="J31" s="99" t="str">
        <f>IF('1c_WaterHeating'!K13&gt;0,IF(AND(Calorific_Values!K13&lt;=45000,Calorific_Values!K13&gt;=40000),"TRUE","FALSE"),"TRUE")</f>
        <v>TRUE</v>
      </c>
      <c r="K31" s="99" t="str">
        <f>IF('1c_WaterHeating'!L13&gt;0,IF(AND(Calorific_Values!L13&lt;=45000,Calorific_Values!L13&gt;=40000),"TRUE","FALSE"),"TRUE")</f>
        <v>TRUE</v>
      </c>
      <c r="L31" s="99" t="str">
        <f>IF('1c_WaterHeating'!M13&gt;0,IF(AND(Calorific_Values!M13&lt;=45000,Calorific_Values!M13&gt;=40000),"TRUE","FALSE"),"TRUE")</f>
        <v>TRUE</v>
      </c>
      <c r="M31" s="99" t="str">
        <f>IF('1c_WaterHeating'!N13&gt;0,IF(AND(Calorific_Values!N13&lt;=45000,Calorific_Values!N13&gt;=40000),"TRUE","FALSE"),"TRUE")</f>
        <v>TRUE</v>
      </c>
      <c r="N31" s="99" t="str">
        <f>IF('1c_WaterHeating'!O13&gt;0,IF(AND(Calorific_Values!O13&lt;=45000,Calorific_Values!O13&gt;=40000),"TRUE","FALSE"),"TRUE")</f>
        <v>TRUE</v>
      </c>
    </row>
    <row r="32" spans="1:14" x14ac:dyDescent="0.25">
      <c r="A32" t="s">
        <v>154</v>
      </c>
      <c r="B32" t="s">
        <v>167</v>
      </c>
      <c r="C32" s="99" t="str">
        <f>IF('1d_Cooking'!D9&gt;0,IF(AND(Calorific_Values!D9&lt;=30000,Calorific_Values!D9&gt;=5000),"TRUE","FALSE"),"TRUE")</f>
        <v>TRUE</v>
      </c>
      <c r="D32" s="99" t="str">
        <f>IF('1d_Cooking'!E9&gt;0,IF(AND(Calorific_Values!E9&lt;=30000,Calorific_Values!E9&gt;=5000),"TRUE","FALSE"),"TRUE")</f>
        <v>TRUE</v>
      </c>
      <c r="E32" s="99" t="str">
        <f>IF('1d_Cooking'!F9&gt;0,IF(AND(Calorific_Values!F9&lt;=30000,Calorific_Values!F9&gt;=5000),"TRUE","FALSE"),"TRUE")</f>
        <v>TRUE</v>
      </c>
      <c r="F32" s="99" t="str">
        <f>IF('1d_Cooking'!G9&gt;0,IF(AND(Calorific_Values!G9&lt;=30000,Calorific_Values!G9&gt;=5000),"TRUE","FALSE"),"TRUE")</f>
        <v>TRUE</v>
      </c>
      <c r="G32" s="99" t="str">
        <f>IF('1d_Cooking'!H9&gt;0,IF(AND(Calorific_Values!H9&lt;=30000,Calorific_Values!H9&gt;=5000),"TRUE","FALSE"),"TRUE")</f>
        <v>TRUE</v>
      </c>
      <c r="H32" s="99" t="str">
        <f>IF('1d_Cooking'!I9&gt;0,IF(AND(Calorific_Values!I9&lt;=30000,Calorific_Values!I9&gt;=5000),"TRUE","FALSE"),"TRUE")</f>
        <v>TRUE</v>
      </c>
      <c r="I32" s="99" t="str">
        <f>IF('1d_Cooking'!J9&gt;0,IF(AND(Calorific_Values!J9&lt;=30000,Calorific_Values!J9&gt;=5000),"TRUE","FALSE"),"TRUE")</f>
        <v>TRUE</v>
      </c>
      <c r="J32" s="99" t="str">
        <f>IF('1d_Cooking'!K9&gt;0,IF(AND(Calorific_Values!K9&lt;=30000,Calorific_Values!K9&gt;=5000),"TRUE","FALSE"),"TRUE")</f>
        <v>TRUE</v>
      </c>
      <c r="K32" s="99" t="str">
        <f>IF('1d_Cooking'!L9&gt;0,IF(AND(Calorific_Values!L9&lt;=30000,Calorific_Values!L9&gt;=5000),"TRUE","FALSE"),"TRUE")</f>
        <v>TRUE</v>
      </c>
      <c r="L32" s="99" t="str">
        <f>IF('1d_Cooking'!M9&gt;0,IF(AND(Calorific_Values!M9&lt;=30000,Calorific_Values!M9&gt;=5000),"TRUE","FALSE"),"TRUE")</f>
        <v>TRUE</v>
      </c>
      <c r="M32" s="99" t="str">
        <f>IF('1d_Cooking'!N9&gt;0,IF(AND(Calorific_Values!N9&lt;=30000,Calorific_Values!N9&gt;=5000),"TRUE","FALSE"),"TRUE")</f>
        <v>TRUE</v>
      </c>
      <c r="N32" s="99" t="str">
        <f>IF('1d_Cooking'!O9&gt;0,IF(AND(Calorific_Values!O9&lt;=30000,Calorific_Values!O9&gt;=5000),"TRUE","FALSE"),"TRUE")</f>
        <v>TRUE</v>
      </c>
    </row>
    <row r="33" spans="1:14" x14ac:dyDescent="0.25">
      <c r="A33" t="s">
        <v>154</v>
      </c>
      <c r="B33" t="s">
        <v>168</v>
      </c>
      <c r="C33" s="99" t="str">
        <f>IF('1d_Cooking'!D10&gt;0,IF(AND(Calorific_Values!D10&lt;=50000,Calorific_Values!D10&gt;=40000),"TRUE","FALSE"),"TRUE")</f>
        <v>TRUE</v>
      </c>
      <c r="D33" s="99" t="str">
        <f>IF('1d_Cooking'!E10&gt;0,IF(AND(Calorific_Values!E10&lt;=50000,Calorific_Values!E10&gt;=40000),"TRUE","FALSE"),"TRUE")</f>
        <v>TRUE</v>
      </c>
      <c r="E33" s="99" t="str">
        <f>IF('1d_Cooking'!F10&gt;0,IF(AND(Calorific_Values!F10&lt;=50000,Calorific_Values!F10&gt;=40000),"TRUE","FALSE"),"TRUE")</f>
        <v>TRUE</v>
      </c>
      <c r="F33" s="99" t="str">
        <f>IF('1d_Cooking'!G10&gt;0,IF(AND(Calorific_Values!G10&lt;=50000,Calorific_Values!G10&gt;=40000),"TRUE","FALSE"),"TRUE")</f>
        <v>TRUE</v>
      </c>
      <c r="G33" s="99" t="str">
        <f>IF('1d_Cooking'!H10&gt;0,IF(AND(Calorific_Values!H10&lt;=50000,Calorific_Values!H10&gt;=40000),"TRUE","FALSE"),"TRUE")</f>
        <v>TRUE</v>
      </c>
      <c r="H33" s="99" t="str">
        <f>IF('1d_Cooking'!I10&gt;0,IF(AND(Calorific_Values!I10&lt;=50000,Calorific_Values!I10&gt;=40000),"TRUE","FALSE"),"TRUE")</f>
        <v>TRUE</v>
      </c>
      <c r="I33" s="99" t="str">
        <f>IF('1d_Cooking'!J10&gt;0,IF(AND(Calorific_Values!J10&lt;=50000,Calorific_Values!J10&gt;=40000),"TRUE","FALSE"),"TRUE")</f>
        <v>TRUE</v>
      </c>
      <c r="J33" s="99" t="str">
        <f>IF('1d_Cooking'!K10&gt;0,IF(AND(Calorific_Values!K10&lt;=50000,Calorific_Values!K10&gt;=40000),"TRUE","FALSE"),"TRUE")</f>
        <v>TRUE</v>
      </c>
      <c r="K33" s="99" t="str">
        <f>IF('1d_Cooking'!L10&gt;0,IF(AND(Calorific_Values!L10&lt;=50000,Calorific_Values!L10&gt;=40000),"TRUE","FALSE"),"TRUE")</f>
        <v>TRUE</v>
      </c>
      <c r="L33" s="99" t="str">
        <f>IF('1d_Cooking'!M10&gt;0,IF(AND(Calorific_Values!M10&lt;=50000,Calorific_Values!M10&gt;=40000),"TRUE","FALSE"),"TRUE")</f>
        <v>TRUE</v>
      </c>
      <c r="M33" s="99" t="str">
        <f>IF('1d_Cooking'!N10&gt;0,IF(AND(Calorific_Values!N10&lt;=50000,Calorific_Values!N10&gt;=40000),"TRUE","FALSE"),"TRUE")</f>
        <v>TRUE</v>
      </c>
      <c r="N33" s="99" t="str">
        <f>IF('1d_Cooking'!O10&gt;0,IF(AND(Calorific_Values!O10&lt;=50000,Calorific_Values!O10&gt;=40000),"TRUE","FALSE"),"TRUE")</f>
        <v>TRUE</v>
      </c>
    </row>
    <row r="34" spans="1:14" x14ac:dyDescent="0.25">
      <c r="A34" t="s">
        <v>154</v>
      </c>
      <c r="B34" t="s">
        <v>164</v>
      </c>
      <c r="C34" s="99" t="str">
        <f>IF('1d_Cooking'!D11&gt;0,IF(AND(Calorific_Values!D11&lt;=50000,Calorific_Values!D11&gt;=4000),"TRUE","FALSE"),"TRUE")</f>
        <v>TRUE</v>
      </c>
      <c r="D34" s="99" t="str">
        <f>IF('1d_Cooking'!E11&gt;0,IF(AND(Calorific_Values!E11&lt;=50000,Calorific_Values!E11&gt;=4000),"TRUE","FALSE"),"TRUE")</f>
        <v>TRUE</v>
      </c>
      <c r="E34" s="99" t="str">
        <f>IF('1d_Cooking'!F11&gt;0,IF(AND(Calorific_Values!F11&lt;=50000,Calorific_Values!F11&gt;=4000),"TRUE","FALSE"),"TRUE")</f>
        <v>TRUE</v>
      </c>
      <c r="F34" s="99" t="str">
        <f>IF('1d_Cooking'!G11&gt;0,IF(AND(Calorific_Values!G11&lt;=50000,Calorific_Values!G11&gt;=4000),"TRUE","FALSE"),"TRUE")</f>
        <v>TRUE</v>
      </c>
      <c r="G34" s="99" t="str">
        <f>IF('1d_Cooking'!H11&gt;0,IF(AND(Calorific_Values!H11&lt;=50000,Calorific_Values!H11&gt;=4000),"TRUE","FALSE"),"TRUE")</f>
        <v>TRUE</v>
      </c>
      <c r="H34" s="99" t="str">
        <f>IF('1d_Cooking'!I11&gt;0,IF(AND(Calorific_Values!I11&lt;=50000,Calorific_Values!I11&gt;=4000),"TRUE","FALSE"),"TRUE")</f>
        <v>TRUE</v>
      </c>
      <c r="I34" s="99" t="str">
        <f>IF('1d_Cooking'!J11&gt;0,IF(AND(Calorific_Values!J11&lt;=50000,Calorific_Values!J11&gt;=4000),"TRUE","FALSE"),"TRUE")</f>
        <v>TRUE</v>
      </c>
      <c r="J34" s="99" t="str">
        <f>IF('1d_Cooking'!K11&gt;0,IF(AND(Calorific_Values!K11&lt;=50000,Calorific_Values!K11&gt;=4000),"TRUE","FALSE"),"TRUE")</f>
        <v>TRUE</v>
      </c>
      <c r="K34" s="99" t="str">
        <f>IF('1d_Cooking'!L11&gt;0,IF(AND(Calorific_Values!L11&lt;=50000,Calorific_Values!L11&gt;=4000),"TRUE","FALSE"),"TRUE")</f>
        <v>TRUE</v>
      </c>
      <c r="L34" s="99" t="str">
        <f>IF('1d_Cooking'!M11&gt;0,IF(AND(Calorific_Values!M11&lt;=50000,Calorific_Values!M11&gt;=4000),"TRUE","FALSE"),"TRUE")</f>
        <v>TRUE</v>
      </c>
      <c r="M34" s="99" t="str">
        <f>IF('1d_Cooking'!N11&gt;0,IF(AND(Calorific_Values!N11&lt;=50000,Calorific_Values!N11&gt;=4000),"TRUE","FALSE"),"TRUE")</f>
        <v>TRUE</v>
      </c>
      <c r="N34" s="99" t="str">
        <f>IF('1d_Cooking'!O11&gt;0,IF(AND(Calorific_Values!O11&lt;=50000,Calorific_Values!O11&gt;=4000),"TRUE","FALSE"),"TRUE")</f>
        <v>TRUE</v>
      </c>
    </row>
    <row r="35" spans="1:14" x14ac:dyDescent="0.25">
      <c r="A35" t="s">
        <v>154</v>
      </c>
      <c r="B35" t="s">
        <v>165</v>
      </c>
      <c r="C35" s="99" t="str">
        <f>IF('1d_Cooking'!D12&gt;0,IF(AND(Calorific_Values!D12&lt;=45000,Calorific_Values!D12&gt;=40000),"TRUE","FALSE"),"TRUE")</f>
        <v>TRUE</v>
      </c>
      <c r="D35" s="99" t="str">
        <f>IF('1d_Cooking'!E12&gt;0,IF(AND(Calorific_Values!E12&lt;=45000,Calorific_Values!E12&gt;=40000),"TRUE","FALSE"),"TRUE")</f>
        <v>TRUE</v>
      </c>
      <c r="E35" s="99" t="str">
        <f>IF('1d_Cooking'!F12&gt;0,IF(AND(Calorific_Values!F12&lt;=45000,Calorific_Values!F12&gt;=40000),"TRUE","FALSE"),"TRUE")</f>
        <v>TRUE</v>
      </c>
      <c r="F35" s="99" t="str">
        <f>IF('1d_Cooking'!G12&gt;0,IF(AND(Calorific_Values!G12&lt;=45000,Calorific_Values!G12&gt;=40000),"TRUE","FALSE"),"TRUE")</f>
        <v>TRUE</v>
      </c>
      <c r="G35" s="99" t="str">
        <f>IF('1d_Cooking'!H12&gt;0,IF(AND(Calorific_Values!H12&lt;=45000,Calorific_Values!H12&gt;=40000),"TRUE","FALSE"),"TRUE")</f>
        <v>TRUE</v>
      </c>
      <c r="H35" s="99" t="str">
        <f>IF('1d_Cooking'!I12&gt;0,IF(AND(Calorific_Values!I12&lt;=45000,Calorific_Values!I12&gt;=40000),"TRUE","FALSE"),"TRUE")</f>
        <v>TRUE</v>
      </c>
      <c r="I35" s="99" t="str">
        <f>IF('1d_Cooking'!J12&gt;0,IF(AND(Calorific_Values!J12&lt;=45000,Calorific_Values!J12&gt;=40000),"TRUE","FALSE"),"TRUE")</f>
        <v>TRUE</v>
      </c>
      <c r="J35" s="99" t="str">
        <f>IF('1d_Cooking'!K12&gt;0,IF(AND(Calorific_Values!K12&lt;=45000,Calorific_Values!K12&gt;=40000),"TRUE","FALSE"),"TRUE")</f>
        <v>TRUE</v>
      </c>
      <c r="K35" s="99" t="str">
        <f>IF('1d_Cooking'!L12&gt;0,IF(AND(Calorific_Values!L12&lt;=45000,Calorific_Values!L12&gt;=40000),"TRUE","FALSE"),"TRUE")</f>
        <v>TRUE</v>
      </c>
      <c r="L35" s="99" t="str">
        <f>IF('1d_Cooking'!M12&gt;0,IF(AND(Calorific_Values!M12&lt;=45000,Calorific_Values!M12&gt;=40000),"TRUE","FALSE"),"TRUE")</f>
        <v>TRUE</v>
      </c>
      <c r="M35" s="99" t="str">
        <f>IF('1d_Cooking'!N12&gt;0,IF(AND(Calorific_Values!N12&lt;=45000,Calorific_Values!N12&gt;=40000),"TRUE","FALSE"),"TRUE")</f>
        <v>TRUE</v>
      </c>
      <c r="N35" s="99" t="str">
        <f>IF('1d_Cooking'!O12&gt;0,IF(AND(Calorific_Values!O12&lt;=45000,Calorific_Values!O12&gt;=40000),"TRUE","FALSE"),"TRUE")</f>
        <v>TRUE</v>
      </c>
    </row>
    <row r="36" spans="1:14" x14ac:dyDescent="0.25">
      <c r="A36" t="s">
        <v>154</v>
      </c>
      <c r="B36" t="s">
        <v>166</v>
      </c>
      <c r="C36" s="99" t="str">
        <f>IF('1d_Cooking'!D13&gt;0,IF(AND(Calorific_Values!D13&lt;=45000,Calorific_Values!D13&gt;=40000),"TRUE","FALSE"),"TRUE")</f>
        <v>TRUE</v>
      </c>
      <c r="D36" s="99" t="str">
        <f>IF('1d_Cooking'!E13&gt;0,IF(AND(Calorific_Values!E13&lt;=45000,Calorific_Values!E13&gt;=40000),"TRUE","FALSE"),"TRUE")</f>
        <v>TRUE</v>
      </c>
      <c r="E36" s="99" t="str">
        <f>IF('1d_Cooking'!F13&gt;0,IF(AND(Calorific_Values!F13&lt;=45000,Calorific_Values!F13&gt;=40000),"TRUE","FALSE"),"TRUE")</f>
        <v>TRUE</v>
      </c>
      <c r="F36" s="99" t="str">
        <f>IF('1d_Cooking'!G13&gt;0,IF(AND(Calorific_Values!G13&lt;=45000,Calorific_Values!G13&gt;=40000),"TRUE","FALSE"),"TRUE")</f>
        <v>TRUE</v>
      </c>
      <c r="G36" s="99" t="str">
        <f>IF('1d_Cooking'!H13&gt;0,IF(AND(Calorific_Values!H13&lt;=45000,Calorific_Values!H13&gt;=40000),"TRUE","FALSE"),"TRUE")</f>
        <v>TRUE</v>
      </c>
      <c r="H36" s="99" t="str">
        <f>IF('1d_Cooking'!I13&gt;0,IF(AND(Calorific_Values!I13&lt;=45000,Calorific_Values!I13&gt;=40000),"TRUE","FALSE"),"TRUE")</f>
        <v>TRUE</v>
      </c>
      <c r="I36" s="99" t="str">
        <f>IF('1d_Cooking'!J13&gt;0,IF(AND(Calorific_Values!J13&lt;=45000,Calorific_Values!J13&gt;=40000),"TRUE","FALSE"),"TRUE")</f>
        <v>TRUE</v>
      </c>
      <c r="J36" s="99" t="str">
        <f>IF('1d_Cooking'!K13&gt;0,IF(AND(Calorific_Values!K13&lt;=45000,Calorific_Values!K13&gt;=40000),"TRUE","FALSE"),"TRUE")</f>
        <v>TRUE</v>
      </c>
      <c r="K36" s="99" t="str">
        <f>IF('1d_Cooking'!L13&gt;0,IF(AND(Calorific_Values!L13&lt;=45000,Calorific_Values!L13&gt;=40000),"TRUE","FALSE"),"TRUE")</f>
        <v>TRUE</v>
      </c>
      <c r="L36" s="99" t="str">
        <f>IF('1d_Cooking'!M13&gt;0,IF(AND(Calorific_Values!M13&lt;=45000,Calorific_Values!M13&gt;=40000),"TRUE","FALSE"),"TRUE")</f>
        <v>TRUE</v>
      </c>
      <c r="M36" s="99" t="str">
        <f>IF('1d_Cooking'!N13&gt;0,IF(AND(Calorific_Values!N13&lt;=45000,Calorific_Values!N13&gt;=40000),"TRUE","FALSE"),"TRUE")</f>
        <v>TRUE</v>
      </c>
      <c r="N36" s="99" t="str">
        <f>IF('1d_Cooking'!O13&gt;0,IF(AND(Calorific_Values!O13&lt;=45000,Calorific_Values!O13&gt;=40000),"TRUE","FALSE"),"TRUE")</f>
        <v>TRUE</v>
      </c>
    </row>
    <row r="37" spans="1:14" x14ac:dyDescent="0.25">
      <c r="A37" t="s">
        <v>155</v>
      </c>
      <c r="B37" t="s">
        <v>167</v>
      </c>
      <c r="C37" s="99" t="str">
        <f>IF('1f_OtherEndUses'!D9&gt;0,IF(AND(Calorific_Values!D9&lt;=30000,Calorific_Values!D9&gt;=5000),"TRUE","FALSE"),"TRUE")</f>
        <v>TRUE</v>
      </c>
      <c r="D37" s="99" t="str">
        <f>IF('1f_OtherEndUses'!E9&gt;0,IF(AND(Calorific_Values!E9&lt;=30000,Calorific_Values!E9&gt;=5000),"TRUE","FALSE"),"TRUE")</f>
        <v>TRUE</v>
      </c>
      <c r="E37" s="99" t="str">
        <f>IF('1f_OtherEndUses'!F9&gt;0,IF(AND(Calorific_Values!F9&lt;=30000,Calorific_Values!F9&gt;=5000),"TRUE","FALSE"),"TRUE")</f>
        <v>TRUE</v>
      </c>
      <c r="F37" s="99" t="str">
        <f>IF('1f_OtherEndUses'!G9&gt;0,IF(AND(Calorific_Values!G9&lt;=30000,Calorific_Values!G9&gt;=5000),"TRUE","FALSE"),"TRUE")</f>
        <v>TRUE</v>
      </c>
      <c r="G37" s="99" t="str">
        <f>IF('1f_OtherEndUses'!H9&gt;0,IF(AND(Calorific_Values!H9&lt;=30000,Calorific_Values!H9&gt;=5000),"TRUE","FALSE"),"TRUE")</f>
        <v>TRUE</v>
      </c>
      <c r="H37" s="99" t="str">
        <f>IF('1f_OtherEndUses'!I9&gt;0,IF(AND(Calorific_Values!I9&lt;=30000,Calorific_Values!I9&gt;=5000),"TRUE","FALSE"),"TRUE")</f>
        <v>TRUE</v>
      </c>
      <c r="I37" s="99" t="str">
        <f>IF('1f_OtherEndUses'!J9&gt;0,IF(AND(Calorific_Values!J9&lt;=30000,Calorific_Values!J9&gt;=5000),"TRUE","FALSE"),"TRUE")</f>
        <v>TRUE</v>
      </c>
      <c r="J37" s="99" t="str">
        <f>IF('1f_OtherEndUses'!K9&gt;0,IF(AND(Calorific_Values!K9&lt;=30000,Calorific_Values!K9&gt;=5000),"TRUE","FALSE"),"TRUE")</f>
        <v>TRUE</v>
      </c>
      <c r="K37" s="99" t="str">
        <f>IF('1f_OtherEndUses'!L9&gt;0,IF(AND(Calorific_Values!L9&lt;=30000,Calorific_Values!L9&gt;=5000),"TRUE","FALSE"),"TRUE")</f>
        <v>TRUE</v>
      </c>
      <c r="L37" s="99" t="str">
        <f>IF('1f_OtherEndUses'!M9&gt;0,IF(AND(Calorific_Values!M9&lt;=30000,Calorific_Values!M9&gt;=5000),"TRUE","FALSE"),"TRUE")</f>
        <v>TRUE</v>
      </c>
      <c r="M37" s="99" t="str">
        <f>IF('1f_OtherEndUses'!N9&gt;0,IF(AND(Calorific_Values!N9&lt;=30000,Calorific_Values!N9&gt;=5000),"TRUE","FALSE"),"TRUE")</f>
        <v>TRUE</v>
      </c>
      <c r="N37" s="99" t="str">
        <f>IF('1f_OtherEndUses'!O9&gt;0,IF(AND(Calorific_Values!O9&lt;=30000,Calorific_Values!O9&gt;=5000),"TRUE","FALSE"),"TRUE")</f>
        <v>TRUE</v>
      </c>
    </row>
    <row r="38" spans="1:14" x14ac:dyDescent="0.25">
      <c r="A38" t="s">
        <v>155</v>
      </c>
      <c r="B38" t="s">
        <v>168</v>
      </c>
      <c r="C38" s="99" t="str">
        <f>IF('1f_OtherEndUses'!D10&gt;0,IF(AND(Calorific_Values!D10&lt;=50000,Calorific_Values!D10&gt;=40000),"TRUE","FALSE"),"TRUE")</f>
        <v>TRUE</v>
      </c>
      <c r="D38" s="99" t="str">
        <f>IF('1f_OtherEndUses'!E10&gt;0,IF(AND(Calorific_Values!E10&lt;=50000,Calorific_Values!E10&gt;=40000),"TRUE","FALSE"),"TRUE")</f>
        <v>TRUE</v>
      </c>
      <c r="E38" s="99" t="str">
        <f>IF('1f_OtherEndUses'!F10&gt;0,IF(AND(Calorific_Values!F10&lt;=50000,Calorific_Values!F10&gt;=40000),"TRUE","FALSE"),"TRUE")</f>
        <v>TRUE</v>
      </c>
      <c r="F38" s="99" t="str">
        <f>IF('1f_OtherEndUses'!G10&gt;0,IF(AND(Calorific_Values!G10&lt;=50000,Calorific_Values!G10&gt;=40000),"TRUE","FALSE"),"TRUE")</f>
        <v>TRUE</v>
      </c>
      <c r="G38" s="99" t="str">
        <f>IF('1f_OtherEndUses'!H10&gt;0,IF(AND(Calorific_Values!H10&lt;=50000,Calorific_Values!H10&gt;=40000),"TRUE","FALSE"),"TRUE")</f>
        <v>TRUE</v>
      </c>
      <c r="H38" s="99" t="str">
        <f>IF('1f_OtherEndUses'!I10&gt;0,IF(AND(Calorific_Values!I10&lt;=50000,Calorific_Values!I10&gt;=40000),"TRUE","FALSE"),"TRUE")</f>
        <v>TRUE</v>
      </c>
      <c r="I38" s="99" t="str">
        <f>IF('1f_OtherEndUses'!J10&gt;0,IF(AND(Calorific_Values!J10&lt;=50000,Calorific_Values!J10&gt;=40000),"TRUE","FALSE"),"TRUE")</f>
        <v>TRUE</v>
      </c>
      <c r="J38" s="99" t="str">
        <f>IF('1f_OtherEndUses'!K10&gt;0,IF(AND(Calorific_Values!K10&lt;=50000,Calorific_Values!K10&gt;=40000),"TRUE","FALSE"),"TRUE")</f>
        <v>TRUE</v>
      </c>
      <c r="K38" s="99" t="str">
        <f>IF('1f_OtherEndUses'!L10&gt;0,IF(AND(Calorific_Values!L10&lt;=50000,Calorific_Values!L10&gt;=40000),"TRUE","FALSE"),"TRUE")</f>
        <v>TRUE</v>
      </c>
      <c r="L38" s="99" t="str">
        <f>IF('1f_OtherEndUses'!M10&gt;0,IF(AND(Calorific_Values!M10&lt;=50000,Calorific_Values!M10&gt;=40000),"TRUE","FALSE"),"TRUE")</f>
        <v>TRUE</v>
      </c>
      <c r="M38" s="99" t="str">
        <f>IF('1f_OtherEndUses'!N10&gt;0,IF(AND(Calorific_Values!N10&lt;=50000,Calorific_Values!N10&gt;=40000),"TRUE","FALSE"),"TRUE")</f>
        <v>TRUE</v>
      </c>
      <c r="N38" s="99" t="str">
        <f>IF('1f_OtherEndUses'!O10&gt;0,IF(AND(Calorific_Values!O10&lt;=50000,Calorific_Values!O10&gt;=40000),"TRUE","FALSE"),"TRUE")</f>
        <v>TRUE</v>
      </c>
    </row>
    <row r="39" spans="1:14" x14ac:dyDescent="0.25">
      <c r="A39" t="s">
        <v>155</v>
      </c>
      <c r="B39" t="s">
        <v>164</v>
      </c>
      <c r="C39" s="99" t="str">
        <f>IF('1f_OtherEndUses'!D11&gt;0,IF(AND(Calorific_Values!D11&lt;=50000,Calorific_Values!D11&gt;=40000),"TRUE","FALSE"),"TRUE")</f>
        <v>TRUE</v>
      </c>
      <c r="D39" s="99" t="str">
        <f>IF('1f_OtherEndUses'!E11&gt;0,IF(AND(Calorific_Values!E11&lt;=50000,Calorific_Values!E11&gt;=40000),"TRUE","FALSE"),"TRUE")</f>
        <v>TRUE</v>
      </c>
      <c r="E39" s="99" t="str">
        <f>IF('1f_OtherEndUses'!F11&gt;0,IF(AND(Calorific_Values!F11&lt;=50000,Calorific_Values!F11&gt;=40000),"TRUE","FALSE"),"TRUE")</f>
        <v>TRUE</v>
      </c>
      <c r="F39" s="99" t="str">
        <f>IF('1f_OtherEndUses'!G11&gt;0,IF(AND(Calorific_Values!G11&lt;=50000,Calorific_Values!G11&gt;=40000),"TRUE","FALSE"),"TRUE")</f>
        <v>TRUE</v>
      </c>
      <c r="G39" s="99" t="str">
        <f>IF('1f_OtherEndUses'!H11&gt;0,IF(AND(Calorific_Values!H11&lt;=50000,Calorific_Values!H11&gt;=40000),"TRUE","FALSE"),"TRUE")</f>
        <v>TRUE</v>
      </c>
      <c r="H39" s="99" t="str">
        <f>IF('1f_OtherEndUses'!I11&gt;0,IF(AND(Calorific_Values!I11&lt;=50000,Calorific_Values!I11&gt;=40000),"TRUE","FALSE"),"TRUE")</f>
        <v>TRUE</v>
      </c>
      <c r="I39" s="99" t="str">
        <f>IF('1f_OtherEndUses'!J11&gt;0,IF(AND(Calorific_Values!J11&lt;=50000,Calorific_Values!J11&gt;=40000),"TRUE","FALSE"),"TRUE")</f>
        <v>TRUE</v>
      </c>
      <c r="J39" s="99" t="str">
        <f>IF('1f_OtherEndUses'!K11&gt;0,IF(AND(Calorific_Values!K11&lt;=50000,Calorific_Values!K11&gt;=40000),"TRUE","FALSE"),"TRUE")</f>
        <v>TRUE</v>
      </c>
      <c r="K39" s="99" t="str">
        <f>IF('1f_OtherEndUses'!L11&gt;0,IF(AND(Calorific_Values!L11&lt;=50000,Calorific_Values!L11&gt;=40000),"TRUE","FALSE"),"TRUE")</f>
        <v>TRUE</v>
      </c>
      <c r="L39" s="99" t="str">
        <f>IF('1f_OtherEndUses'!M11&gt;0,IF(AND(Calorific_Values!M11&lt;=50000,Calorific_Values!M11&gt;=40000),"TRUE","FALSE"),"TRUE")</f>
        <v>TRUE</v>
      </c>
      <c r="M39" s="99" t="str">
        <f>IF('1f_OtherEndUses'!N11&gt;0,IF(AND(Calorific_Values!N11&lt;=50000,Calorific_Values!N11&gt;=40000),"TRUE","FALSE"),"TRUE")</f>
        <v>TRUE</v>
      </c>
      <c r="N39" s="99" t="str">
        <f>IF('1f_OtherEndUses'!O11&gt;0,IF(AND(Calorific_Values!O11&lt;=50000,Calorific_Values!O11&gt;=40000),"TRUE","FALSE"),"TRUE")</f>
        <v>TRUE</v>
      </c>
    </row>
    <row r="40" spans="1:14" x14ac:dyDescent="0.25">
      <c r="A40" t="s">
        <v>155</v>
      </c>
      <c r="B40" t="s">
        <v>165</v>
      </c>
      <c r="C40" s="99" t="str">
        <f>IF('1f_OtherEndUses'!D12&gt;0,IF(AND(Calorific_Values!D12&lt;=45000,Calorific_Values!D12&gt;=40000),"TRUE","FALSE"),"TRUE")</f>
        <v>TRUE</v>
      </c>
      <c r="D40" s="99" t="str">
        <f>IF('1f_OtherEndUses'!E12&gt;0,IF(AND(Calorific_Values!E12&lt;=45000,Calorific_Values!E12&gt;=40000),"TRUE","FALSE"),"TRUE")</f>
        <v>TRUE</v>
      </c>
      <c r="E40" s="99" t="str">
        <f>IF('1f_OtherEndUses'!F12&gt;0,IF(AND(Calorific_Values!F12&lt;=45000,Calorific_Values!F12&gt;=40000),"TRUE","FALSE"),"TRUE")</f>
        <v>TRUE</v>
      </c>
      <c r="F40" s="99" t="str">
        <f>IF('1f_OtherEndUses'!G12&gt;0,IF(AND(Calorific_Values!G12&lt;=45000,Calorific_Values!G12&gt;=40000),"TRUE","FALSE"),"TRUE")</f>
        <v>TRUE</v>
      </c>
      <c r="G40" s="99" t="str">
        <f>IF('1f_OtherEndUses'!H12&gt;0,IF(AND(Calorific_Values!H12&lt;=45000,Calorific_Values!H12&gt;=40000),"TRUE","FALSE"),"TRUE")</f>
        <v>TRUE</v>
      </c>
      <c r="H40" s="99" t="str">
        <f>IF('1f_OtherEndUses'!I12&gt;0,IF(AND(Calorific_Values!I12&lt;=45000,Calorific_Values!I12&gt;=40000),"TRUE","FALSE"),"TRUE")</f>
        <v>TRUE</v>
      </c>
      <c r="I40" s="99" t="str">
        <f>IF('1f_OtherEndUses'!J12&gt;0,IF(AND(Calorific_Values!J12&lt;=45000,Calorific_Values!J12&gt;=40000),"TRUE","FALSE"),"TRUE")</f>
        <v>TRUE</v>
      </c>
      <c r="J40" s="99" t="str">
        <f>IF('1f_OtherEndUses'!K12&gt;0,IF(AND(Calorific_Values!K12&lt;=45000,Calorific_Values!K12&gt;=40000),"TRUE","FALSE"),"TRUE")</f>
        <v>TRUE</v>
      </c>
      <c r="K40" s="99" t="str">
        <f>IF('1f_OtherEndUses'!L12&gt;0,IF(AND(Calorific_Values!L12&lt;=45000,Calorific_Values!L12&gt;=40000),"TRUE","FALSE"),"TRUE")</f>
        <v>TRUE</v>
      </c>
      <c r="L40" s="99" t="str">
        <f>IF('1f_OtherEndUses'!M12&gt;0,IF(AND(Calorific_Values!M12&lt;=45000,Calorific_Values!M12&gt;=40000),"TRUE","FALSE"),"TRUE")</f>
        <v>TRUE</v>
      </c>
      <c r="M40" s="99" t="str">
        <f>IF('1f_OtherEndUses'!N12&gt;0,IF(AND(Calorific_Values!N12&lt;=45000,Calorific_Values!N12&gt;=40000),"TRUE","FALSE"),"TRUE")</f>
        <v>TRUE</v>
      </c>
      <c r="N40" s="99" t="str">
        <f>IF('1f_OtherEndUses'!O12&gt;0,IF(AND(Calorific_Values!O12&lt;=45000,Calorific_Values!O12&gt;=40000),"TRUE","FALSE"),"TRUE")</f>
        <v>TRUE</v>
      </c>
    </row>
    <row r="41" spans="1:14" x14ac:dyDescent="0.25">
      <c r="A41" t="s">
        <v>155</v>
      </c>
      <c r="B41" t="s">
        <v>166</v>
      </c>
      <c r="C41" s="99" t="str">
        <f>IF('1f_OtherEndUses'!D13&gt;0,IF(AND(Calorific_Values!D13&lt;=45000,Calorific_Values!D13&gt;=40000),"TRUE","FALSE"),"TRUE")</f>
        <v>TRUE</v>
      </c>
      <c r="D41" s="99" t="str">
        <f>IF('1f_OtherEndUses'!E13&gt;0,IF(AND(Calorific_Values!E13&lt;=45000,Calorific_Values!E13&gt;=40000),"TRUE","FALSE"),"TRUE")</f>
        <v>TRUE</v>
      </c>
      <c r="E41" s="99" t="str">
        <f>IF('1f_OtherEndUses'!F13&gt;0,IF(AND(Calorific_Values!F13&lt;=45000,Calorific_Values!F13&gt;=40000),"TRUE","FALSE"),"TRUE")</f>
        <v>TRUE</v>
      </c>
      <c r="F41" s="99" t="str">
        <f>IF('1f_OtherEndUses'!G13&gt;0,IF(AND(Calorific_Values!G13&lt;=45000,Calorific_Values!G13&gt;=40000),"TRUE","FALSE"),"TRUE")</f>
        <v>TRUE</v>
      </c>
      <c r="G41" s="99" t="str">
        <f>IF('1f_OtherEndUses'!H13&gt;0,IF(AND(Calorific_Values!H13&lt;=45000,Calorific_Values!H13&gt;=40000),"TRUE","FALSE"),"TRUE")</f>
        <v>TRUE</v>
      </c>
      <c r="H41" s="99" t="str">
        <f>IF('1f_OtherEndUses'!I13&gt;0,IF(AND(Calorific_Values!I13&lt;=45000,Calorific_Values!I13&gt;=40000),"TRUE","FALSE"),"TRUE")</f>
        <v>TRUE</v>
      </c>
      <c r="I41" s="99" t="str">
        <f>IF('1f_OtherEndUses'!J13&gt;0,IF(AND(Calorific_Values!J13&lt;=45000,Calorific_Values!J13&gt;=40000),"TRUE","FALSE"),"TRUE")</f>
        <v>TRUE</v>
      </c>
      <c r="J41" s="99" t="str">
        <f>IF('1f_OtherEndUses'!K13&gt;0,IF(AND(Calorific_Values!K13&lt;=45000,Calorific_Values!K13&gt;=40000),"TRUE","FALSE"),"TRUE")</f>
        <v>TRUE</v>
      </c>
      <c r="K41" s="99" t="str">
        <f>IF('1f_OtherEndUses'!L13&gt;0,IF(AND(Calorific_Values!L13&lt;=45000,Calorific_Values!L13&gt;=40000),"TRUE","FALSE"),"TRUE")</f>
        <v>TRUE</v>
      </c>
      <c r="L41" s="99" t="str">
        <f>IF('1f_OtherEndUses'!M13&gt;0,IF(AND(Calorific_Values!M13&lt;=45000,Calorific_Values!M13&gt;=40000),"TRUE","FALSE"),"TRUE")</f>
        <v>TRUE</v>
      </c>
      <c r="M41" s="99" t="str">
        <f>IF('1f_OtherEndUses'!N13&gt;0,IF(AND(Calorific_Values!N13&lt;=45000,Calorific_Values!N13&gt;=40000),"TRUE","FALSE"),"TRUE")</f>
        <v>TRUE</v>
      </c>
      <c r="N41" s="99" t="str">
        <f>IF('1f_OtherEndUses'!O13&gt;0,IF(AND(Calorific_Values!O13&lt;=45000,Calorific_Values!O13&gt;=40000),"TRUE","FALSE"),"TRUE")</f>
        <v>TRUE</v>
      </c>
    </row>
    <row r="42" spans="1:14" x14ac:dyDescent="0.25">
      <c r="A42" t="s">
        <v>158</v>
      </c>
      <c r="B42" t="s">
        <v>173</v>
      </c>
      <c r="C42" s="99" t="str">
        <f>IF(Calorific_Values!D9&lt;&gt;0,IF(AND(5000&lt;=Calorific_Values!D9,Calorific_Values!D9&lt;=30000),"TRUE","FALSE"),"")</f>
        <v/>
      </c>
      <c r="D42" s="99" t="str">
        <f>IF(Calorific_Values!E9&lt;&gt;0,IF(AND(5000&lt;=Calorific_Values!E9,Calorific_Values!E9&lt;=30000),"TRUE","FALSE"),"")</f>
        <v/>
      </c>
      <c r="E42" s="99" t="str">
        <f>IF(Calorific_Values!F9&lt;&gt;0,IF(AND(5000&lt;=Calorific_Values!F9,Calorific_Values!F9&lt;=30000),"TRUE","FALSE"),"")</f>
        <v/>
      </c>
      <c r="F42" s="99" t="str">
        <f>IF(Calorific_Values!G9&lt;&gt;0,IF(AND(5000&lt;=Calorific_Values!G9,Calorific_Values!G9&lt;=30000),"TRUE","FALSE"),"")</f>
        <v/>
      </c>
      <c r="G42" s="99" t="str">
        <f>IF(Calorific_Values!H9&lt;&gt;0,IF(AND(5000&lt;=Calorific_Values!H9,Calorific_Values!H9&lt;=30000),"TRUE","FALSE"),"")</f>
        <v/>
      </c>
      <c r="H42" s="99" t="str">
        <f>IF(Calorific_Values!I9&lt;&gt;0,IF(AND(5000&lt;=Calorific_Values!I9,Calorific_Values!I9&lt;=30000),"TRUE","FALSE"),"")</f>
        <v/>
      </c>
      <c r="I42" s="99" t="str">
        <f>IF(Calorific_Values!J9&lt;&gt;0,IF(AND(5000&lt;=Calorific_Values!J9,Calorific_Values!J9&lt;=30000),"TRUE","FALSE"),"")</f>
        <v/>
      </c>
      <c r="J42" s="99" t="str">
        <f>IF(Calorific_Values!K9&lt;&gt;0,IF(AND(5000&lt;=Calorific_Values!K9,Calorific_Values!K9&lt;=30000),"TRUE","FALSE"),"")</f>
        <v/>
      </c>
      <c r="K42" s="99" t="str">
        <f>IF(Calorific_Values!L9&lt;&gt;0,IF(AND(5000&lt;=Calorific_Values!L9,Calorific_Values!L9&lt;=30000),"TRUE","FALSE"),"")</f>
        <v/>
      </c>
      <c r="L42" s="99" t="str">
        <f>IF(Calorific_Values!M9&lt;&gt;0,IF(AND(5000&lt;=Calorific_Values!M9,Calorific_Values!M9&lt;=30000),"TRUE","FALSE"),"")</f>
        <v/>
      </c>
      <c r="M42" s="99" t="str">
        <f>IF(Calorific_Values!N9&lt;&gt;0,IF(AND(5000&lt;=Calorific_Values!N9,Calorific_Values!N9&lt;=30000),"TRUE","FALSE"),"")</f>
        <v/>
      </c>
      <c r="N42" s="99" t="str">
        <f>IF(Calorific_Values!O9&lt;&gt;0,IF(AND(5000&lt;=Calorific_Values!O9,Calorific_Values!O9&lt;=30000),"TRUE","FALSE"),"")</f>
        <v/>
      </c>
    </row>
    <row r="43" spans="1:14" x14ac:dyDescent="0.25">
      <c r="A43" t="s">
        <v>158</v>
      </c>
      <c r="B43" t="s">
        <v>174</v>
      </c>
      <c r="C43" s="99" t="str">
        <f>IF(Calorific_Values!D10&lt;&gt;0,IF(AND(40000&lt;=Calorific_Values!D10,Calorific_Values!D10&lt;=50000),"TRUE","FALSE"),"")</f>
        <v>TRUE</v>
      </c>
      <c r="D43" s="99" t="str">
        <f>IF(Calorific_Values!E10&lt;&gt;0,IF(AND(40000&lt;=Calorific_Values!E10,Calorific_Values!E10&lt;=50000),"TRUE","FALSE"),"")</f>
        <v>TRUE</v>
      </c>
      <c r="E43" s="99" t="str">
        <f>IF(Calorific_Values!F10&lt;&gt;0,IF(AND(40000&lt;=Calorific_Values!F10,Calorific_Values!F10&lt;=50000),"TRUE","FALSE"),"")</f>
        <v>TRUE</v>
      </c>
      <c r="F43" s="99" t="str">
        <f>IF(Calorific_Values!G10&lt;&gt;0,IF(AND(40000&lt;=Calorific_Values!G10,Calorific_Values!G10&lt;=50000),"TRUE","FALSE"),"")</f>
        <v>TRUE</v>
      </c>
      <c r="G43" s="99" t="str">
        <f>IF(Calorific_Values!H10&lt;&gt;0,IF(AND(40000&lt;=Calorific_Values!H10,Calorific_Values!H10&lt;=50000),"TRUE","FALSE"),"")</f>
        <v>TRUE</v>
      </c>
      <c r="H43" s="99" t="str">
        <f>IF(Calorific_Values!I10&lt;&gt;0,IF(AND(40000&lt;=Calorific_Values!I10,Calorific_Values!I10&lt;=50000),"TRUE","FALSE"),"")</f>
        <v>TRUE</v>
      </c>
      <c r="I43" s="99" t="str">
        <f>IF(Calorific_Values!J10&lt;&gt;0,IF(AND(40000&lt;=Calorific_Values!J10,Calorific_Values!J10&lt;=50000),"TRUE","FALSE"),"")</f>
        <v>TRUE</v>
      </c>
      <c r="J43" s="99" t="str">
        <f>IF(Calorific_Values!K10&lt;&gt;0,IF(AND(40000&lt;=Calorific_Values!K10,Calorific_Values!K10&lt;=50000),"TRUE","FALSE"),"")</f>
        <v>TRUE</v>
      </c>
      <c r="K43" s="99" t="str">
        <f>IF(Calorific_Values!L10&lt;&gt;0,IF(AND(40000&lt;=Calorific_Values!L10,Calorific_Values!L10&lt;=50000),"TRUE","FALSE"),"")</f>
        <v>TRUE</v>
      </c>
      <c r="L43" s="99" t="str">
        <f>IF(Calorific_Values!M10&lt;&gt;0,IF(AND(40000&lt;=Calorific_Values!M10,Calorific_Values!M10&lt;=50000),"TRUE","FALSE"),"")</f>
        <v/>
      </c>
      <c r="M43" s="99" t="str">
        <f>IF(Calorific_Values!N10&lt;&gt;0,IF(AND(40000&lt;=Calorific_Values!N10,Calorific_Values!N10&lt;=50000),"TRUE","FALSE"),"")</f>
        <v/>
      </c>
      <c r="N43" s="99" t="str">
        <f>IF(Calorific_Values!O10&lt;&gt;0,IF(AND(40000&lt;=Calorific_Values!O10,Calorific_Values!O10&lt;=50000),"TRUE","FALSE"),"")</f>
        <v/>
      </c>
    </row>
    <row r="44" spans="1:14" x14ac:dyDescent="0.25">
      <c r="A44" t="s">
        <v>158</v>
      </c>
      <c r="B44" t="s">
        <v>175</v>
      </c>
      <c r="C44" s="99" t="str">
        <f>IF(Calorific_Values!D11&lt;&gt;0,IF(AND(40000&lt;=Calorific_Values!D11,Calorific_Values!D11&lt;=50000),"TRUE","FALSE"),"")</f>
        <v>TRUE</v>
      </c>
      <c r="D44" s="99" t="str">
        <f>IF(Calorific_Values!E11&lt;&gt;0,IF(AND(40000&lt;=Calorific_Values!E11,Calorific_Values!E11&lt;=50000),"TRUE","FALSE"),"")</f>
        <v>TRUE</v>
      </c>
      <c r="E44" s="99" t="str">
        <f>IF(Calorific_Values!F11&lt;&gt;0,IF(AND(40000&lt;=Calorific_Values!F11,Calorific_Values!F11&lt;=50000),"TRUE","FALSE"),"")</f>
        <v>TRUE</v>
      </c>
      <c r="F44" s="99" t="str">
        <f>IF(Calorific_Values!G11&lt;&gt;0,IF(AND(40000&lt;=Calorific_Values!G11,Calorific_Values!G11&lt;=50000),"TRUE","FALSE"),"")</f>
        <v>TRUE</v>
      </c>
      <c r="G44" s="99" t="str">
        <f>IF(Calorific_Values!H11&lt;&gt;0,IF(AND(40000&lt;=Calorific_Values!H11,Calorific_Values!H11&lt;=50000),"TRUE","FALSE"),"")</f>
        <v>TRUE</v>
      </c>
      <c r="H44" s="99" t="str">
        <f>IF(Calorific_Values!I11&lt;&gt;0,IF(AND(40000&lt;=Calorific_Values!I11,Calorific_Values!I11&lt;=50000),"TRUE","FALSE"),"")</f>
        <v>TRUE</v>
      </c>
      <c r="I44" s="99" t="str">
        <f>IF(Calorific_Values!J11&lt;&gt;0,IF(AND(40000&lt;=Calorific_Values!J11,Calorific_Values!J11&lt;=50000),"TRUE","FALSE"),"")</f>
        <v>TRUE</v>
      </c>
      <c r="J44" s="99" t="str">
        <f>IF(Calorific_Values!K11&lt;&gt;0,IF(AND(40000&lt;=Calorific_Values!K11,Calorific_Values!K11&lt;=50000),"TRUE","FALSE"),"")</f>
        <v>TRUE</v>
      </c>
      <c r="K44" s="99" t="str">
        <f>IF(Calorific_Values!L11&lt;&gt;0,IF(AND(40000&lt;=Calorific_Values!L11,Calorific_Values!L11&lt;=50000),"TRUE","FALSE"),"")</f>
        <v>TRUE</v>
      </c>
      <c r="L44" s="99" t="str">
        <f>IF(Calorific_Values!M11&lt;&gt;0,IF(AND(40000&lt;=Calorific_Values!M11,Calorific_Values!M11&lt;=50000),"TRUE","FALSE"),"")</f>
        <v/>
      </c>
      <c r="M44" s="99" t="str">
        <f>IF(Calorific_Values!N11&lt;&gt;0,IF(AND(40000&lt;=Calorific_Values!N11,Calorific_Values!N11&lt;=50000),"TRUE","FALSE"),"")</f>
        <v/>
      </c>
      <c r="N44" s="99" t="str">
        <f>IF(Calorific_Values!O11&lt;&gt;0,IF(AND(40000&lt;=Calorific_Values!O11,Calorific_Values!O11&lt;=50000),"TRUE","FALSE"),"")</f>
        <v/>
      </c>
    </row>
    <row r="45" spans="1:14" x14ac:dyDescent="0.25">
      <c r="A45" t="s">
        <v>158</v>
      </c>
      <c r="B45" t="s">
        <v>176</v>
      </c>
      <c r="C45" s="99" t="str">
        <f>IF(Calorific_Values!D12&lt;&gt;0,IF(AND(40000&lt;=Calorific_Values!D12,Calorific_Values!D12&lt;=45000),"TRUE","FALSE"),"")</f>
        <v>TRUE</v>
      </c>
      <c r="D45" s="99" t="str">
        <f>IF(Calorific_Values!E12&lt;&gt;0,IF(AND(40000&lt;=Calorific_Values!E12,Calorific_Values!E12&lt;=45000),"TRUE","FALSE"),"")</f>
        <v>TRUE</v>
      </c>
      <c r="E45" s="99" t="str">
        <f>IF(Calorific_Values!F12&lt;&gt;0,IF(AND(40000&lt;=Calorific_Values!F12,Calorific_Values!F12&lt;=45000),"TRUE","FALSE"),"")</f>
        <v>TRUE</v>
      </c>
      <c r="F45" s="99" t="str">
        <f>IF(Calorific_Values!G12&lt;&gt;0,IF(AND(40000&lt;=Calorific_Values!G12,Calorific_Values!G12&lt;=45000),"TRUE","FALSE"),"")</f>
        <v>TRUE</v>
      </c>
      <c r="G45" s="99" t="str">
        <f>IF(Calorific_Values!H12&lt;&gt;0,IF(AND(40000&lt;=Calorific_Values!H12,Calorific_Values!H12&lt;=45000),"TRUE","FALSE"),"")</f>
        <v>TRUE</v>
      </c>
      <c r="H45" s="99" t="str">
        <f>IF(Calorific_Values!I12&lt;&gt;0,IF(AND(40000&lt;=Calorific_Values!I12,Calorific_Values!I12&lt;=45000),"TRUE","FALSE"),"")</f>
        <v>TRUE</v>
      </c>
      <c r="I45" s="99" t="str">
        <f>IF(Calorific_Values!J12&lt;&gt;0,IF(AND(40000&lt;=Calorific_Values!J12,Calorific_Values!J12&lt;=45000),"TRUE","FALSE"),"")</f>
        <v>TRUE</v>
      </c>
      <c r="J45" s="99" t="str">
        <f>IF(Calorific_Values!K12&lt;&gt;0,IF(AND(40000&lt;=Calorific_Values!K12,Calorific_Values!K12&lt;=45000),"TRUE","FALSE"),"")</f>
        <v>TRUE</v>
      </c>
      <c r="K45" s="99" t="str">
        <f>IF(Calorific_Values!L12&lt;&gt;0,IF(AND(40000&lt;=Calorific_Values!L12,Calorific_Values!L12&lt;=45000),"TRUE","FALSE"),"")</f>
        <v>TRUE</v>
      </c>
      <c r="L45" s="99" t="str">
        <f>IF(Calorific_Values!M12&lt;&gt;0,IF(AND(40000&lt;=Calorific_Values!M12,Calorific_Values!M12&lt;=45000),"TRUE","FALSE"),"")</f>
        <v/>
      </c>
      <c r="M45" s="99" t="str">
        <f>IF(Calorific_Values!N12&lt;&gt;0,IF(AND(40000&lt;=Calorific_Values!N12,Calorific_Values!N12&lt;=45000),"TRUE","FALSE"),"")</f>
        <v/>
      </c>
      <c r="N45" s="99" t="str">
        <f>IF(Calorific_Values!O12&lt;&gt;0,IF(AND(40000&lt;=Calorific_Values!O12,Calorific_Values!O12&lt;=45000),"TRUE","FALSE"),"")</f>
        <v/>
      </c>
    </row>
    <row r="46" spans="1:14" x14ac:dyDescent="0.25">
      <c r="A46" t="s">
        <v>158</v>
      </c>
      <c r="B46" t="s">
        <v>177</v>
      </c>
      <c r="C46" s="99" t="str">
        <f>IF(Calorific_Values!D13&lt;&gt;0,IF(AND(40000&lt;=Calorific_Values!D13,Calorific_Values!D13&lt;=45000),"TRUE","FALSE"),"")</f>
        <v>TRUE</v>
      </c>
      <c r="D46" s="99" t="str">
        <f>IF(Calorific_Values!E13&lt;&gt;0,IF(AND(40000&lt;=Calorific_Values!E13,Calorific_Values!E13&lt;=45000),"TRUE","FALSE"),"")</f>
        <v>TRUE</v>
      </c>
      <c r="E46" s="99" t="str">
        <f>IF(Calorific_Values!F13&lt;&gt;0,IF(AND(40000&lt;=Calorific_Values!F13,Calorific_Values!F13&lt;=45000),"TRUE","FALSE"),"")</f>
        <v>TRUE</v>
      </c>
      <c r="F46" s="99" t="str">
        <f>IF(Calorific_Values!G13&lt;&gt;0,IF(AND(40000&lt;=Calorific_Values!G13,Calorific_Values!G13&lt;=45000),"TRUE","FALSE"),"")</f>
        <v>TRUE</v>
      </c>
      <c r="G46" s="99" t="str">
        <f>IF(Calorific_Values!H13&lt;&gt;0,IF(AND(40000&lt;=Calorific_Values!H13,Calorific_Values!H13&lt;=45000),"TRUE","FALSE"),"")</f>
        <v>TRUE</v>
      </c>
      <c r="H46" s="99" t="str">
        <f>IF(Calorific_Values!I13&lt;&gt;0,IF(AND(40000&lt;=Calorific_Values!I13,Calorific_Values!I13&lt;=45000),"TRUE","FALSE"),"")</f>
        <v>TRUE</v>
      </c>
      <c r="I46" s="99" t="str">
        <f>IF(Calorific_Values!J13&lt;&gt;0,IF(AND(40000&lt;=Calorific_Values!J13,Calorific_Values!J13&lt;=45000),"TRUE","FALSE"),"")</f>
        <v>TRUE</v>
      </c>
      <c r="J46" s="99" t="str">
        <f>IF(Calorific_Values!K13&lt;&gt;0,IF(AND(40000&lt;=Calorific_Values!K13,Calorific_Values!K13&lt;=45000),"TRUE","FALSE"),"")</f>
        <v>TRUE</v>
      </c>
      <c r="K46" s="99" t="str">
        <f>IF(Calorific_Values!L13&lt;&gt;0,IF(AND(40000&lt;=Calorific_Values!L13,Calorific_Values!L13&lt;=45000),"TRUE","FALSE"),"")</f>
        <v>TRUE</v>
      </c>
      <c r="L46" s="99" t="str">
        <f>IF(Calorific_Values!M13&lt;&gt;0,IF(AND(40000&lt;=Calorific_Values!M13,Calorific_Values!M13&lt;=45000),"TRUE","FALSE"),"")</f>
        <v/>
      </c>
      <c r="M46" s="99" t="str">
        <f>IF(Calorific_Values!N13&lt;&gt;0,IF(AND(40000&lt;=Calorific_Values!N13,Calorific_Values!N13&lt;=45000),"TRUE","FALSE"),"")</f>
        <v/>
      </c>
      <c r="N46" s="99"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1"/>
  <dimension ref="A1:B8"/>
  <sheetViews>
    <sheetView topLeftCell="A4" zoomScaleNormal="100" workbookViewId="0">
      <selection activeCell="B16" sqref="B16"/>
    </sheetView>
  </sheetViews>
  <sheetFormatPr defaultColWidth="9.140625" defaultRowHeight="12.75" x14ac:dyDescent="0.2"/>
  <cols>
    <col min="1" max="1" width="27.140625" style="141" customWidth="1"/>
    <col min="2" max="2" width="27.85546875" style="141" customWidth="1"/>
    <col min="3" max="3" width="9.140625" style="141" customWidth="1"/>
    <col min="4" max="52" width="9.140625" style="141"/>
    <col min="53" max="156" width="9.140625" style="141" customWidth="1"/>
    <col min="157" max="16384" width="9.140625" style="141"/>
  </cols>
  <sheetData>
    <row r="1" spans="1:2" x14ac:dyDescent="0.2">
      <c r="A1" s="140" t="s">
        <v>187</v>
      </c>
      <c r="B1" s="140" t="s">
        <v>188</v>
      </c>
    </row>
    <row r="2" spans="1:2" x14ac:dyDescent="0.2">
      <c r="A2" s="143" t="s">
        <v>158</v>
      </c>
      <c r="B2" s="143" t="s">
        <v>189</v>
      </c>
    </row>
    <row r="3" spans="1:2" x14ac:dyDescent="0.2">
      <c r="A3" s="142" t="s">
        <v>152</v>
      </c>
      <c r="B3" s="143" t="s">
        <v>189</v>
      </c>
    </row>
    <row r="4" spans="1:2" x14ac:dyDescent="0.2">
      <c r="A4" s="142" t="s">
        <v>169</v>
      </c>
      <c r="B4" s="143" t="s">
        <v>189</v>
      </c>
    </row>
    <row r="5" spans="1:2" x14ac:dyDescent="0.2">
      <c r="A5" s="142" t="s">
        <v>153</v>
      </c>
      <c r="B5" s="143" t="s">
        <v>189</v>
      </c>
    </row>
    <row r="6" spans="1:2" x14ac:dyDescent="0.2">
      <c r="A6" s="142" t="s">
        <v>154</v>
      </c>
      <c r="B6" s="143" t="s">
        <v>189</v>
      </c>
    </row>
    <row r="7" spans="1:2" x14ac:dyDescent="0.2">
      <c r="A7" s="142" t="s">
        <v>228</v>
      </c>
      <c r="B7" s="143" t="s">
        <v>189</v>
      </c>
    </row>
    <row r="8" spans="1:2" x14ac:dyDescent="0.2">
      <c r="A8" s="142" t="s">
        <v>155</v>
      </c>
      <c r="B8" s="143"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dimension ref="A1:G22"/>
  <sheetViews>
    <sheetView zoomScaleNormal="100" workbookViewId="0">
      <selection activeCell="D7" sqref="D7"/>
    </sheetView>
  </sheetViews>
  <sheetFormatPr defaultColWidth="9" defaultRowHeight="12.75" x14ac:dyDescent="0.2"/>
  <cols>
    <col min="1" max="1" width="22" style="141" customWidth="1"/>
    <col min="2" max="3" width="9" style="141" customWidth="1"/>
    <col min="4" max="5" width="9" style="141"/>
    <col min="6" max="6" width="25.28515625" style="141" customWidth="1"/>
    <col min="7" max="52" width="9" style="141"/>
    <col min="53" max="156" width="9" style="141" customWidth="1"/>
    <col min="157" max="16384" width="9" style="141"/>
  </cols>
  <sheetData>
    <row r="1" spans="1:7" ht="15" x14ac:dyDescent="0.25">
      <c r="A1" s="144" t="s">
        <v>190</v>
      </c>
      <c r="B1" s="144" t="s">
        <v>191</v>
      </c>
      <c r="C1" s="144" t="s">
        <v>192</v>
      </c>
      <c r="D1" s="144" t="s">
        <v>193</v>
      </c>
      <c r="E1" s="145"/>
      <c r="F1" s="144" t="s">
        <v>194</v>
      </c>
      <c r="G1" s="153" t="s">
        <v>233</v>
      </c>
    </row>
    <row r="2" spans="1:7" ht="15" x14ac:dyDescent="0.25">
      <c r="A2" s="145" t="s">
        <v>195</v>
      </c>
      <c r="B2" s="145" t="s">
        <v>196</v>
      </c>
      <c r="C2" s="145" t="s">
        <v>197</v>
      </c>
      <c r="D2" s="154" t="s">
        <v>278</v>
      </c>
      <c r="E2" s="145"/>
      <c r="F2" s="147" t="s">
        <v>198</v>
      </c>
      <c r="G2" s="153" t="s">
        <v>234</v>
      </c>
    </row>
    <row r="3" spans="1:7" ht="15" x14ac:dyDescent="0.25">
      <c r="A3" s="145" t="s">
        <v>199</v>
      </c>
      <c r="B3" s="145" t="s">
        <v>196</v>
      </c>
      <c r="C3" s="145" t="s">
        <v>197</v>
      </c>
      <c r="D3" s="145" t="s">
        <v>200</v>
      </c>
      <c r="E3" s="145"/>
      <c r="F3" s="147" t="s">
        <v>201</v>
      </c>
      <c r="G3" s="148" t="s">
        <v>202</v>
      </c>
    </row>
    <row r="4" spans="1:7" ht="15" x14ac:dyDescent="0.25">
      <c r="A4" s="145" t="s">
        <v>203</v>
      </c>
      <c r="B4" s="145" t="s">
        <v>196</v>
      </c>
      <c r="C4" s="154" t="s">
        <v>235</v>
      </c>
      <c r="D4" s="154" t="s">
        <v>236</v>
      </c>
      <c r="E4" s="145"/>
      <c r="F4" s="144"/>
      <c r="G4" s="149"/>
    </row>
    <row r="5" spans="1:7" ht="15" x14ac:dyDescent="0.25">
      <c r="A5" s="145" t="s">
        <v>205</v>
      </c>
      <c r="B5" s="145" t="s">
        <v>196</v>
      </c>
      <c r="C5" s="145" t="s">
        <v>204</v>
      </c>
      <c r="D5" s="146" t="s">
        <v>206</v>
      </c>
      <c r="E5" s="145"/>
      <c r="F5" s="150"/>
      <c r="G5" s="151"/>
    </row>
    <row r="6" spans="1:7" ht="15" x14ac:dyDescent="0.25">
      <c r="A6" s="145" t="s">
        <v>207</v>
      </c>
      <c r="B6" s="145" t="s">
        <v>196</v>
      </c>
      <c r="C6" s="154" t="s">
        <v>197</v>
      </c>
      <c r="D6" s="154" t="s">
        <v>297</v>
      </c>
      <c r="E6" s="145"/>
      <c r="F6" s="144"/>
      <c r="G6" s="149"/>
    </row>
    <row r="7" spans="1:7" ht="15" x14ac:dyDescent="0.25">
      <c r="A7" s="145" t="s">
        <v>208</v>
      </c>
      <c r="B7" s="145" t="s">
        <v>196</v>
      </c>
      <c r="C7" s="154" t="s">
        <v>235</v>
      </c>
      <c r="D7" s="154" t="s">
        <v>299</v>
      </c>
      <c r="E7" s="145"/>
      <c r="F7" s="144"/>
      <c r="G7" s="149"/>
    </row>
    <row r="8" spans="1:7" ht="15" x14ac:dyDescent="0.25">
      <c r="A8" s="145" t="s">
        <v>209</v>
      </c>
      <c r="B8" s="145" t="s">
        <v>196</v>
      </c>
      <c r="C8" s="154" t="s">
        <v>197</v>
      </c>
      <c r="D8" s="154" t="s">
        <v>232</v>
      </c>
      <c r="E8" s="145"/>
      <c r="F8" s="144"/>
      <c r="G8" s="149"/>
    </row>
    <row r="9" spans="1:7" ht="15" x14ac:dyDescent="0.25">
      <c r="A9" s="145" t="s">
        <v>210</v>
      </c>
      <c r="B9" s="145" t="s">
        <v>196</v>
      </c>
      <c r="C9" s="154" t="s">
        <v>197</v>
      </c>
      <c r="D9" s="154" t="s">
        <v>232</v>
      </c>
      <c r="E9" s="145"/>
      <c r="F9" s="144"/>
      <c r="G9" s="149"/>
    </row>
    <row r="10" spans="1:7" ht="15" x14ac:dyDescent="0.25">
      <c r="A10" s="145" t="s">
        <v>211</v>
      </c>
      <c r="B10" s="145" t="s">
        <v>196</v>
      </c>
      <c r="C10" s="154" t="s">
        <v>197</v>
      </c>
      <c r="D10" s="154" t="s">
        <v>232</v>
      </c>
      <c r="E10" s="145"/>
      <c r="F10" s="144"/>
      <c r="G10" s="149"/>
    </row>
    <row r="11" spans="1:7" ht="15" x14ac:dyDescent="0.25">
      <c r="A11" s="145" t="s">
        <v>212</v>
      </c>
      <c r="B11" s="145" t="s">
        <v>196</v>
      </c>
      <c r="C11" s="154" t="s">
        <v>197</v>
      </c>
      <c r="D11" s="154" t="s">
        <v>232</v>
      </c>
      <c r="E11" s="145"/>
      <c r="F11" s="144"/>
      <c r="G11" s="149"/>
    </row>
    <row r="12" spans="1:7" ht="15" x14ac:dyDescent="0.25">
      <c r="A12" s="145" t="s">
        <v>213</v>
      </c>
      <c r="B12" s="145" t="s">
        <v>196</v>
      </c>
      <c r="C12" s="154" t="s">
        <v>197</v>
      </c>
      <c r="D12" s="154" t="s">
        <v>232</v>
      </c>
      <c r="E12" s="145"/>
      <c r="F12" s="144"/>
      <c r="G12" s="149"/>
    </row>
    <row r="13" spans="1:7" ht="15" x14ac:dyDescent="0.25">
      <c r="A13" s="145" t="s">
        <v>214</v>
      </c>
      <c r="B13" s="145" t="s">
        <v>196</v>
      </c>
      <c r="C13" s="145" t="s">
        <v>204</v>
      </c>
      <c r="D13" s="146" t="s">
        <v>215</v>
      </c>
      <c r="E13" s="145"/>
      <c r="F13" s="144"/>
      <c r="G13" s="149"/>
    </row>
    <row r="14" spans="1:7" ht="15" x14ac:dyDescent="0.25">
      <c r="A14" s="145" t="s">
        <v>216</v>
      </c>
      <c r="B14" s="145" t="s">
        <v>196</v>
      </c>
      <c r="C14" s="145" t="s">
        <v>217</v>
      </c>
      <c r="D14" s="145">
        <v>5</v>
      </c>
      <c r="E14" s="145"/>
      <c r="F14" s="144"/>
      <c r="G14" s="149"/>
    </row>
    <row r="15" spans="1:7" ht="15" x14ac:dyDescent="0.25">
      <c r="A15" s="145" t="s">
        <v>218</v>
      </c>
      <c r="B15" s="145" t="s">
        <v>196</v>
      </c>
      <c r="C15" s="154" t="s">
        <v>197</v>
      </c>
      <c r="D15" s="154" t="s">
        <v>232</v>
      </c>
      <c r="E15" s="145"/>
      <c r="F15" s="144"/>
      <c r="G15" s="149"/>
    </row>
    <row r="16" spans="1:7" ht="15" x14ac:dyDescent="0.25">
      <c r="A16" s="145" t="s">
        <v>219</v>
      </c>
      <c r="B16" s="145" t="s">
        <v>220</v>
      </c>
      <c r="C16" s="145" t="s">
        <v>204</v>
      </c>
      <c r="D16" s="146" t="s">
        <v>221</v>
      </c>
      <c r="E16" s="145"/>
      <c r="F16" s="144"/>
      <c r="G16" s="149"/>
    </row>
    <row r="17" spans="1:7" ht="15" x14ac:dyDescent="0.25">
      <c r="A17" s="145" t="s">
        <v>222</v>
      </c>
      <c r="B17" s="145" t="s">
        <v>220</v>
      </c>
      <c r="C17" s="145" t="s">
        <v>223</v>
      </c>
      <c r="D17" s="145"/>
      <c r="E17" s="145"/>
      <c r="F17" s="144"/>
      <c r="G17" s="149"/>
    </row>
    <row r="18" spans="1:7" ht="15" x14ac:dyDescent="0.25">
      <c r="A18" s="145" t="s">
        <v>224</v>
      </c>
      <c r="B18" s="145" t="s">
        <v>220</v>
      </c>
      <c r="C18" s="145" t="s">
        <v>223</v>
      </c>
      <c r="D18" s="145"/>
      <c r="E18" s="145"/>
      <c r="F18" s="144"/>
      <c r="G18" s="149"/>
    </row>
    <row r="19" spans="1:7" ht="15" x14ac:dyDescent="0.25">
      <c r="A19" s="145" t="s">
        <v>225</v>
      </c>
      <c r="B19" s="145" t="s">
        <v>220</v>
      </c>
      <c r="C19" s="145" t="s">
        <v>223</v>
      </c>
      <c r="D19" s="145"/>
      <c r="E19" s="145"/>
      <c r="F19" s="144"/>
      <c r="G19" s="149"/>
    </row>
    <row r="20" spans="1:7" ht="15" x14ac:dyDescent="0.25">
      <c r="A20" s="145" t="s">
        <v>226</v>
      </c>
      <c r="B20" s="145" t="s">
        <v>220</v>
      </c>
      <c r="C20" s="145" t="s">
        <v>223</v>
      </c>
      <c r="D20" s="145"/>
      <c r="E20" s="145"/>
      <c r="F20" s="144"/>
      <c r="G20" s="149"/>
    </row>
    <row r="21" spans="1:7" ht="15" x14ac:dyDescent="0.25">
      <c r="A21" s="145" t="s">
        <v>227</v>
      </c>
      <c r="B21" s="145" t="s">
        <v>220</v>
      </c>
      <c r="C21" s="145" t="s">
        <v>223</v>
      </c>
      <c r="D21" s="145"/>
      <c r="E21" s="145"/>
      <c r="F21" s="144"/>
      <c r="G21" s="149"/>
    </row>
    <row r="22" spans="1:7" x14ac:dyDescent="0.2">
      <c r="G22" s="15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'1a_SpaceHeating'!Print_Area</vt:lpstr>
      <vt:lpstr>'1b_SpaceCooling'!Print_Area</vt:lpstr>
      <vt:lpstr>'1c_WaterHeating'!Print_Area</vt:lpstr>
      <vt:lpstr>'1d_Cooking'!Print_Area</vt:lpstr>
      <vt:lpstr>'1e_LightingAndAppliances'!Print_Area</vt:lpstr>
      <vt:lpstr>'1f_OtherEndUses'!Print_Area</vt:lpstr>
      <vt:lpstr>Calorific_Values!Print_Area</vt:lpstr>
      <vt:lpstr>Cover!Print_Area</vt:lpstr>
      <vt:lpstr>Definitions!Print_Area</vt:lpstr>
      <vt:lpstr>Remarks!Print_Area</vt:lpstr>
      <vt:lpstr>Table1_Totals!Print_Area</vt:lpstr>
      <vt:lpstr>Table2_Energy_Totals!Print_Area</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KATRANTZI Ioanna (ESTAT)</cp:lastModifiedBy>
  <cp:lastPrinted>2017-09-15T13:51:39Z</cp:lastPrinted>
  <dcterms:created xsi:type="dcterms:W3CDTF">2014-09-17T09:30:01Z</dcterms:created>
  <dcterms:modified xsi:type="dcterms:W3CDTF">2020-01-30T14:20:45Z</dcterms:modified>
  <cp:category>Annual questionnaires</cp:category>
</cp:coreProperties>
</file>