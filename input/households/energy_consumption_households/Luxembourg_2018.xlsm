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0" yWindow="0" windowWidth="28800" windowHeight="1200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H17" i="5"/>
  <c r="E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3" i="5"/>
  <c r="K11"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6" i="5"/>
  <c r="E9" i="5"/>
  <c r="J6" i="5"/>
  <c r="H6" i="5"/>
  <c r="G18" i="5"/>
  <c r="F6" i="5"/>
  <c r="J7" i="5"/>
  <c r="G15" i="5"/>
  <c r="J8" i="5"/>
  <c r="E8" i="5"/>
  <c r="J18" i="5"/>
  <c r="G12" i="5"/>
  <c r="H10" i="5"/>
  <c r="H12" i="5"/>
  <c r="E13" i="5"/>
  <c r="J9" i="5"/>
  <c r="H8" i="5"/>
  <c r="G9" i="5"/>
  <c r="G10" i="5"/>
  <c r="E14" i="5"/>
  <c r="J11" i="5"/>
  <c r="H9" i="5"/>
  <c r="G8" i="5"/>
  <c r="H7" i="5"/>
  <c r="G13" i="5"/>
  <c r="H18" i="5"/>
  <c r="J14" i="5"/>
  <c r="H13" i="5"/>
  <c r="J10" i="5"/>
  <c r="E6" i="5"/>
  <c r="E18" i="5"/>
  <c r="H14" i="5"/>
  <c r="J16" i="5"/>
  <c r="J15" i="5"/>
  <c r="I6" i="5"/>
  <c r="J12" i="5"/>
  <c r="E15" i="5"/>
  <c r="K9" i="5"/>
  <c r="E7" i="5"/>
  <c r="G11" i="5"/>
  <c r="E11" i="5"/>
  <c r="G16" i="5"/>
  <c r="E16" i="5"/>
  <c r="J13" i="5"/>
  <c r="G6" i="5"/>
  <c r="G7" i="5"/>
  <c r="E12" i="5"/>
  <c r="H11" i="5"/>
  <c r="H15" i="5"/>
  <c r="G14"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<sst xmlns="http://schemas.openxmlformats.org/spreadsheetml/2006/main" count="952" uniqueCount="315">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</sst>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61</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topLeftCell="A33"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80" zoomScaleNormal="80" workbookViewId="0">
      <pane xSplit="3" topLeftCell="D1" activePane="topRight" state="frozen"/>
      <selection activeCell="DS1" sqref="DS1:ED1048576"/>
      <selection pane="topRight" activeCell="D9" sqref="D9:L13"/>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6" t="s">
        <v>0</v>
      </c>
      <c r="B1" s="177"/>
      <c r="C1" s="20"/>
      <c r="D1" s="1"/>
      <c r="E1" s="2"/>
      <c r="F1" s="2"/>
      <c r="G1" s="2"/>
      <c r="H1" s="2"/>
      <c r="I1" s="2"/>
      <c r="J1" s="2"/>
      <c r="K1" s="2"/>
      <c r="L1" s="2"/>
      <c r="M1" s="2"/>
      <c r="N1" s="2"/>
      <c r="O1" s="2"/>
    </row>
    <row r="2" spans="1:134" ht="18" customHeight="1" x14ac:dyDescent="0.25">
      <c r="A2" s="178"/>
      <c r="B2" s="179"/>
      <c r="C2" s="1"/>
      <c r="D2" s="1"/>
      <c r="E2" s="5"/>
      <c r="F2" s="3"/>
      <c r="G2" s="3"/>
      <c r="H2" s="3"/>
      <c r="I2" s="3"/>
      <c r="J2" s="3"/>
      <c r="K2" s="3"/>
      <c r="L2" s="3"/>
      <c r="M2" s="3"/>
      <c r="N2" s="3"/>
      <c r="O2" s="3"/>
    </row>
    <row r="3" spans="1:134" ht="18" customHeight="1" x14ac:dyDescent="0.3">
      <c r="A3" s="180" t="s">
        <v>12</v>
      </c>
      <c r="B3" s="181"/>
      <c r="C3" s="1"/>
      <c r="D3" s="1"/>
      <c r="E3" s="5"/>
      <c r="F3" s="3"/>
      <c r="G3" s="3"/>
      <c r="H3" s="3"/>
      <c r="I3" s="3"/>
      <c r="J3" s="3"/>
      <c r="K3" s="3"/>
      <c r="L3" s="3"/>
      <c r="M3" s="3"/>
      <c r="N3" s="3"/>
      <c r="O3" s="3"/>
      <c r="DS3" s="4" t="s">
        <v>229</v>
      </c>
    </row>
    <row r="4" spans="1:134" ht="18" customHeight="1" x14ac:dyDescent="0.25">
      <c r="A4" s="182"/>
      <c r="B4" s="179"/>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3" t="s">
        <v>3</v>
      </c>
      <c r="B5" s="18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2"/>
      <c r="C6" s="47"/>
      <c r="D6" s="48"/>
      <c r="E6" s="49"/>
      <c r="F6" s="49"/>
      <c r="G6" s="49"/>
      <c r="H6" s="49"/>
      <c r="I6" s="49"/>
      <c r="J6" s="49"/>
      <c r="K6" s="49"/>
      <c r="L6" s="49"/>
      <c r="M6" s="49"/>
      <c r="N6" s="49"/>
      <c r="O6" s="49"/>
      <c r="DS6" s="4" t="str">
        <f>VLOOKUP(Cover!$D$15, Country_list!$B$3:$C$44, 2, 0)</f>
        <v>LU</v>
      </c>
      <c r="DV6" s="4" t="s">
        <v>298</v>
      </c>
    </row>
    <row r="7" spans="1:134" ht="24" customHeight="1" x14ac:dyDescent="0.2">
      <c r="A7" s="174" t="s">
        <v>15</v>
      </c>
      <c r="B7" s="175"/>
      <c r="C7" s="45"/>
      <c r="D7" s="15"/>
      <c r="E7" s="46"/>
      <c r="F7" s="46"/>
      <c r="G7" s="46"/>
      <c r="H7" s="46"/>
      <c r="I7" s="46"/>
      <c r="J7" s="46"/>
      <c r="K7" s="46"/>
      <c r="L7" s="46"/>
      <c r="M7" s="46"/>
      <c r="N7" s="46"/>
      <c r="O7" s="46"/>
    </row>
    <row r="8" spans="1:134" ht="24" customHeight="1" x14ac:dyDescent="0.2">
      <c r="A8" s="174" t="s">
        <v>29</v>
      </c>
      <c r="B8" s="175"/>
      <c r="C8" s="45"/>
      <c r="D8" s="15"/>
      <c r="E8" s="46"/>
      <c r="F8" s="46"/>
      <c r="G8" s="46"/>
      <c r="H8" s="46"/>
      <c r="I8" s="46"/>
      <c r="J8" s="46"/>
      <c r="K8" s="46"/>
      <c r="L8" s="46"/>
      <c r="M8" s="46"/>
      <c r="N8" s="46"/>
      <c r="O8" s="46"/>
    </row>
    <row r="9" spans="1:134" ht="24" customHeight="1" x14ac:dyDescent="0.2">
      <c r="A9" s="174" t="s">
        <v>156</v>
      </c>
      <c r="B9" s="175"/>
      <c r="C9" s="9" t="s">
        <v>132</v>
      </c>
      <c r="D9" s="93">
        <v>23701</v>
      </c>
      <c r="E9" s="94">
        <v>23278</v>
      </c>
      <c r="F9" s="94">
        <v>23495</v>
      </c>
      <c r="G9" s="94">
        <v>23694</v>
      </c>
      <c r="H9" s="94">
        <v>24595</v>
      </c>
      <c r="I9" s="94">
        <v>25220</v>
      </c>
      <c r="J9" s="94">
        <v>23453</v>
      </c>
      <c r="K9" s="94">
        <v>23207</v>
      </c>
      <c r="L9" s="94">
        <v>23843</v>
      </c>
      <c r="M9" s="94"/>
      <c r="N9" s="94"/>
      <c r="O9" s="94"/>
      <c r="DT9" s="4" t="s">
        <v>279</v>
      </c>
      <c r="EB9" s="4" t="s">
        <v>300</v>
      </c>
      <c r="ED9" s="4" t="s">
        <v>301</v>
      </c>
    </row>
    <row r="10" spans="1:134" ht="24" customHeight="1" x14ac:dyDescent="0.2">
      <c r="A10" s="174" t="s">
        <v>20</v>
      </c>
      <c r="B10" s="175"/>
      <c r="C10" s="9" t="s">
        <v>132</v>
      </c>
      <c r="D10" s="93">
        <v>42493</v>
      </c>
      <c r="E10" s="94">
        <v>42493</v>
      </c>
      <c r="F10" s="94">
        <v>42492</v>
      </c>
      <c r="G10" s="94">
        <v>42491</v>
      </c>
      <c r="H10" s="94">
        <v>42498</v>
      </c>
      <c r="I10" s="94">
        <v>42492</v>
      </c>
      <c r="J10" s="94">
        <v>42490</v>
      </c>
      <c r="K10" s="94">
        <v>42490</v>
      </c>
      <c r="L10" s="94">
        <v>42491</v>
      </c>
      <c r="M10" s="94"/>
      <c r="N10" s="94"/>
      <c r="O10" s="94"/>
      <c r="DT10" s="4" t="s">
        <v>280</v>
      </c>
      <c r="EB10" s="4" t="s">
        <v>300</v>
      </c>
      <c r="ED10" s="4" t="s">
        <v>301</v>
      </c>
    </row>
    <row r="11" spans="1:134" s="13" customFormat="1" ht="15" customHeight="1" x14ac:dyDescent="0.2">
      <c r="A11" s="173" t="s">
        <v>18</v>
      </c>
      <c r="B11" s="110" t="s">
        <v>21</v>
      </c>
      <c r="C11" s="111" t="s">
        <v>132</v>
      </c>
      <c r="D11" s="115">
        <v>46000</v>
      </c>
      <c r="E11" s="115">
        <v>46000</v>
      </c>
      <c r="F11" s="116">
        <v>46000</v>
      </c>
      <c r="G11" s="116">
        <v>46000</v>
      </c>
      <c r="H11" s="116">
        <v>46000</v>
      </c>
      <c r="I11" s="116">
        <v>46000</v>
      </c>
      <c r="J11" s="116">
        <v>46000</v>
      </c>
      <c r="K11" s="116">
        <v>46000</v>
      </c>
      <c r="L11" s="116">
        <v>46000</v>
      </c>
      <c r="M11" s="116"/>
      <c r="N11" s="116"/>
      <c r="O11" s="116"/>
      <c r="DT11" s="13" t="s">
        <v>281</v>
      </c>
      <c r="EB11" s="13" t="s">
        <v>300</v>
      </c>
      <c r="ED11" s="13" t="s">
        <v>301</v>
      </c>
    </row>
    <row r="12" spans="1:134" s="13" customFormat="1" ht="15" customHeight="1" x14ac:dyDescent="0.2">
      <c r="A12" s="173"/>
      <c r="B12" s="110" t="s">
        <v>22</v>
      </c>
      <c r="C12" s="111" t="s">
        <v>132</v>
      </c>
      <c r="D12" s="115">
        <v>43800</v>
      </c>
      <c r="E12" s="115">
        <v>43800</v>
      </c>
      <c r="F12" s="115">
        <v>43800</v>
      </c>
      <c r="G12" s="115">
        <v>43800</v>
      </c>
      <c r="H12" s="115">
        <v>43800</v>
      </c>
      <c r="I12" s="115">
        <v>43800</v>
      </c>
      <c r="J12" s="115">
        <v>43800</v>
      </c>
      <c r="K12" s="115">
        <v>43800</v>
      </c>
      <c r="L12" s="115">
        <v>43800</v>
      </c>
      <c r="M12" s="115"/>
      <c r="N12" s="115"/>
      <c r="O12" s="115"/>
      <c r="DT12" s="13" t="s">
        <v>282</v>
      </c>
      <c r="EB12" s="13" t="s">
        <v>300</v>
      </c>
      <c r="ED12" s="13" t="s">
        <v>301</v>
      </c>
    </row>
    <row r="13" spans="1:134" s="13" customFormat="1" ht="15" customHeight="1" x14ac:dyDescent="0.2">
      <c r="A13" s="173"/>
      <c r="B13" s="110" t="s">
        <v>23</v>
      </c>
      <c r="C13" s="111" t="s">
        <v>132</v>
      </c>
      <c r="D13" s="115">
        <v>42485</v>
      </c>
      <c r="E13" s="115">
        <v>42485</v>
      </c>
      <c r="F13" s="115">
        <v>42485</v>
      </c>
      <c r="G13" s="115">
        <v>42485</v>
      </c>
      <c r="H13" s="115">
        <v>42485</v>
      </c>
      <c r="I13" s="115">
        <v>42485</v>
      </c>
      <c r="J13" s="115">
        <v>42485</v>
      </c>
      <c r="K13" s="115">
        <v>42485</v>
      </c>
      <c r="L13" s="115">
        <v>42485</v>
      </c>
      <c r="M13" s="115"/>
      <c r="N13" s="115"/>
      <c r="O13" s="115"/>
      <c r="DT13" s="13" t="s">
        <v>283</v>
      </c>
      <c r="EB13" s="13" t="s">
        <v>300</v>
      </c>
      <c r="ED13" s="13" t="s">
        <v>301</v>
      </c>
    </row>
    <row r="14" spans="1:134" ht="24" customHeight="1" x14ac:dyDescent="0.2">
      <c r="A14" s="174" t="s">
        <v>24</v>
      </c>
      <c r="B14" s="175"/>
      <c r="C14" s="45"/>
      <c r="D14" s="15"/>
      <c r="E14" s="46"/>
      <c r="F14" s="46"/>
      <c r="G14" s="46"/>
      <c r="H14" s="46"/>
      <c r="I14" s="46"/>
      <c r="J14" s="46"/>
      <c r="K14" s="46"/>
      <c r="L14" s="46"/>
      <c r="M14" s="46"/>
      <c r="N14" s="46"/>
      <c r="O14" s="46"/>
    </row>
    <row r="15" spans="1:134" s="13" customFormat="1" ht="15" customHeight="1" x14ac:dyDescent="0.2">
      <c r="A15" s="173" t="s">
        <v>18</v>
      </c>
      <c r="B15" s="110" t="s">
        <v>26</v>
      </c>
      <c r="C15" s="14"/>
      <c r="D15" s="15"/>
      <c r="E15" s="12"/>
      <c r="F15" s="12"/>
      <c r="G15" s="12"/>
      <c r="H15" s="12"/>
      <c r="I15" s="12"/>
      <c r="J15" s="12"/>
      <c r="K15" s="12"/>
      <c r="L15" s="12"/>
      <c r="M15" s="12"/>
      <c r="N15" s="12"/>
      <c r="O15" s="12"/>
    </row>
    <row r="16" spans="1:134" s="13" customFormat="1" ht="15" customHeight="1" x14ac:dyDescent="0.2">
      <c r="A16" s="173"/>
      <c r="B16" s="110" t="s">
        <v>27</v>
      </c>
      <c r="C16" s="14"/>
      <c r="D16" s="15"/>
      <c r="E16" s="12"/>
      <c r="F16" s="12"/>
      <c r="G16" s="12"/>
      <c r="H16" s="12"/>
      <c r="I16" s="12"/>
      <c r="J16" s="12"/>
      <c r="K16" s="12"/>
      <c r="L16" s="12"/>
      <c r="M16" s="12"/>
      <c r="N16" s="12"/>
      <c r="O16" s="12"/>
    </row>
    <row r="17" spans="1:15" s="13" customFormat="1" ht="15" customHeight="1" x14ac:dyDescent="0.2">
      <c r="A17" s="173"/>
      <c r="B17" s="110" t="s">
        <v>28</v>
      </c>
      <c r="C17" s="14"/>
      <c r="D17" s="15"/>
      <c r="E17" s="12"/>
      <c r="F17" s="12"/>
      <c r="G17" s="12"/>
      <c r="H17" s="12"/>
      <c r="I17" s="12"/>
      <c r="J17" s="12"/>
      <c r="K17" s="12"/>
      <c r="L17" s="12"/>
      <c r="M17" s="12"/>
      <c r="N17" s="12"/>
      <c r="O17" s="12"/>
    </row>
    <row r="18" spans="1:15" s="13" customFormat="1" ht="15" customHeight="1" x14ac:dyDescent="0.2">
      <c r="A18" s="173"/>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E11" sqref="E11:E13"/>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Luxembourg</v>
      </c>
      <c r="D2" s="1"/>
      <c r="E2" s="5"/>
      <c r="F2" s="3"/>
      <c r="G2" s="3"/>
      <c r="H2" s="3"/>
      <c r="I2" s="3"/>
      <c r="J2" s="3"/>
      <c r="K2" s="3"/>
    </row>
    <row r="3" spans="1:11" ht="18" customHeight="1" x14ac:dyDescent="0.25">
      <c r="A3" s="188" t="s">
        <v>2</v>
      </c>
      <c r="B3" s="190"/>
      <c r="C3" s="114">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14</v>
      </c>
      <c r="D6" s="120">
        <f ca="1">SUM(E6:J6)</f>
        <v>930.64100000000008</v>
      </c>
      <c r="E6" s="121">
        <f ca="1">INDIRECT(ADDRESS(ROW(K6),$C$3 -2010 + 4,,,"1a_SpaceHeating"))</f>
        <v>191.667</v>
      </c>
      <c r="F6" s="121">
        <f ca="1">INDIRECT(ADDRESS(ROW(K6),$C$3-2010+4,,,"1b_SpaceCooling"))</f>
        <v>17.213999999999999</v>
      </c>
      <c r="G6" s="121">
        <f ca="1">INDIRECT(ADDRESS(ROW(K6),$C$3-2010+4,,,"1c_WaterHeating"))</f>
        <v>17.841000000000001</v>
      </c>
      <c r="H6" s="121">
        <f ca="1">INDIRECT(ADDRESS(ROW(K6),$C$3-2010+4,,,"1d_Cooking"))</f>
        <v>66.981999999999999</v>
      </c>
      <c r="I6" s="121">
        <f ca="1">INDIRECT(ADDRESS(ROW(K6),$C$3-2010+4,,,"1e_LightingAndAppliances"))</f>
        <v>636.93700000000001</v>
      </c>
      <c r="J6" s="121">
        <f ca="1">INDIRECT(ADDRESS(ROW(K6),$C$3-2010+4,,,"1f_OtherEndUses"))</f>
        <v>0</v>
      </c>
      <c r="K6" s="122"/>
    </row>
    <row r="7" spans="1:11" ht="24" customHeight="1" x14ac:dyDescent="0.25">
      <c r="A7" s="195" t="s">
        <v>15</v>
      </c>
      <c r="B7" s="196"/>
      <c r="C7" s="109" t="s">
        <v>16</v>
      </c>
      <c r="D7" s="123">
        <f t="shared" ref="D7:D16" ca="1" si="0">SUM(E7:J7)</f>
        <v>0</v>
      </c>
      <c r="E7" s="124">
        <f t="shared" ref="E7:E16" ca="1" si="1">INDIRECT(ADDRESS(ROW(K7),$C$3 -2010 + 4,,,"1a_SpaceHeating"))</f>
        <v>0</v>
      </c>
      <c r="F7" s="125"/>
      <c r="G7" s="124">
        <f t="shared" ref="G7:G16" ca="1" si="2">INDIRECT(ADDRESS(ROW(K7),$C$3-2010+4,,,"1c_WaterHeating"))</f>
        <v>0</v>
      </c>
      <c r="H7" s="124">
        <f t="shared" ref="H7:H16" ca="1" si="3">INDIRECT(ADDRESS(ROW(K7),$C$3-2010+4,,,"1d_Cooking"))</f>
        <v>0</v>
      </c>
      <c r="I7" s="125"/>
      <c r="J7" s="124">
        <f t="shared" ref="J7:J17" ca="1" si="4">INDIRECT(ADDRESS(ROW(K7),$C$3-2010+4,,,"1f_OtherEndUses"))</f>
        <v>0</v>
      </c>
      <c r="K7" s="125"/>
    </row>
    <row r="8" spans="1:11" ht="24" customHeight="1" x14ac:dyDescent="0.25">
      <c r="A8" s="195" t="s">
        <v>29</v>
      </c>
      <c r="B8" s="196"/>
      <c r="C8" s="109" t="s">
        <v>17</v>
      </c>
      <c r="D8" s="123">
        <f t="shared" ca="1" si="0"/>
        <v>11371.716</v>
      </c>
      <c r="E8" s="124">
        <f t="shared" ca="1" si="1"/>
        <v>10048.877</v>
      </c>
      <c r="F8" s="125"/>
      <c r="G8" s="124">
        <f t="shared" ca="1" si="2"/>
        <v>1001.471</v>
      </c>
      <c r="H8" s="124">
        <f t="shared" ca="1" si="3"/>
        <v>321.36799999999999</v>
      </c>
      <c r="I8" s="125"/>
      <c r="J8" s="124">
        <f t="shared" ca="1" si="4"/>
        <v>0</v>
      </c>
      <c r="K8" s="125"/>
    </row>
    <row r="9" spans="1:11" ht="24" customHeight="1" x14ac:dyDescent="0.25">
      <c r="A9" s="195" t="s">
        <v>156</v>
      </c>
      <c r="B9" s="196"/>
      <c r="C9" s="109" t="s">
        <v>19</v>
      </c>
      <c r="D9" s="123">
        <f t="shared" ca="1" si="0"/>
        <v>0.41699999999999998</v>
      </c>
      <c r="E9" s="124">
        <f t="shared" ca="1" si="1"/>
        <v>0.41699999999999998</v>
      </c>
      <c r="F9" s="125"/>
      <c r="G9" s="124">
        <f t="shared" ca="1" si="2"/>
        <v>0</v>
      </c>
      <c r="H9" s="124">
        <f t="shared" ca="1" si="3"/>
        <v>0</v>
      </c>
      <c r="I9" s="125"/>
      <c r="J9" s="124">
        <f t="shared" ca="1" si="4"/>
        <v>0</v>
      </c>
      <c r="K9" s="126">
        <f ca="1">INDIRECT(ADDRESS(ROW(K9),$C$3-2010+4,,,"Calorific_Values"))</f>
        <v>23843</v>
      </c>
    </row>
    <row r="10" spans="1:11" ht="24" customHeight="1" x14ac:dyDescent="0.25">
      <c r="A10" s="195" t="s">
        <v>42</v>
      </c>
      <c r="B10" s="196"/>
      <c r="C10" s="109" t="s">
        <v>19</v>
      </c>
      <c r="D10" s="123">
        <f t="shared" ca="1" si="0"/>
        <v>144.32300000000001</v>
      </c>
      <c r="E10" s="124">
        <f t="shared" ca="1" si="1"/>
        <v>132.58500000000001</v>
      </c>
      <c r="F10" s="125"/>
      <c r="G10" s="124">
        <f t="shared" ca="1" si="2"/>
        <v>11.519</v>
      </c>
      <c r="H10" s="124">
        <f t="shared" ca="1" si="3"/>
        <v>0.219</v>
      </c>
      <c r="I10" s="125"/>
      <c r="J10" s="124">
        <f t="shared" ca="1" si="4"/>
        <v>0</v>
      </c>
      <c r="K10" s="126">
        <f ca="1">INDIRECT(ADDRESS(ROW(K10),$C$3-2010+4,,,"Calorific_Values"))</f>
        <v>42491</v>
      </c>
    </row>
    <row r="11" spans="1:11" s="34" customFormat="1" ht="15" customHeight="1" x14ac:dyDescent="0.25">
      <c r="A11" s="194" t="s">
        <v>18</v>
      </c>
      <c r="B11" s="10" t="s">
        <v>21</v>
      </c>
      <c r="C11" s="11" t="s">
        <v>19</v>
      </c>
      <c r="D11" s="127">
        <f t="shared" ca="1" si="0"/>
        <v>0.41500000000000004</v>
      </c>
      <c r="E11" s="128">
        <f t="shared" ca="1" si="1"/>
        <v>0.19600000000000001</v>
      </c>
      <c r="F11" s="129"/>
      <c r="G11" s="128">
        <f t="shared" ca="1" si="2"/>
        <v>0</v>
      </c>
      <c r="H11" s="128">
        <f t="shared" ca="1" si="3"/>
        <v>0.219</v>
      </c>
      <c r="I11" s="129"/>
      <c r="J11" s="128">
        <f t="shared" ca="1" si="4"/>
        <v>0</v>
      </c>
      <c r="K11" s="130">
        <f t="shared" ref="K11:K13" ca="1" si="5">INDIRECT(ADDRESS(ROW(K11),$C$3-2010+4,,,"Calorific_Values"))</f>
        <v>46000</v>
      </c>
    </row>
    <row r="12" spans="1:11" s="34" customFormat="1" ht="15" customHeight="1" x14ac:dyDescent="0.25">
      <c r="A12" s="194"/>
      <c r="B12" s="10" t="s">
        <v>22</v>
      </c>
      <c r="C12" s="11" t="s">
        <v>19</v>
      </c>
      <c r="D12" s="127">
        <f t="shared" ca="1" si="0"/>
        <v>0.47699999999999998</v>
      </c>
      <c r="E12" s="128">
        <f t="shared" ca="1" si="1"/>
        <v>0.47699999999999998</v>
      </c>
      <c r="F12" s="129"/>
      <c r="G12" s="128">
        <f t="shared" ca="1" si="2"/>
        <v>0</v>
      </c>
      <c r="H12" s="128">
        <f t="shared" ca="1" si="3"/>
        <v>0</v>
      </c>
      <c r="I12" s="129"/>
      <c r="J12" s="128">
        <f t="shared" ca="1" si="4"/>
        <v>0</v>
      </c>
      <c r="K12" s="130">
        <f t="shared" ca="1" si="5"/>
        <v>43800</v>
      </c>
    </row>
    <row r="13" spans="1:11" s="34" customFormat="1" ht="15" customHeight="1" x14ac:dyDescent="0.25">
      <c r="A13" s="194"/>
      <c r="B13" s="10" t="s">
        <v>23</v>
      </c>
      <c r="C13" s="11" t="s">
        <v>19</v>
      </c>
      <c r="D13" s="127">
        <f t="shared" ca="1" si="0"/>
        <v>143.43100000000001</v>
      </c>
      <c r="E13" s="128">
        <f t="shared" ca="1" si="1"/>
        <v>131.91200000000001</v>
      </c>
      <c r="F13" s="129"/>
      <c r="G13" s="128">
        <f t="shared" ca="1" si="2"/>
        <v>11.519</v>
      </c>
      <c r="H13" s="128">
        <f t="shared" ca="1" si="3"/>
        <v>0</v>
      </c>
      <c r="I13" s="129"/>
      <c r="J13" s="128">
        <f t="shared" ca="1" si="4"/>
        <v>0</v>
      </c>
      <c r="K13" s="130">
        <f t="shared" ca="1" si="5"/>
        <v>42485</v>
      </c>
    </row>
    <row r="14" spans="1:11" ht="24" customHeight="1" x14ac:dyDescent="0.25">
      <c r="A14" s="195" t="s">
        <v>43</v>
      </c>
      <c r="B14" s="196"/>
      <c r="C14" s="109" t="s">
        <v>16</v>
      </c>
      <c r="D14" s="123">
        <f t="shared" ca="1" si="0"/>
        <v>1347.6780000000001</v>
      </c>
      <c r="E14" s="124">
        <f t="shared" ca="1" si="1"/>
        <v>1200.9480000000001</v>
      </c>
      <c r="F14" s="125"/>
      <c r="G14" s="124">
        <f t="shared" ca="1" si="2"/>
        <v>146.72999999999999</v>
      </c>
      <c r="H14" s="124">
        <f t="shared" ca="1" si="3"/>
        <v>0</v>
      </c>
      <c r="I14" s="125"/>
      <c r="J14" s="124">
        <f t="shared" ca="1" si="4"/>
        <v>0</v>
      </c>
      <c r="K14" s="125"/>
    </row>
    <row r="15" spans="1:11" s="34" customFormat="1" ht="15" customHeight="1" x14ac:dyDescent="0.25">
      <c r="A15" s="194" t="s">
        <v>18</v>
      </c>
      <c r="B15" s="10" t="s">
        <v>26</v>
      </c>
      <c r="C15" s="11" t="s">
        <v>16</v>
      </c>
      <c r="D15" s="127">
        <f t="shared" ca="1" si="0"/>
        <v>99.454999999999998</v>
      </c>
      <c r="E15" s="128">
        <f t="shared" ca="1" si="1"/>
        <v>0</v>
      </c>
      <c r="F15" s="129"/>
      <c r="G15" s="128">
        <f t="shared" ca="1" si="2"/>
        <v>99.454999999999998</v>
      </c>
      <c r="H15" s="128">
        <f t="shared" ca="1" si="3"/>
        <v>0</v>
      </c>
      <c r="I15" s="129"/>
      <c r="J15" s="128">
        <f t="shared" ca="1" si="4"/>
        <v>0</v>
      </c>
      <c r="K15" s="129"/>
    </row>
    <row r="16" spans="1:11" s="34" customFormat="1" ht="15" customHeight="1" x14ac:dyDescent="0.25">
      <c r="A16" s="194"/>
      <c r="B16" s="10" t="s">
        <v>27</v>
      </c>
      <c r="C16" s="11" t="s">
        <v>16</v>
      </c>
      <c r="D16" s="127">
        <f t="shared" ca="1" si="0"/>
        <v>1018.054</v>
      </c>
      <c r="E16" s="128">
        <f t="shared" ca="1" si="1"/>
        <v>970.779</v>
      </c>
      <c r="F16" s="129"/>
      <c r="G16" s="128">
        <f t="shared" ca="1" si="2"/>
        <v>47.274999999999999</v>
      </c>
      <c r="H16" s="128">
        <f t="shared" ca="1" si="3"/>
        <v>0</v>
      </c>
      <c r="I16" s="129"/>
      <c r="J16" s="128">
        <f t="shared" ca="1" si="4"/>
        <v>0</v>
      </c>
      <c r="K16" s="129"/>
    </row>
    <row r="17" spans="1:11" s="34" customFormat="1" ht="15" customHeight="1" x14ac:dyDescent="0.25">
      <c r="A17" s="19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4"/>
      <c r="B18" s="34" t="s">
        <v>184</v>
      </c>
      <c r="C18" s="11" t="s">
        <v>16</v>
      </c>
      <c r="D18" s="127">
        <f ca="1">SUM(E18:J18)</f>
        <v>230.16900000000001</v>
      </c>
      <c r="E18" s="128">
        <f ca="1">INDIRECT(ADDRESS(ROW(K18),$C$3 -2010 + 4,,,"1a_SpaceHeating"))</f>
        <v>230.16900000000001</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 sqref="D1"/>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Luxembourg</v>
      </c>
      <c r="D2" s="1"/>
      <c r="E2" s="5"/>
      <c r="F2" s="3"/>
      <c r="G2" s="3"/>
      <c r="H2" s="3"/>
      <c r="I2" s="3"/>
      <c r="J2" s="3"/>
      <c r="K2" s="3"/>
    </row>
    <row r="3" spans="1:11" ht="18" customHeight="1" x14ac:dyDescent="0.25">
      <c r="A3" s="188" t="s">
        <v>2</v>
      </c>
      <c r="B3" s="189"/>
      <c r="C3" s="1">
        <f>Table1_Totals!C3</f>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16</v>
      </c>
      <c r="D6" s="120">
        <f ca="1">SUM(E6:J6)</f>
        <v>3350.3076000000001</v>
      </c>
      <c r="E6" s="121">
        <f ca="1">Table1_Totals!E6*3.6</f>
        <v>690.00120000000004</v>
      </c>
      <c r="F6" s="121">
        <f ca="1">Table1_Totals!F6*3.6</f>
        <v>61.970399999999998</v>
      </c>
      <c r="G6" s="121">
        <f ca="1">Table1_Totals!G6*3.6</f>
        <v>64.22760000000001</v>
      </c>
      <c r="H6" s="121">
        <f ca="1">Table1_Totals!H6*3.6</f>
        <v>241.1352</v>
      </c>
      <c r="I6" s="121">
        <f ca="1">Table1_Totals!I6*3.6</f>
        <v>2292.9731999999999</v>
      </c>
      <c r="J6" s="121">
        <f ca="1">Table1_Totals!J6*3.6</f>
        <v>0</v>
      </c>
      <c r="K6" s="122"/>
    </row>
    <row r="7" spans="1:11" ht="24" customHeight="1" x14ac:dyDescent="0.25">
      <c r="A7" s="195" t="s">
        <v>15</v>
      </c>
      <c r="B7" s="196"/>
      <c r="C7" s="109" t="s">
        <v>16</v>
      </c>
      <c r="D7" s="123">
        <f t="shared" ref="D7:D18" ca="1" si="0">SUM(E7:J7)</f>
        <v>0</v>
      </c>
      <c r="E7" s="124">
        <f ca="1">Table1_Totals!E7</f>
        <v>0</v>
      </c>
      <c r="F7" s="125"/>
      <c r="G7" s="124">
        <f ca="1">Table1_Totals!G7</f>
        <v>0</v>
      </c>
      <c r="H7" s="124">
        <f ca="1">Table1_Totals!H7</f>
        <v>0</v>
      </c>
      <c r="I7" s="125"/>
      <c r="J7" s="124">
        <f ca="1">Table1_Totals!J7</f>
        <v>0</v>
      </c>
      <c r="K7" s="125"/>
    </row>
    <row r="8" spans="1:11" ht="24" customHeight="1" x14ac:dyDescent="0.25">
      <c r="A8" s="195" t="s">
        <v>29</v>
      </c>
      <c r="B8" s="196"/>
      <c r="C8" s="109" t="s">
        <v>16</v>
      </c>
      <c r="D8" s="123">
        <f t="shared" ca="1" si="0"/>
        <v>10234.544400000001</v>
      </c>
      <c r="E8" s="124">
        <f ca="1">Table1_Totals!E8*0.9</f>
        <v>9043.9893000000011</v>
      </c>
      <c r="F8" s="125"/>
      <c r="G8" s="124">
        <f ca="1">Table1_Totals!G8*0.9</f>
        <v>901.32389999999998</v>
      </c>
      <c r="H8" s="124">
        <f ca="1">Table1_Totals!H8*0.9</f>
        <v>289.2312</v>
      </c>
      <c r="I8" s="125"/>
      <c r="J8" s="124">
        <f ca="1">Table1_Totals!J8*0.9</f>
        <v>0</v>
      </c>
      <c r="K8" s="125"/>
    </row>
    <row r="9" spans="1:11" ht="24" customHeight="1" x14ac:dyDescent="0.25">
      <c r="A9" s="195" t="s">
        <v>156</v>
      </c>
      <c r="B9" s="196"/>
      <c r="C9" s="109" t="s">
        <v>16</v>
      </c>
      <c r="D9" s="123">
        <f t="shared" ca="1" si="0"/>
        <v>9.9425309999999989</v>
      </c>
      <c r="E9" s="124">
        <f ca="1">IF(Table1_Totals!E9&lt;&gt;0,IF(Table1_Totals!$K9&lt;&gt;0,Table1_Totals!E9*Table1_Totals!$K9/1000,"Please check CV"),"0,000")</f>
        <v>9.9425309999999989</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23843</v>
      </c>
    </row>
    <row r="10" spans="1:11" ht="24" customHeight="1" x14ac:dyDescent="0.25">
      <c r="A10" s="195" t="s">
        <v>42</v>
      </c>
      <c r="B10" s="196"/>
      <c r="C10" s="109" t="s">
        <v>16</v>
      </c>
      <c r="D10" s="123">
        <f t="shared" ca="1" si="0"/>
        <v>6132.4285930000005</v>
      </c>
      <c r="E10" s="124">
        <f ca="1">IF(Table1_Totals!E10&lt;&gt;0,IF(Table1_Totals!$K10&lt;&gt;0,Table1_Totals!E10*Table1_Totals!$K10/1000,"Please check CV"),"0,000")</f>
        <v>5633.6692350000003</v>
      </c>
      <c r="F10" s="125"/>
      <c r="G10" s="124">
        <f ca="1">IF(Table1_Totals!G10&lt;&gt;0,IF(Table1_Totals!$K10&lt;&gt;0,Table1_Totals!G10*Table1_Totals!$K10/1000,"Please check CV"),"0,000")</f>
        <v>489.45382900000004</v>
      </c>
      <c r="H10" s="124">
        <f ca="1">IF(Table1_Totals!H10&lt;&gt;0,IF(Table1_Totals!$K10&lt;&gt;0,Table1_Totals!H10*Table1_Totals!$K10/1000,"Please check CV"),"0,000")</f>
        <v>9.3055289999999999</v>
      </c>
      <c r="I10" s="125"/>
      <c r="J10" s="124" t="str">
        <f ca="1">IF(Table1_Totals!J10&lt;&gt;0,IF(Table1_Totals!$K10&lt;&gt;0,Table1_Totals!J10*Table1_Totals!$K10/1000,"Please check CV"),"0,000")</f>
        <v>0,000</v>
      </c>
      <c r="K10" s="126">
        <f ca="1">Table1_Totals!K10</f>
        <v>42491</v>
      </c>
    </row>
    <row r="11" spans="1:11" s="34" customFormat="1" ht="15" customHeight="1" x14ac:dyDescent="0.25">
      <c r="A11" s="194" t="s">
        <v>18</v>
      </c>
      <c r="B11" s="10" t="s">
        <v>21</v>
      </c>
      <c r="C11" s="11" t="s">
        <v>16</v>
      </c>
      <c r="D11" s="127">
        <f t="shared" ca="1" si="0"/>
        <v>19.09</v>
      </c>
      <c r="E11" s="128">
        <f ca="1">IF(Table1_Totals!E11&lt;&gt;0,IF(Table1_Totals!$K11&lt;&gt;0,Table1_Totals!E11*Table1_Totals!$K11/1000,"Please check CV"),"0,000")</f>
        <v>9.016</v>
      </c>
      <c r="F11" s="129"/>
      <c r="G11" s="128" t="str">
        <f ca="1">IF(Table1_Totals!G11&lt;&gt;0,IF(Table1_Totals!$K11&lt;&gt;0,Table1_Totals!G11*Table1_Totals!$K11/1000,"Please check CV"),"0,000")</f>
        <v>0,000</v>
      </c>
      <c r="H11" s="128">
        <f ca="1">IF(Table1_Totals!H11&lt;&gt;0,IF(Table1_Totals!$K11&lt;&gt;0,Table1_Totals!H11*Table1_Totals!$K11/1000,"Please check CV"),"0,000")</f>
        <v>10.074</v>
      </c>
      <c r="I11" s="129"/>
      <c r="J11" s="128" t="str">
        <f ca="1">IF(Table1_Totals!J11&lt;&gt;0,IF(Table1_Totals!$K11&lt;&gt;0,Table1_Totals!J11*Table1_Totals!$K11/1000,"Please check CV"),"0,000")</f>
        <v>0,000</v>
      </c>
      <c r="K11" s="130">
        <f ca="1">Table1_Totals!K11</f>
        <v>46000</v>
      </c>
    </row>
    <row r="12" spans="1:11" s="34" customFormat="1" ht="15" customHeight="1" x14ac:dyDescent="0.25">
      <c r="A12" s="194"/>
      <c r="B12" s="10" t="s">
        <v>22</v>
      </c>
      <c r="C12" s="11" t="s">
        <v>16</v>
      </c>
      <c r="D12" s="127">
        <f t="shared" ca="1" si="0"/>
        <v>20.892599999999998</v>
      </c>
      <c r="E12" s="128">
        <f ca="1">IF(Table1_Totals!E12&lt;&gt;0,IF(Table1_Totals!$K12&lt;&gt;0,Table1_Totals!E12*Table1_Totals!$K12/1000,"Please check CV"),"0,000")</f>
        <v>20.892599999999998</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43800</v>
      </c>
    </row>
    <row r="13" spans="1:11" s="34" customFormat="1" ht="15" customHeight="1" x14ac:dyDescent="0.25">
      <c r="A13" s="194"/>
      <c r="B13" s="10" t="s">
        <v>23</v>
      </c>
      <c r="C13" s="11" t="s">
        <v>16</v>
      </c>
      <c r="D13" s="127">
        <f t="shared" ca="1" si="0"/>
        <v>6093.6660350000002</v>
      </c>
      <c r="E13" s="128">
        <f ca="1">IF(Table1_Totals!E13&lt;&gt;0,IF(Table1_Totals!$K13&lt;&gt;0,Table1_Totals!E13*Table1_Totals!$K13/1000,"Please check CV"),"0,000")</f>
        <v>5604.2813200000001</v>
      </c>
      <c r="F13" s="129"/>
      <c r="G13" s="128">
        <f ca="1">IF(Table1_Totals!G13&lt;&gt;0,IF(Table1_Totals!$K13&lt;&gt;0,Table1_Totals!G13*Table1_Totals!$K13/1000,"Please check CV"),"0,000")</f>
        <v>489.38471500000003</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42485</v>
      </c>
    </row>
    <row r="14" spans="1:11" ht="24" customHeight="1" x14ac:dyDescent="0.25">
      <c r="A14" s="195" t="s">
        <v>43</v>
      </c>
      <c r="B14" s="196"/>
      <c r="C14" s="109" t="s">
        <v>16</v>
      </c>
      <c r="D14" s="123">
        <f t="shared" ca="1" si="0"/>
        <v>1347.6780000000001</v>
      </c>
      <c r="E14" s="124">
        <f ca="1">Table1_Totals!E14</f>
        <v>1200.9480000000001</v>
      </c>
      <c r="F14" s="125"/>
      <c r="G14" s="124">
        <f ca="1">Table1_Totals!G14</f>
        <v>146.72999999999999</v>
      </c>
      <c r="H14" s="124">
        <f ca="1">Table1_Totals!H14</f>
        <v>0</v>
      </c>
      <c r="I14" s="125"/>
      <c r="J14" s="124">
        <f ca="1">Table1_Totals!J14</f>
        <v>0</v>
      </c>
      <c r="K14" s="125"/>
    </row>
    <row r="15" spans="1:11" s="34" customFormat="1" ht="15" customHeight="1" x14ac:dyDescent="0.25">
      <c r="A15" s="194" t="s">
        <v>18</v>
      </c>
      <c r="B15" s="10" t="s">
        <v>26</v>
      </c>
      <c r="C15" s="11" t="s">
        <v>16</v>
      </c>
      <c r="D15" s="127">
        <f t="shared" ca="1" si="0"/>
        <v>99.454999999999998</v>
      </c>
      <c r="E15" s="128">
        <f ca="1">Table1_Totals!E15</f>
        <v>0</v>
      </c>
      <c r="F15" s="129"/>
      <c r="G15" s="128">
        <f ca="1">Table1_Totals!G15</f>
        <v>99.454999999999998</v>
      </c>
      <c r="H15" s="128">
        <f ca="1">Table1_Totals!H15</f>
        <v>0</v>
      </c>
      <c r="I15" s="129"/>
      <c r="J15" s="128">
        <f ca="1">Table1_Totals!J15</f>
        <v>0</v>
      </c>
      <c r="K15" s="129"/>
    </row>
    <row r="16" spans="1:11" s="34" customFormat="1" ht="15" customHeight="1" x14ac:dyDescent="0.25">
      <c r="A16" s="194"/>
      <c r="B16" s="10" t="s">
        <v>27</v>
      </c>
      <c r="C16" s="11" t="s">
        <v>16</v>
      </c>
      <c r="D16" s="127">
        <f t="shared" ca="1" si="0"/>
        <v>1018.054</v>
      </c>
      <c r="E16" s="128">
        <f ca="1">Table1_Totals!E16</f>
        <v>970.779</v>
      </c>
      <c r="F16" s="129"/>
      <c r="G16" s="128">
        <f ca="1">Table1_Totals!G16</f>
        <v>47.274999999999999</v>
      </c>
      <c r="H16" s="128">
        <f ca="1">Table1_Totals!H16</f>
        <v>0</v>
      </c>
      <c r="I16" s="129"/>
      <c r="J16" s="128">
        <f ca="1">Table1_Totals!J16</f>
        <v>0</v>
      </c>
      <c r="K16" s="129"/>
    </row>
    <row r="17" spans="1:11" s="34" customFormat="1" ht="15" customHeight="1" x14ac:dyDescent="0.25">
      <c r="A17" s="19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4"/>
      <c r="B18" s="34" t="s">
        <v>184</v>
      </c>
      <c r="C18" s="11" t="s">
        <v>16</v>
      </c>
      <c r="D18" s="127">
        <f t="shared" ca="1" si="0"/>
        <v>230.16900000000001</v>
      </c>
      <c r="E18" s="128">
        <f ca="1">Table1_Totals!E18</f>
        <v>230.16900000000001</v>
      </c>
      <c r="F18" s="129"/>
      <c r="G18" s="128">
        <f ca="1">Table1_Totals!G18</f>
        <v>0</v>
      </c>
      <c r="H18" s="128">
        <f ca="1">Table1_Totals!H18</f>
        <v>0</v>
      </c>
      <c r="I18" s="129"/>
      <c r="J18" s="128">
        <f ca="1">Table1_Totals!J18</f>
        <v>0</v>
      </c>
      <c r="K18" s="129"/>
    </row>
    <row r="19" spans="1:11" ht="24" customHeight="1" x14ac:dyDescent="0.25">
      <c r="A19" s="195" t="s">
        <v>171</v>
      </c>
      <c r="B19" s="196"/>
      <c r="C19" s="109" t="s">
        <v>16</v>
      </c>
      <c r="D19" s="123">
        <f t="shared" ref="D19" ca="1" si="2">SUM(E19:J19)</f>
        <v>21074.901124</v>
      </c>
      <c r="E19" s="124">
        <f ca="1">SUM(E6:E10,E14)</f>
        <v>16578.550266000002</v>
      </c>
      <c r="F19" s="124">
        <f t="shared" ref="F19:J19" ca="1" si="3">SUM(F6:F10,F14)</f>
        <v>61.970399999999998</v>
      </c>
      <c r="G19" s="124">
        <f t="shared" ca="1" si="3"/>
        <v>1601.7353290000001</v>
      </c>
      <c r="H19" s="124">
        <f t="shared" ca="1" si="3"/>
        <v>539.67192899999998</v>
      </c>
      <c r="I19" s="124">
        <f t="shared" ca="1" si="3"/>
        <v>2292.9731999999999</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topLeftCell="A4" zoomScale="90" zoomScaleNormal="90" workbookViewId="0">
      <pane xSplit="3" topLeftCell="I1" activePane="topRight" state="frozen"/>
      <selection activeCell="DS1" sqref="DS1:ED1048576"/>
      <selection pane="topRight" activeCell="L6" sqref="L6:L18"/>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188.70699999999999</v>
      </c>
      <c r="E6" s="60">
        <v>169.654</v>
      </c>
      <c r="F6" s="60">
        <v>155.26499999999999</v>
      </c>
      <c r="G6" s="60">
        <v>215.886</v>
      </c>
      <c r="H6" s="60">
        <v>201.11500000000001</v>
      </c>
      <c r="I6" s="60">
        <v>251.85400000000001</v>
      </c>
      <c r="J6" s="60">
        <v>262.96499999999997</v>
      </c>
      <c r="K6" s="60">
        <v>214.36199999999999</v>
      </c>
      <c r="L6" s="60">
        <v>191.667</v>
      </c>
      <c r="M6" s="60"/>
      <c r="N6" s="60"/>
      <c r="O6" s="60"/>
      <c r="DS6" s="4" t="str">
        <f>VLOOKUP(Cover!$D$15, Country_list!$B$3:$C$44, 2, 0)</f>
        <v>LU</v>
      </c>
      <c r="DT6" s="33" t="s">
        <v>289</v>
      </c>
      <c r="DV6" s="33" t="s">
        <v>302</v>
      </c>
      <c r="EB6" s="33" t="s">
        <v>291</v>
      </c>
      <c r="ED6" s="33" t="s">
        <v>294</v>
      </c>
    </row>
    <row r="7" spans="1:134" ht="24" customHeight="1" x14ac:dyDescent="0.25">
      <c r="A7" s="174" t="s">
        <v>15</v>
      </c>
      <c r="B7" s="198"/>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198"/>
      <c r="C8" s="9" t="s">
        <v>17</v>
      </c>
      <c r="D8" s="61">
        <v>9678.2250000000004</v>
      </c>
      <c r="E8" s="58">
        <v>9097.5560000000005</v>
      </c>
      <c r="F8" s="58">
        <v>8102.5069999999996</v>
      </c>
      <c r="G8" s="58">
        <v>8849.893</v>
      </c>
      <c r="H8" s="58">
        <v>8506.6280000000006</v>
      </c>
      <c r="I8" s="58">
        <v>9035.3029999999999</v>
      </c>
      <c r="J8" s="58">
        <v>9654.1759999999995</v>
      </c>
      <c r="K8" s="58">
        <v>10849.983</v>
      </c>
      <c r="L8" s="58">
        <v>10048.877</v>
      </c>
      <c r="M8" s="58"/>
      <c r="N8" s="58"/>
      <c r="O8" s="58"/>
      <c r="DT8" s="33" t="s">
        <v>231</v>
      </c>
      <c r="EB8" s="33" t="s">
        <v>291</v>
      </c>
      <c r="ED8" s="33" t="s">
        <v>296</v>
      </c>
    </row>
    <row r="9" spans="1:134" ht="24" customHeight="1" x14ac:dyDescent="0.25">
      <c r="A9" s="174" t="s">
        <v>156</v>
      </c>
      <c r="B9" s="198"/>
      <c r="C9" s="9" t="s">
        <v>19</v>
      </c>
      <c r="D9" s="61">
        <v>1.069</v>
      </c>
      <c r="E9" s="58">
        <v>0.97899999999999998</v>
      </c>
      <c r="F9" s="58">
        <v>0.79800000000000004</v>
      </c>
      <c r="G9" s="58">
        <v>1.1220000000000001</v>
      </c>
      <c r="H9" s="58">
        <v>0.84399999999999997</v>
      </c>
      <c r="I9" s="58">
        <v>1.0229999999999999</v>
      </c>
      <c r="J9" s="58">
        <v>1.0469999999999999</v>
      </c>
      <c r="K9" s="58">
        <v>0.68700000000000006</v>
      </c>
      <c r="L9" s="58">
        <v>0.41699999999999998</v>
      </c>
      <c r="M9" s="58"/>
      <c r="N9" s="58"/>
      <c r="O9" s="58"/>
      <c r="DT9" s="33" t="s">
        <v>279</v>
      </c>
      <c r="EB9" s="33" t="s">
        <v>292</v>
      </c>
      <c r="ED9" s="33" t="s">
        <v>293</v>
      </c>
    </row>
    <row r="10" spans="1:134" ht="24" customHeight="1" x14ac:dyDescent="0.25">
      <c r="A10" s="174" t="s">
        <v>20</v>
      </c>
      <c r="B10" s="198"/>
      <c r="C10" s="9" t="s">
        <v>19</v>
      </c>
      <c r="D10" s="61">
        <v>178.11600000000001</v>
      </c>
      <c r="E10" s="58">
        <v>156.018</v>
      </c>
      <c r="F10" s="58">
        <v>176.96700000000001</v>
      </c>
      <c r="G10" s="58">
        <v>166.053</v>
      </c>
      <c r="H10" s="58">
        <v>140.05199999999999</v>
      </c>
      <c r="I10" s="58">
        <v>160.16300000000001</v>
      </c>
      <c r="J10" s="58">
        <v>162.01399999999998</v>
      </c>
      <c r="K10" s="58">
        <v>146.386</v>
      </c>
      <c r="L10" s="58">
        <v>132.58500000000001</v>
      </c>
      <c r="M10" s="58"/>
      <c r="N10" s="58"/>
      <c r="O10" s="58"/>
      <c r="DT10" s="139" t="s">
        <v>280</v>
      </c>
      <c r="EB10" s="33" t="s">
        <v>292</v>
      </c>
      <c r="ED10" s="33" t="s">
        <v>293</v>
      </c>
    </row>
    <row r="11" spans="1:134" s="34" customFormat="1" ht="15" customHeight="1" x14ac:dyDescent="0.25">
      <c r="A11" s="173" t="s">
        <v>18</v>
      </c>
      <c r="B11" s="110" t="s">
        <v>21</v>
      </c>
      <c r="C11" s="111" t="s">
        <v>19</v>
      </c>
      <c r="D11" s="112">
        <v>0.61599999999999999</v>
      </c>
      <c r="E11" s="113">
        <v>5.5E-2</v>
      </c>
      <c r="F11" s="113">
        <v>1.0999999999999999E-2</v>
      </c>
      <c r="G11" s="113">
        <v>1.2E-2</v>
      </c>
      <c r="H11" s="113">
        <v>2.8000000000000001E-2</v>
      </c>
      <c r="I11" s="113">
        <v>8.3000000000000004E-2</v>
      </c>
      <c r="J11" s="113">
        <v>6.7000000000000004E-2</v>
      </c>
      <c r="K11" s="113">
        <v>0.154</v>
      </c>
      <c r="L11" s="113">
        <v>0.19600000000000001</v>
      </c>
      <c r="M11" s="113"/>
      <c r="N11" s="113"/>
      <c r="O11" s="113"/>
      <c r="DT11" s="34" t="s">
        <v>281</v>
      </c>
      <c r="EB11" s="34" t="s">
        <v>292</v>
      </c>
      <c r="ED11" s="34" t="s">
        <v>293</v>
      </c>
    </row>
    <row r="12" spans="1:134" s="34" customFormat="1" ht="15" customHeight="1" x14ac:dyDescent="0.25">
      <c r="A12" s="173"/>
      <c r="B12" s="110" t="s">
        <v>22</v>
      </c>
      <c r="C12" s="111" t="s">
        <v>19</v>
      </c>
      <c r="D12" s="112">
        <v>0.64200000000000002</v>
      </c>
      <c r="E12" s="113">
        <v>0.80300000000000005</v>
      </c>
      <c r="F12" s="113">
        <v>0.71799999999999997</v>
      </c>
      <c r="G12" s="113">
        <v>0.68400000000000005</v>
      </c>
      <c r="H12" s="113">
        <v>0.41199999999999998</v>
      </c>
      <c r="I12" s="113">
        <v>0.82799999999999996</v>
      </c>
      <c r="J12" s="113">
        <v>0.48399999999999999</v>
      </c>
      <c r="K12" s="113">
        <v>0.498</v>
      </c>
      <c r="L12" s="113">
        <v>0.47699999999999998</v>
      </c>
      <c r="M12" s="113"/>
      <c r="N12" s="113"/>
      <c r="O12" s="113"/>
      <c r="DT12" s="34" t="s">
        <v>282</v>
      </c>
      <c r="EB12" s="34" t="s">
        <v>292</v>
      </c>
      <c r="ED12" s="34" t="s">
        <v>293</v>
      </c>
    </row>
    <row r="13" spans="1:134" s="34" customFormat="1" ht="15" customHeight="1" x14ac:dyDescent="0.25">
      <c r="A13" s="173"/>
      <c r="B13" s="110" t="s">
        <v>23</v>
      </c>
      <c r="C13" s="111" t="s">
        <v>19</v>
      </c>
      <c r="D13" s="112">
        <v>176.858</v>
      </c>
      <c r="E13" s="113">
        <v>155.16</v>
      </c>
      <c r="F13" s="113">
        <v>176.238</v>
      </c>
      <c r="G13" s="113">
        <v>165.357</v>
      </c>
      <c r="H13" s="113">
        <v>139.61199999999999</v>
      </c>
      <c r="I13" s="113">
        <v>159.25200000000001</v>
      </c>
      <c r="J13" s="113">
        <v>161.46299999999999</v>
      </c>
      <c r="K13" s="113">
        <v>145.73400000000001</v>
      </c>
      <c r="L13" s="113">
        <v>131.91200000000001</v>
      </c>
      <c r="M13" s="113"/>
      <c r="N13" s="113"/>
      <c r="O13" s="113"/>
      <c r="DT13" s="34" t="s">
        <v>283</v>
      </c>
      <c r="EB13" s="34" t="s">
        <v>292</v>
      </c>
      <c r="ED13" s="34" t="s">
        <v>293</v>
      </c>
    </row>
    <row r="14" spans="1:134" ht="24" customHeight="1" x14ac:dyDescent="0.25">
      <c r="A14" s="174" t="s">
        <v>24</v>
      </c>
      <c r="B14" s="198"/>
      <c r="C14" s="9" t="s">
        <v>25</v>
      </c>
      <c r="D14" s="61">
        <v>756.80700000000002</v>
      </c>
      <c r="E14" s="58">
        <v>603.33600000000001</v>
      </c>
      <c r="F14" s="58">
        <v>774.476</v>
      </c>
      <c r="G14" s="58">
        <v>864.351</v>
      </c>
      <c r="H14" s="58">
        <v>963.17200000000003</v>
      </c>
      <c r="I14" s="58">
        <v>1047.287</v>
      </c>
      <c r="J14" s="58">
        <v>1200.664</v>
      </c>
      <c r="K14" s="58">
        <v>1114.991</v>
      </c>
      <c r="L14" s="58">
        <v>1200.9480000000001</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73"/>
      <c r="B16" s="110" t="s">
        <v>27</v>
      </c>
      <c r="C16" s="111" t="s">
        <v>25</v>
      </c>
      <c r="D16" s="112">
        <v>720.70699999999999</v>
      </c>
      <c r="E16" s="113">
        <v>556.70699999999999</v>
      </c>
      <c r="F16" s="113">
        <v>709.053</v>
      </c>
      <c r="G16" s="113">
        <v>784.98500000000001</v>
      </c>
      <c r="H16" s="113">
        <v>863.41</v>
      </c>
      <c r="I16" s="113">
        <v>902.495</v>
      </c>
      <c r="J16" s="113">
        <v>1028.498</v>
      </c>
      <c r="K16" s="113">
        <v>917.29700000000003</v>
      </c>
      <c r="L16" s="113">
        <v>970.779</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184</v>
      </c>
      <c r="C18" s="111" t="s">
        <v>25</v>
      </c>
      <c r="D18" s="112">
        <v>36.1</v>
      </c>
      <c r="E18" s="112">
        <v>46.628999999999998</v>
      </c>
      <c r="F18" s="112">
        <v>65.423000000000002</v>
      </c>
      <c r="G18" s="112">
        <v>79.366</v>
      </c>
      <c r="H18" s="112">
        <v>99.762</v>
      </c>
      <c r="I18" s="112">
        <v>144.792</v>
      </c>
      <c r="J18" s="112">
        <v>172.166</v>
      </c>
      <c r="K18" s="112">
        <v>197.69399999999999</v>
      </c>
      <c r="L18" s="112">
        <v>230.16900000000001</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H1" activePane="topRight" state="frozen"/>
      <selection activeCell="DS1" sqref="DS1:ED1048576"/>
      <selection pane="topRight" activeCell="D6" sqref="D6:L6"/>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1"/>
      <c r="C6" s="8" t="s">
        <v>14</v>
      </c>
      <c r="D6" s="59">
        <v>12.510999999999999</v>
      </c>
      <c r="E6" s="60">
        <v>13.645</v>
      </c>
      <c r="F6" s="60">
        <v>15.398</v>
      </c>
      <c r="G6" s="60">
        <v>16.984999999999999</v>
      </c>
      <c r="H6" s="60">
        <v>18.126999999999999</v>
      </c>
      <c r="I6" s="60">
        <v>20.209</v>
      </c>
      <c r="J6" s="60">
        <v>20.609000000000002</v>
      </c>
      <c r="K6" s="60">
        <v>14.117000000000001</v>
      </c>
      <c r="L6" s="60">
        <v>17.213999999999999</v>
      </c>
      <c r="M6" s="60"/>
      <c r="N6" s="60"/>
      <c r="O6" s="60"/>
      <c r="DS6" s="4" t="str">
        <f>VLOOKUP(Cover!$D$15, Country_list!$B$3:$C$44, 2, 0)</f>
        <v>LU</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G1" activePane="topRight" state="frozen"/>
      <selection activeCell="DS1" sqref="DS1:ED1048576"/>
      <selection pane="topRight" activeCell="D6" sqref="D6:L16"/>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8</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12.930999999999999</v>
      </c>
      <c r="E6" s="60">
        <v>13.86</v>
      </c>
      <c r="F6" s="60">
        <v>12.914</v>
      </c>
      <c r="G6" s="60">
        <v>16.225999999999999</v>
      </c>
      <c r="H6" s="60">
        <v>16.169</v>
      </c>
      <c r="I6" s="60">
        <v>23.283000000000001</v>
      </c>
      <c r="J6" s="60">
        <v>21.556000000000001</v>
      </c>
      <c r="K6" s="60">
        <v>15.78</v>
      </c>
      <c r="L6" s="60">
        <v>17.841000000000001</v>
      </c>
      <c r="M6" s="60"/>
      <c r="N6" s="60"/>
      <c r="O6" s="60"/>
      <c r="DS6" s="4" t="str">
        <f>VLOOKUP(Cover!$D$15, Country_list!$B$3:$C$44, 2, 0)</f>
        <v>LU</v>
      </c>
      <c r="DT6" s="33" t="s">
        <v>289</v>
      </c>
      <c r="DV6" s="33" t="s">
        <v>304</v>
      </c>
      <c r="EB6" s="33" t="s">
        <v>291</v>
      </c>
      <c r="ED6" s="33" t="s">
        <v>294</v>
      </c>
    </row>
    <row r="7" spans="1:134" ht="24" customHeight="1" x14ac:dyDescent="0.25">
      <c r="A7" s="174" t="s">
        <v>15</v>
      </c>
      <c r="B7" s="198"/>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198"/>
      <c r="C8" s="9" t="s">
        <v>17</v>
      </c>
      <c r="D8" s="61">
        <v>745.83199999999999</v>
      </c>
      <c r="E8" s="58">
        <v>706.01499999999999</v>
      </c>
      <c r="F8" s="58">
        <v>896.91800000000001</v>
      </c>
      <c r="G8" s="58">
        <v>731.53700000000003</v>
      </c>
      <c r="H8" s="58">
        <v>710.64800000000002</v>
      </c>
      <c r="I8" s="58">
        <v>965.69100000000003</v>
      </c>
      <c r="J8" s="58">
        <v>994.46299999999997</v>
      </c>
      <c r="K8" s="58">
        <v>1218.6489999999999</v>
      </c>
      <c r="L8" s="58">
        <v>1001.471</v>
      </c>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v>11.016</v>
      </c>
      <c r="E10" s="58">
        <v>13.407999999999999</v>
      </c>
      <c r="F10" s="58">
        <v>11.74</v>
      </c>
      <c r="G10" s="58">
        <v>11.394</v>
      </c>
      <c r="H10" s="58">
        <v>10.817</v>
      </c>
      <c r="I10" s="58">
        <v>12.971</v>
      </c>
      <c r="J10" s="58">
        <v>10.991</v>
      </c>
      <c r="K10" s="58">
        <v>7.9790000000000001</v>
      </c>
      <c r="L10" s="58">
        <v>11.519</v>
      </c>
      <c r="M10" s="58"/>
      <c r="N10" s="58"/>
      <c r="O10" s="58"/>
      <c r="DT10" s="139" t="s">
        <v>280</v>
      </c>
      <c r="EB10" s="33" t="s">
        <v>292</v>
      </c>
      <c r="ED10" s="33" t="s">
        <v>293</v>
      </c>
    </row>
    <row r="11" spans="1:134" s="34" customFormat="1" ht="15" customHeight="1" x14ac:dyDescent="0.25">
      <c r="A11" s="173" t="s">
        <v>18</v>
      </c>
      <c r="B11" s="110" t="s">
        <v>21</v>
      </c>
      <c r="C11" s="111" t="s">
        <v>19</v>
      </c>
      <c r="D11" s="112">
        <v>0.106</v>
      </c>
      <c r="E11" s="113">
        <v>2.7E-2</v>
      </c>
      <c r="F11" s="113">
        <v>0</v>
      </c>
      <c r="G11" s="113">
        <v>0</v>
      </c>
      <c r="H11" s="113">
        <v>0</v>
      </c>
      <c r="I11" s="113">
        <v>0</v>
      </c>
      <c r="J11" s="113">
        <v>0</v>
      </c>
      <c r="K11" s="113">
        <v>0</v>
      </c>
      <c r="L11" s="113">
        <v>0</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v>10.91</v>
      </c>
      <c r="E13" s="113">
        <v>13.381</v>
      </c>
      <c r="F13" s="113">
        <v>11.74</v>
      </c>
      <c r="G13" s="113">
        <v>11.394</v>
      </c>
      <c r="H13" s="113">
        <v>10.817</v>
      </c>
      <c r="I13" s="113">
        <v>12.971</v>
      </c>
      <c r="J13" s="113">
        <v>10.991</v>
      </c>
      <c r="K13" s="113">
        <v>7.9790000000000001</v>
      </c>
      <c r="L13" s="113">
        <v>11.519</v>
      </c>
      <c r="M13" s="113"/>
      <c r="N13" s="113"/>
      <c r="O13" s="113"/>
      <c r="DT13" s="34" t="s">
        <v>283</v>
      </c>
      <c r="EB13" s="34" t="s">
        <v>292</v>
      </c>
      <c r="ED13" s="34" t="s">
        <v>293</v>
      </c>
    </row>
    <row r="14" spans="1:134" ht="24" customHeight="1" x14ac:dyDescent="0.25">
      <c r="A14" s="174" t="s">
        <v>24</v>
      </c>
      <c r="B14" s="198"/>
      <c r="C14" s="9" t="s">
        <v>25</v>
      </c>
      <c r="D14" s="61">
        <v>59.546999999999997</v>
      </c>
      <c r="E14" s="58">
        <v>69.679000000000002</v>
      </c>
      <c r="F14" s="58">
        <v>72.891000000000005</v>
      </c>
      <c r="G14" s="58">
        <v>81.894000000000005</v>
      </c>
      <c r="H14" s="58">
        <v>95.4</v>
      </c>
      <c r="I14" s="58">
        <v>116.44799999999999</v>
      </c>
      <c r="J14" s="58">
        <v>115.227</v>
      </c>
      <c r="K14" s="58">
        <v>124.11499999999999</v>
      </c>
      <c r="L14" s="58">
        <v>146.72999999999999</v>
      </c>
      <c r="M14" s="58"/>
      <c r="N14" s="58"/>
      <c r="O14" s="58"/>
      <c r="DT14" s="139" t="s">
        <v>284</v>
      </c>
      <c r="EB14" s="33" t="s">
        <v>291</v>
      </c>
      <c r="ED14" s="33" t="s">
        <v>295</v>
      </c>
    </row>
    <row r="15" spans="1:134" s="34" customFormat="1" ht="15" customHeight="1" x14ac:dyDescent="0.25">
      <c r="A15" s="173" t="s">
        <v>18</v>
      </c>
      <c r="B15" s="110" t="s">
        <v>26</v>
      </c>
      <c r="C15" s="111" t="s">
        <v>25</v>
      </c>
      <c r="D15" s="112">
        <v>38.134</v>
      </c>
      <c r="E15" s="113">
        <v>47.35</v>
      </c>
      <c r="F15" s="113">
        <v>57.124000000000002</v>
      </c>
      <c r="G15" s="113">
        <v>68.37</v>
      </c>
      <c r="H15" s="113">
        <v>73.686999999999998</v>
      </c>
      <c r="I15" s="113">
        <v>79.938999999999993</v>
      </c>
      <c r="J15" s="113">
        <v>86.197000000000003</v>
      </c>
      <c r="K15" s="113">
        <v>91.084999999999994</v>
      </c>
      <c r="L15" s="113">
        <v>99.454999999999998</v>
      </c>
      <c r="M15" s="113"/>
      <c r="N15" s="113"/>
      <c r="O15" s="113"/>
      <c r="DT15" s="34" t="s">
        <v>285</v>
      </c>
      <c r="EB15" s="34" t="s">
        <v>291</v>
      </c>
      <c r="ED15" s="34" t="s">
        <v>295</v>
      </c>
    </row>
    <row r="16" spans="1:134" s="34" customFormat="1" ht="15" customHeight="1" x14ac:dyDescent="0.25">
      <c r="A16" s="173"/>
      <c r="B16" s="110" t="s">
        <v>27</v>
      </c>
      <c r="C16" s="111" t="s">
        <v>25</v>
      </c>
      <c r="D16" s="112">
        <v>21.413</v>
      </c>
      <c r="E16" s="113">
        <v>22.329000000000001</v>
      </c>
      <c r="F16" s="113">
        <v>15.766999999999999</v>
      </c>
      <c r="G16" s="113">
        <v>13.523999999999999</v>
      </c>
      <c r="H16" s="113">
        <v>21.713000000000001</v>
      </c>
      <c r="I16" s="113">
        <v>36.509</v>
      </c>
      <c r="J16" s="113">
        <v>29.03</v>
      </c>
      <c r="K16" s="113">
        <v>33.03</v>
      </c>
      <c r="L16" s="113">
        <v>47.274999999999999</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D6" sqref="D6:L11"/>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9</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70.78</v>
      </c>
      <c r="E6" s="60">
        <v>73.27</v>
      </c>
      <c r="F6" s="60">
        <v>78.614000000000004</v>
      </c>
      <c r="G6" s="60">
        <v>82.594999999999999</v>
      </c>
      <c r="H6" s="60">
        <v>84.081000000000003</v>
      </c>
      <c r="I6" s="60">
        <v>89.545000000000002</v>
      </c>
      <c r="J6" s="60">
        <v>87.343000000000004</v>
      </c>
      <c r="K6" s="60">
        <v>57.295000000000002</v>
      </c>
      <c r="L6" s="60">
        <v>66.981999999999999</v>
      </c>
      <c r="M6" s="60"/>
      <c r="N6" s="60"/>
      <c r="O6" s="60"/>
      <c r="DS6" s="4" t="str">
        <f>VLOOKUP(Cover!$D$15, Country_list!$B$3:$C$44, 2, 0)</f>
        <v>LU</v>
      </c>
      <c r="DT6" s="33" t="s">
        <v>289</v>
      </c>
      <c r="DV6" s="33" t="s">
        <v>305</v>
      </c>
      <c r="EB6" s="33" t="s">
        <v>291</v>
      </c>
      <c r="ED6" s="33" t="s">
        <v>294</v>
      </c>
    </row>
    <row r="7" spans="1:134" ht="24" customHeight="1" x14ac:dyDescent="0.25">
      <c r="A7" s="174" t="s">
        <v>15</v>
      </c>
      <c r="B7" s="198"/>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198"/>
      <c r="C8" s="9" t="s">
        <v>17</v>
      </c>
      <c r="D8" s="61">
        <v>243.417</v>
      </c>
      <c r="E8" s="58">
        <v>234.09100000000001</v>
      </c>
      <c r="F8" s="58">
        <v>293.99599999999998</v>
      </c>
      <c r="G8" s="58">
        <v>248.143</v>
      </c>
      <c r="H8" s="58">
        <v>229.50700000000001</v>
      </c>
      <c r="I8" s="58">
        <v>295.24900000000002</v>
      </c>
      <c r="J8" s="58">
        <v>303.15899999999999</v>
      </c>
      <c r="K8" s="58">
        <v>374.387</v>
      </c>
      <c r="L8" s="58">
        <v>321.36799999999999</v>
      </c>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v>1.341</v>
      </c>
      <c r="E10" s="58">
        <v>0.61299999999999999</v>
      </c>
      <c r="F10" s="58">
        <v>0.29499999999999998</v>
      </c>
      <c r="G10" s="58">
        <v>0.33900000000000002</v>
      </c>
      <c r="H10" s="58">
        <v>0.42599999999999999</v>
      </c>
      <c r="I10" s="58">
        <v>0.34799999999999998</v>
      </c>
      <c r="J10" s="58">
        <v>0.35399999999999998</v>
      </c>
      <c r="K10" s="58">
        <v>0.17199999999999999</v>
      </c>
      <c r="L10" s="58">
        <v>0.219</v>
      </c>
      <c r="M10" s="58"/>
      <c r="N10" s="58"/>
      <c r="O10" s="58"/>
      <c r="DT10" s="139" t="s">
        <v>280</v>
      </c>
      <c r="EB10" s="33" t="s">
        <v>292</v>
      </c>
      <c r="ED10" s="33" t="s">
        <v>293</v>
      </c>
    </row>
    <row r="11" spans="1:134" s="34" customFormat="1" ht="15" customHeight="1" x14ac:dyDescent="0.25">
      <c r="A11" s="173" t="s">
        <v>18</v>
      </c>
      <c r="B11" s="110" t="s">
        <v>21</v>
      </c>
      <c r="C11" s="111" t="s">
        <v>19</v>
      </c>
      <c r="D11" s="112">
        <v>1.341</v>
      </c>
      <c r="E11" s="113">
        <v>0.61299999999999999</v>
      </c>
      <c r="F11" s="113">
        <v>0.29499999999999998</v>
      </c>
      <c r="G11" s="113">
        <v>0.33900000000000002</v>
      </c>
      <c r="H11" s="113">
        <v>0.42599999999999999</v>
      </c>
      <c r="I11" s="113">
        <v>0.34799999999999998</v>
      </c>
      <c r="J11" s="113">
        <v>0.35399999999999998</v>
      </c>
      <c r="K11" s="113">
        <v>0.17199999999999999</v>
      </c>
      <c r="L11" s="113">
        <v>0.219</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F1" activePane="topRight" state="frozen"/>
      <selection activeCell="DS1" sqref="DS1:ED1048576"/>
      <selection pane="topRight" activeCell="K6" sqref="K6"/>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v>530.226</v>
      </c>
      <c r="E6" s="63">
        <v>581.18600000000004</v>
      </c>
      <c r="F6" s="63">
        <v>654.30200000000002</v>
      </c>
      <c r="G6" s="63">
        <v>647.71100000000001</v>
      </c>
      <c r="H6" s="63">
        <v>691.75599999999997</v>
      </c>
      <c r="I6" s="63">
        <v>604.79499999999996</v>
      </c>
      <c r="J6" s="63">
        <v>584.01700000000005</v>
      </c>
      <c r="K6" s="63">
        <v>668.90499999999997</v>
      </c>
      <c r="L6" s="63">
        <v>636.93700000000001</v>
      </c>
      <c r="M6" s="63"/>
      <c r="N6" s="63"/>
      <c r="O6" s="63"/>
      <c r="DS6" s="4" t="str">
        <f>VLOOKUP(Cover!$D$15, Country_list!$B$3:$C$44, 2, 0)</f>
        <v>LU</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209"/>
      <c r="C6" s="8" t="s">
        <v>14</v>
      </c>
      <c r="D6" s="59"/>
      <c r="E6" s="60"/>
      <c r="F6" s="60"/>
      <c r="G6" s="60"/>
      <c r="H6" s="60"/>
      <c r="I6" s="60"/>
      <c r="J6" s="60"/>
      <c r="K6" s="60"/>
      <c r="L6" s="60"/>
      <c r="M6" s="60"/>
      <c r="N6" s="60"/>
      <c r="O6" s="60"/>
      <c r="DS6" s="4" t="str">
        <f>VLOOKUP(Cover!$D$15, Country_list!$B$3:$C$44, 2, 0)</f>
        <v>LU</v>
      </c>
      <c r="DT6" s="33" t="s">
        <v>289</v>
      </c>
      <c r="DV6" s="33" t="s">
        <v>307</v>
      </c>
      <c r="EB6" s="33" t="s">
        <v>291</v>
      </c>
      <c r="ED6" s="33" t="s">
        <v>294</v>
      </c>
    </row>
    <row r="7" spans="1:134" ht="24" customHeight="1" x14ac:dyDescent="0.25">
      <c r="A7" s="174"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C8" sqref="C8"/>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TRUE</v>
      </c>
      <c r="D45" s="99" t="str">
        <f>IF(Calorific_Values!E12&lt;&gt;0,IF(AND(40000&lt;=Calorific_Values!E12,Calorific_Values!E12&lt;=45000),"TRUE","FALSE"),"")</f>
        <v>TRUE</v>
      </c>
      <c r="E45" s="99" t="str">
        <f>IF(Calorific_Values!F12&lt;&gt;0,IF(AND(40000&lt;=Calorific_Values!F12,Calorific_Values!F12&lt;=45000),"TRUE","FALSE"),"")</f>
        <v>TRUE</v>
      </c>
      <c r="F45" s="99" t="str">
        <f>IF(Calorific_Values!G12&lt;&gt;0,IF(AND(40000&lt;=Calorific_Values!G12,Calorific_Values!G12&lt;=45000),"TRUE","FALSE"),"")</f>
        <v>TRUE</v>
      </c>
      <c r="G45" s="99" t="str">
        <f>IF(Calorific_Values!H12&lt;&gt;0,IF(AND(40000&lt;=Calorific_Values!H12,Calorific_Values!H12&lt;=45000),"TRUE","FALSE"),"")</f>
        <v>TRUE</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2020-01-30T14:10:21Z</dcterms:modified>
  <cp:category>Annual questionnaires</cp:category>
</cp:coreProperties>
</file>