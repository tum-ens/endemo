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8800" windowHeight="1243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H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8" i="5"/>
  <c r="H16" i="5"/>
  <c r="G13" i="5"/>
  <c r="G9" i="5"/>
  <c r="H13" i="5"/>
  <c r="G14" i="5"/>
  <c r="H12" i="5"/>
  <c r="E15" i="5"/>
  <c r="H18" i="5"/>
  <c r="J7" i="5"/>
  <c r="H6" i="5"/>
  <c r="E18" i="5"/>
  <c r="J14" i="5"/>
  <c r="G18" i="5"/>
  <c r="H15" i="5"/>
  <c r="J6" i="5"/>
  <c r="J11" i="5"/>
  <c r="E7" i="5"/>
  <c r="E12" i="5"/>
  <c r="F6" i="5"/>
  <c r="J9" i="5"/>
  <c r="E8" i="5"/>
  <c r="K9" i="5"/>
  <c r="G16" i="5"/>
  <c r="H8" i="5"/>
  <c r="E16" i="5"/>
  <c r="E14" i="5"/>
  <c r="H7" i="5"/>
  <c r="G15" i="5"/>
  <c r="J13" i="5"/>
  <c r="G11" i="5"/>
  <c r="E11" i="5"/>
  <c r="H10" i="5"/>
  <c r="G6" i="5"/>
  <c r="J18" i="5"/>
  <c r="G7" i="5"/>
  <c r="J15" i="5"/>
  <c r="J10" i="5"/>
  <c r="H9" i="5"/>
  <c r="G12" i="5"/>
  <c r="H11" i="5"/>
  <c r="J12" i="5"/>
  <c r="G10" i="5"/>
  <c r="E9" i="5"/>
  <c r="E13" i="5"/>
  <c r="J16" i="5"/>
  <c r="E6" i="5"/>
  <c r="I6" i="5"/>
  <c r="H14" i="5"/>
  <c r="J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<sst xmlns="http://schemas.openxmlformats.org/spreadsheetml/2006/main" count="952" uniqueCount="315">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</sst>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141</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30" zoomScale="90" zoomScaleNormal="90" workbookViewId="0">
      <selection activeCell="B36" sqref="B36"/>
    </sheetView>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A3" sqref="A3:B3"/>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GE</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v>38888903</v>
      </c>
      <c r="K8" s="46">
        <v>38888903</v>
      </c>
      <c r="L8" s="46">
        <v>38888903</v>
      </c>
      <c r="M8" s="46"/>
      <c r="N8" s="46"/>
      <c r="O8" s="46"/>
    </row>
    <row r="9" spans="1:134" ht="24" customHeight="1" x14ac:dyDescent="0.2">
      <c r="A9" s="174" t="s">
        <v>156</v>
      </c>
      <c r="B9" s="175"/>
      <c r="C9" s="9" t="s">
        <v>132</v>
      </c>
      <c r="D9" s="93"/>
      <c r="E9" s="94"/>
      <c r="F9" s="94"/>
      <c r="G9" s="94"/>
      <c r="H9" s="94"/>
      <c r="I9" s="94"/>
      <c r="J9" s="94">
        <v>17000</v>
      </c>
      <c r="K9" s="94">
        <v>17000</v>
      </c>
      <c r="L9" s="94">
        <v>17000</v>
      </c>
      <c r="M9" s="94"/>
      <c r="N9" s="94"/>
      <c r="O9" s="94"/>
      <c r="DT9" s="4" t="s">
        <v>279</v>
      </c>
      <c r="EB9" s="4" t="s">
        <v>300</v>
      </c>
      <c r="ED9" s="4" t="s">
        <v>301</v>
      </c>
    </row>
    <row r="10" spans="1:134" ht="24" customHeight="1" x14ac:dyDescent="0.2">
      <c r="A10" s="174" t="s">
        <v>20</v>
      </c>
      <c r="B10" s="175"/>
      <c r="C10" s="9" t="s">
        <v>132</v>
      </c>
      <c r="D10" s="93"/>
      <c r="E10" s="94"/>
      <c r="F10" s="94"/>
      <c r="G10" s="94"/>
      <c r="H10" s="94"/>
      <c r="I10" s="94"/>
      <c r="J10" s="94">
        <v>46000</v>
      </c>
      <c r="K10" s="94">
        <v>46000</v>
      </c>
      <c r="L10" s="94">
        <v>46000</v>
      </c>
      <c r="M10" s="94"/>
      <c r="N10" s="94"/>
      <c r="O10" s="94"/>
      <c r="DT10" s="4" t="s">
        <v>280</v>
      </c>
      <c r="EB10" s="4" t="s">
        <v>300</v>
      </c>
      <c r="ED10" s="4" t="s">
        <v>301</v>
      </c>
    </row>
    <row r="11" spans="1:134" s="13" customFormat="1" ht="15" customHeight="1" x14ac:dyDescent="0.2">
      <c r="A11" s="173" t="s">
        <v>18</v>
      </c>
      <c r="B11" s="110" t="s">
        <v>21</v>
      </c>
      <c r="C11" s="111" t="s">
        <v>132</v>
      </c>
      <c r="D11" s="115"/>
      <c r="E11" s="115"/>
      <c r="F11" s="116"/>
      <c r="G11" s="116"/>
      <c r="H11" s="116"/>
      <c r="I11" s="116"/>
      <c r="J11" s="116">
        <v>46000</v>
      </c>
      <c r="K11" s="116">
        <v>46000</v>
      </c>
      <c r="L11" s="116">
        <v>46000</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c r="J13" s="115"/>
      <c r="K13" s="115"/>
      <c r="L13" s="115"/>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C3" sqref="C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Georgia</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2484</v>
      </c>
      <c r="E6" s="121">
        <f ca="1">INDIRECT(ADDRESS(ROW(K6),$C$3 -2010 + 4,,,"1a_SpaceHeating"))</f>
        <v>168.32400000000001</v>
      </c>
      <c r="F6" s="121">
        <f ca="1">INDIRECT(ADDRESS(ROW(K6),$C$3-2010+4,,,"1b_SpaceCooling"))</f>
        <v>52.8</v>
      </c>
      <c r="G6" s="121">
        <f ca="1">INDIRECT(ADDRESS(ROW(K6),$C$3-2010+4,,,"1c_WaterHeating"))</f>
        <v>161.69999999999999</v>
      </c>
      <c r="H6" s="121">
        <f ca="1">INDIRECT(ADDRESS(ROW(K6),$C$3-2010+4,,,"1d_Cooking"))</f>
        <v>241.7</v>
      </c>
      <c r="I6" s="121">
        <f ca="1">INDIRECT(ADDRESS(ROW(K6),$C$3-2010+4,,,"1e_LightingAndAppliances"))</f>
        <v>1859.4760000000001</v>
      </c>
      <c r="J6" s="121">
        <f ca="1">INDIRECT(ADDRESS(ROW(K6),$C$3-2010+4,,,"1f_OtherEndUses"))</f>
        <v>0</v>
      </c>
      <c r="K6" s="122"/>
    </row>
    <row r="7" spans="1:11" ht="24" customHeight="1" x14ac:dyDescent="0.25">
      <c r="A7" s="195" t="s">
        <v>15</v>
      </c>
      <c r="B7" s="196"/>
      <c r="C7" s="109" t="s">
        <v>16</v>
      </c>
      <c r="D7" s="123">
        <f t="shared" ref="D7:D16" ca="1" si="0">SUM(E7:J7)</f>
        <v>0</v>
      </c>
      <c r="E7" s="124">
        <f t="shared" ref="E7:E16" ca="1" si="1">INDIRECT(ADDRESS(ROW(K7),$C$3 -2010 + 4,,,"1a_SpaceHeating"))</f>
        <v>0</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33094.400000000001</v>
      </c>
      <c r="E8" s="124">
        <f t="shared" ca="1" si="1"/>
        <v>19832.88</v>
      </c>
      <c r="F8" s="125"/>
      <c r="G8" s="124">
        <f t="shared" ca="1" si="2"/>
        <v>5608.6</v>
      </c>
      <c r="H8" s="124">
        <f t="shared" ca="1" si="3"/>
        <v>7652.92</v>
      </c>
      <c r="I8" s="125"/>
      <c r="J8" s="124">
        <f t="shared" ca="1" si="4"/>
        <v>0</v>
      </c>
      <c r="K8" s="125"/>
    </row>
    <row r="9" spans="1:11" ht="24" customHeight="1" x14ac:dyDescent="0.25">
      <c r="A9" s="195" t="s">
        <v>156</v>
      </c>
      <c r="B9" s="196"/>
      <c r="C9" s="109" t="s">
        <v>19</v>
      </c>
      <c r="D9" s="123">
        <f t="shared" ca="1" si="0"/>
        <v>0.41000000000000003</v>
      </c>
      <c r="E9" s="124">
        <f t="shared" ca="1" si="1"/>
        <v>0.31</v>
      </c>
      <c r="F9" s="125"/>
      <c r="G9" s="124">
        <f t="shared" ca="1" si="2"/>
        <v>8.0000000000000002E-3</v>
      </c>
      <c r="H9" s="124">
        <f t="shared" ca="1" si="3"/>
        <v>9.1999999999999998E-2</v>
      </c>
      <c r="I9" s="125"/>
      <c r="J9" s="124">
        <f t="shared" ca="1" si="4"/>
        <v>0</v>
      </c>
      <c r="K9" s="126">
        <f ca="1">INDIRECT(ADDRESS(ROW(K9),$C$3-2010+4,,,"Calorific_Values"))</f>
        <v>17000</v>
      </c>
    </row>
    <row r="10" spans="1:11" ht="24" customHeight="1" x14ac:dyDescent="0.25">
      <c r="A10" s="195" t="s">
        <v>42</v>
      </c>
      <c r="B10" s="196"/>
      <c r="C10" s="109" t="s">
        <v>19</v>
      </c>
      <c r="D10" s="123">
        <f t="shared" ca="1" si="0"/>
        <v>17.190000000000001</v>
      </c>
      <c r="E10" s="124">
        <f t="shared" ca="1" si="1"/>
        <v>0</v>
      </c>
      <c r="F10" s="125"/>
      <c r="G10" s="124">
        <f t="shared" ca="1" si="2"/>
        <v>0.29499999999999998</v>
      </c>
      <c r="H10" s="124">
        <f t="shared" ca="1" si="3"/>
        <v>16.895</v>
      </c>
      <c r="I10" s="125"/>
      <c r="J10" s="124">
        <f t="shared" ca="1" si="4"/>
        <v>0</v>
      </c>
      <c r="K10" s="126">
        <f ca="1">INDIRECT(ADDRESS(ROW(K10),$C$3-2010+4,,,"Calorific_Values"))</f>
        <v>46000</v>
      </c>
    </row>
    <row r="11" spans="1:11" s="34" customFormat="1" ht="15" customHeight="1" x14ac:dyDescent="0.25">
      <c r="A11" s="194" t="s">
        <v>18</v>
      </c>
      <c r="B11" s="10" t="s">
        <v>21</v>
      </c>
      <c r="C11" s="11" t="s">
        <v>19</v>
      </c>
      <c r="D11" s="127">
        <f t="shared" ca="1" si="0"/>
        <v>17.190000000000001</v>
      </c>
      <c r="E11" s="128">
        <f t="shared" ca="1" si="1"/>
        <v>0</v>
      </c>
      <c r="F11" s="129"/>
      <c r="G11" s="128">
        <f t="shared" ca="1" si="2"/>
        <v>0.29499999999999998</v>
      </c>
      <c r="H11" s="128">
        <f t="shared" ca="1" si="3"/>
        <v>16.895</v>
      </c>
      <c r="I11" s="129"/>
      <c r="J11" s="128">
        <f t="shared" ca="1" si="4"/>
        <v>0</v>
      </c>
      <c r="K11" s="130">
        <f t="shared" ref="K11:K13" ca="1" si="5">INDIRECT(ADDRESS(ROW(K11),$C$3-2010+4,,,"Calorific_Values"))</f>
        <v>46000</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95" t="s">
        <v>43</v>
      </c>
      <c r="B14" s="196"/>
      <c r="C14" s="109" t="s">
        <v>16</v>
      </c>
      <c r="D14" s="123">
        <f t="shared" ca="1" si="0"/>
        <v>11384.06</v>
      </c>
      <c r="E14" s="124">
        <f t="shared" ca="1" si="1"/>
        <v>9888.56</v>
      </c>
      <c r="F14" s="125"/>
      <c r="G14" s="124">
        <f t="shared" ca="1" si="2"/>
        <v>749.6</v>
      </c>
      <c r="H14" s="124">
        <f t="shared" ca="1" si="3"/>
        <v>745.9</v>
      </c>
      <c r="I14" s="125"/>
      <c r="J14" s="124">
        <f t="shared" ca="1" si="4"/>
        <v>0</v>
      </c>
      <c r="K14" s="125"/>
    </row>
    <row r="15" spans="1:11" s="34" customFormat="1" ht="15" customHeight="1" x14ac:dyDescent="0.25">
      <c r="A15" s="194" t="s">
        <v>18</v>
      </c>
      <c r="B15" s="10" t="s">
        <v>26</v>
      </c>
      <c r="C15" s="11" t="s">
        <v>16</v>
      </c>
      <c r="D15" s="127">
        <f t="shared" ca="1" si="0"/>
        <v>3.4</v>
      </c>
      <c r="E15" s="128">
        <f t="shared" ca="1" si="1"/>
        <v>0</v>
      </c>
      <c r="F15" s="129"/>
      <c r="G15" s="128">
        <f t="shared" ca="1" si="2"/>
        <v>3.4</v>
      </c>
      <c r="H15" s="128">
        <f t="shared" ca="1" si="3"/>
        <v>0</v>
      </c>
      <c r="I15" s="129"/>
      <c r="J15" s="128">
        <f t="shared" ca="1" si="4"/>
        <v>0</v>
      </c>
      <c r="K15" s="129"/>
    </row>
    <row r="16" spans="1:11" s="34" customFormat="1" ht="15" customHeight="1" x14ac:dyDescent="0.25">
      <c r="A16" s="194"/>
      <c r="B16" s="10" t="s">
        <v>27</v>
      </c>
      <c r="C16" s="11" t="s">
        <v>16</v>
      </c>
      <c r="D16" s="127">
        <f t="shared" ca="1" si="0"/>
        <v>11116.56</v>
      </c>
      <c r="E16" s="128">
        <f t="shared" ca="1" si="1"/>
        <v>9888.56</v>
      </c>
      <c r="F16" s="129"/>
      <c r="G16" s="128">
        <f t="shared" ca="1" si="2"/>
        <v>482.1</v>
      </c>
      <c r="H16" s="128">
        <f t="shared" ca="1" si="3"/>
        <v>745.9</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3"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sqref="A1:B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Georgia</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8942.4000000000015</v>
      </c>
      <c r="E6" s="121">
        <f ca="1">Table1_Totals!E6*3.6</f>
        <v>605.96640000000002</v>
      </c>
      <c r="F6" s="121">
        <f ca="1">Table1_Totals!F6*3.6</f>
        <v>190.07999999999998</v>
      </c>
      <c r="G6" s="121">
        <f ca="1">Table1_Totals!G6*3.6</f>
        <v>582.12</v>
      </c>
      <c r="H6" s="121">
        <f ca="1">Table1_Totals!H6*3.6</f>
        <v>870.12</v>
      </c>
      <c r="I6" s="121">
        <f ca="1">Table1_Totals!I6*3.6</f>
        <v>6694.1136000000006</v>
      </c>
      <c r="J6" s="121">
        <f ca="1">Table1_Totals!J6*3.6</f>
        <v>0</v>
      </c>
      <c r="K6" s="122"/>
    </row>
    <row r="7" spans="1:11" ht="24" customHeight="1" x14ac:dyDescent="0.25">
      <c r="A7" s="195" t="s">
        <v>15</v>
      </c>
      <c r="B7" s="196"/>
      <c r="C7" s="109" t="s">
        <v>16</v>
      </c>
      <c r="D7" s="123">
        <f t="shared" ref="D7:D18" ca="1" si="0">SUM(E7:J7)</f>
        <v>0</v>
      </c>
      <c r="E7" s="124">
        <f ca="1">Table1_Totals!E7</f>
        <v>0</v>
      </c>
      <c r="F7" s="125"/>
      <c r="G7" s="124">
        <f ca="1">Table1_Totals!G7</f>
        <v>0</v>
      </c>
      <c r="H7" s="124">
        <f ca="1">Table1_Totals!H7</f>
        <v>0</v>
      </c>
      <c r="I7" s="125"/>
      <c r="J7" s="124">
        <f ca="1">Table1_Totals!J7</f>
        <v>0</v>
      </c>
      <c r="K7" s="125"/>
    </row>
    <row r="8" spans="1:11" ht="24" customHeight="1" x14ac:dyDescent="0.25">
      <c r="A8" s="195" t="s">
        <v>29</v>
      </c>
      <c r="B8" s="196"/>
      <c r="C8" s="109" t="s">
        <v>16</v>
      </c>
      <c r="D8" s="123">
        <f t="shared" ca="1" si="0"/>
        <v>29784.960000000003</v>
      </c>
      <c r="E8" s="124">
        <f ca="1">Table1_Totals!E8*0.9</f>
        <v>17849.592000000001</v>
      </c>
      <c r="F8" s="125"/>
      <c r="G8" s="124">
        <f ca="1">Table1_Totals!G8*0.9</f>
        <v>5047.7400000000007</v>
      </c>
      <c r="H8" s="124">
        <f ca="1">Table1_Totals!H8*0.9</f>
        <v>6887.6280000000006</v>
      </c>
      <c r="I8" s="125"/>
      <c r="J8" s="124">
        <f ca="1">Table1_Totals!J8*0.9</f>
        <v>0</v>
      </c>
      <c r="K8" s="125"/>
    </row>
    <row r="9" spans="1:11" ht="24" customHeight="1" x14ac:dyDescent="0.25">
      <c r="A9" s="195" t="s">
        <v>156</v>
      </c>
      <c r="B9" s="196"/>
      <c r="C9" s="109" t="s">
        <v>16</v>
      </c>
      <c r="D9" s="123">
        <f t="shared" ca="1" si="0"/>
        <v>6.97</v>
      </c>
      <c r="E9" s="124">
        <f ca="1">IF(Table1_Totals!E9&lt;&gt;0,IF(Table1_Totals!$K9&lt;&gt;0,Table1_Totals!E9*Table1_Totals!$K9/1000,"Please check CV"),"0,000")</f>
        <v>5.27</v>
      </c>
      <c r="F9" s="125"/>
      <c r="G9" s="124">
        <f ca="1">IF(Table1_Totals!G9&lt;&gt;0,IF(Table1_Totals!$K9&lt;&gt;0,Table1_Totals!G9*Table1_Totals!$K$9/1000,"Please check CV"),"0,000")</f>
        <v>0.13600000000000001</v>
      </c>
      <c r="H9" s="124">
        <f ca="1">IF(Table1_Totals!H9&lt;&gt;0,IF(Table1_Totals!$K9&lt;&gt;0,Table1_Totals!H9*Table1_Totals!$K$9/1000,"Please check CV"),"0,000")</f>
        <v>1.5640000000000001</v>
      </c>
      <c r="I9" s="125"/>
      <c r="J9" s="124" t="str">
        <f ca="1">IF(Table1_Totals!J9&lt;&gt;0,IF(Table1_Totals!$K9&lt;&gt;0,Table1_Totals!J9*Table1_Totals!$K$9/1000,"Please check CV"),"0,000")</f>
        <v>0,000</v>
      </c>
      <c r="K9" s="126">
        <f ca="1">Table1_Totals!K9</f>
        <v>17000</v>
      </c>
    </row>
    <row r="10" spans="1:11" ht="24" customHeight="1" x14ac:dyDescent="0.25">
      <c r="A10" s="195" t="s">
        <v>42</v>
      </c>
      <c r="B10" s="196"/>
      <c r="C10" s="109" t="s">
        <v>16</v>
      </c>
      <c r="D10" s="123">
        <f t="shared" ca="1" si="0"/>
        <v>790.74</v>
      </c>
      <c r="E10" s="124" t="str">
        <f ca="1">IF(Table1_Totals!E10&lt;&gt;0,IF(Table1_Totals!$K10&lt;&gt;0,Table1_Totals!E10*Table1_Totals!$K10/1000,"Please check CV"),"0,000")</f>
        <v>0,000</v>
      </c>
      <c r="F10" s="125"/>
      <c r="G10" s="124">
        <f ca="1">IF(Table1_Totals!G10&lt;&gt;0,IF(Table1_Totals!$K10&lt;&gt;0,Table1_Totals!G10*Table1_Totals!$K10/1000,"Please check CV"),"0,000")</f>
        <v>13.57</v>
      </c>
      <c r="H10" s="124">
        <f ca="1">IF(Table1_Totals!H10&lt;&gt;0,IF(Table1_Totals!$K10&lt;&gt;0,Table1_Totals!H10*Table1_Totals!$K10/1000,"Please check CV"),"0,000")</f>
        <v>777.17</v>
      </c>
      <c r="I10" s="125"/>
      <c r="J10" s="124" t="str">
        <f ca="1">IF(Table1_Totals!J10&lt;&gt;0,IF(Table1_Totals!$K10&lt;&gt;0,Table1_Totals!J10*Table1_Totals!$K10/1000,"Please check CV"),"0,000")</f>
        <v>0,000</v>
      </c>
      <c r="K10" s="126">
        <f ca="1">Table1_Totals!K10</f>
        <v>46000</v>
      </c>
    </row>
    <row r="11" spans="1:11" s="34" customFormat="1" ht="15" customHeight="1" x14ac:dyDescent="0.25">
      <c r="A11" s="194" t="s">
        <v>18</v>
      </c>
      <c r="B11" s="10" t="s">
        <v>21</v>
      </c>
      <c r="C11" s="11" t="s">
        <v>16</v>
      </c>
      <c r="D11" s="127">
        <f t="shared" ca="1" si="0"/>
        <v>790.74</v>
      </c>
      <c r="E11" s="128" t="str">
        <f ca="1">IF(Table1_Totals!E11&lt;&gt;0,IF(Table1_Totals!$K11&lt;&gt;0,Table1_Totals!E11*Table1_Totals!$K11/1000,"Please check CV"),"0,000")</f>
        <v>0,000</v>
      </c>
      <c r="F11" s="129"/>
      <c r="G11" s="128">
        <f ca="1">IF(Table1_Totals!G11&lt;&gt;0,IF(Table1_Totals!$K11&lt;&gt;0,Table1_Totals!G11*Table1_Totals!$K11/1000,"Please check CV"),"0,000")</f>
        <v>13.57</v>
      </c>
      <c r="H11" s="128">
        <f ca="1">IF(Table1_Totals!H11&lt;&gt;0,IF(Table1_Totals!$K11&lt;&gt;0,Table1_Totals!H11*Table1_Totals!$K11/1000,"Please check CV"),"0,000")</f>
        <v>777.17</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95" t="s">
        <v>43</v>
      </c>
      <c r="B14" s="196"/>
      <c r="C14" s="109" t="s">
        <v>16</v>
      </c>
      <c r="D14" s="123">
        <f t="shared" ca="1" si="0"/>
        <v>11384.06</v>
      </c>
      <c r="E14" s="124">
        <f ca="1">Table1_Totals!E14</f>
        <v>9888.56</v>
      </c>
      <c r="F14" s="125"/>
      <c r="G14" s="124">
        <f ca="1">Table1_Totals!G14</f>
        <v>749.6</v>
      </c>
      <c r="H14" s="124">
        <f ca="1">Table1_Totals!H14</f>
        <v>745.9</v>
      </c>
      <c r="I14" s="125"/>
      <c r="J14" s="124">
        <f ca="1">Table1_Totals!J14</f>
        <v>0</v>
      </c>
      <c r="K14" s="125"/>
    </row>
    <row r="15" spans="1:11" s="34" customFormat="1" ht="15" customHeight="1" x14ac:dyDescent="0.25">
      <c r="A15" s="194" t="s">
        <v>18</v>
      </c>
      <c r="B15" s="10" t="s">
        <v>26</v>
      </c>
      <c r="C15" s="11" t="s">
        <v>16</v>
      </c>
      <c r="D15" s="127">
        <f t="shared" ca="1" si="0"/>
        <v>3.4</v>
      </c>
      <c r="E15" s="128">
        <f ca="1">Table1_Totals!E15</f>
        <v>0</v>
      </c>
      <c r="F15" s="129"/>
      <c r="G15" s="128">
        <f ca="1">Table1_Totals!G15</f>
        <v>3.4</v>
      </c>
      <c r="H15" s="128">
        <f ca="1">Table1_Totals!H15</f>
        <v>0</v>
      </c>
      <c r="I15" s="129"/>
      <c r="J15" s="128">
        <f ca="1">Table1_Totals!J15</f>
        <v>0</v>
      </c>
      <c r="K15" s="129"/>
    </row>
    <row r="16" spans="1:11" s="34" customFormat="1" ht="15" customHeight="1" x14ac:dyDescent="0.25">
      <c r="A16" s="194"/>
      <c r="B16" s="10" t="s">
        <v>27</v>
      </c>
      <c r="C16" s="11" t="s">
        <v>16</v>
      </c>
      <c r="D16" s="127">
        <f t="shared" ca="1" si="0"/>
        <v>11116.56</v>
      </c>
      <c r="E16" s="128">
        <f ca="1">Table1_Totals!E16</f>
        <v>9888.56</v>
      </c>
      <c r="F16" s="129"/>
      <c r="G16" s="128">
        <f ca="1">Table1_Totals!G16</f>
        <v>482.1</v>
      </c>
      <c r="H16" s="128">
        <f ca="1">Table1_Totals!H16</f>
        <v>745.9</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50909.130000000005</v>
      </c>
      <c r="E19" s="124">
        <f ca="1">SUM(E6:E10,E14)</f>
        <v>28349.388400000003</v>
      </c>
      <c r="F19" s="124">
        <f t="shared" ref="F19:J19" ca="1" si="3">SUM(F6:F10,F14)</f>
        <v>190.07999999999998</v>
      </c>
      <c r="G19" s="124">
        <f t="shared" ca="1" si="3"/>
        <v>6393.1660000000011</v>
      </c>
      <c r="H19" s="124">
        <f t="shared" ca="1" si="3"/>
        <v>9282.3819999999996</v>
      </c>
      <c r="I19" s="124">
        <f t="shared" ca="1" si="3"/>
        <v>6694.1136000000006</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sqref="A1:B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c r="J6" s="60">
        <v>144.86000000000001</v>
      </c>
      <c r="K6" s="60">
        <v>154.01</v>
      </c>
      <c r="L6" s="60">
        <v>168.32400000000001</v>
      </c>
      <c r="M6" s="60"/>
      <c r="N6" s="60"/>
      <c r="O6" s="60"/>
      <c r="DS6" s="4" t="str">
        <f>VLOOKUP(Cover!$D$15, Country_list!$B$3:$C$44, 2, 0)</f>
        <v>GE</v>
      </c>
      <c r="DT6" s="33" t="s">
        <v>289</v>
      </c>
      <c r="DV6" s="33" t="s">
        <v>302</v>
      </c>
      <c r="EB6" s="33" t="s">
        <v>291</v>
      </c>
      <c r="ED6" s="33" t="s">
        <v>294</v>
      </c>
    </row>
    <row r="7" spans="1:134" ht="24" customHeight="1" x14ac:dyDescent="0.25">
      <c r="A7" s="174" t="s">
        <v>15</v>
      </c>
      <c r="B7" s="198"/>
      <c r="C7" s="9" t="s">
        <v>25</v>
      </c>
      <c r="D7" s="61"/>
      <c r="E7" s="58"/>
      <c r="F7" s="58"/>
      <c r="G7" s="58"/>
      <c r="H7" s="58"/>
      <c r="I7" s="58"/>
      <c r="J7" s="58">
        <v>0</v>
      </c>
      <c r="K7" s="58">
        <v>0</v>
      </c>
      <c r="L7" s="58"/>
      <c r="M7" s="58"/>
      <c r="N7" s="58"/>
      <c r="O7" s="58"/>
      <c r="DT7" s="33" t="s">
        <v>290</v>
      </c>
      <c r="EB7" s="33" t="s">
        <v>291</v>
      </c>
      <c r="ED7" s="33" t="s">
        <v>295</v>
      </c>
    </row>
    <row r="8" spans="1:134" ht="24" customHeight="1" x14ac:dyDescent="0.25">
      <c r="A8" s="174" t="s">
        <v>29</v>
      </c>
      <c r="B8" s="198"/>
      <c r="C8" s="9" t="s">
        <v>17</v>
      </c>
      <c r="D8" s="61"/>
      <c r="E8" s="58"/>
      <c r="F8" s="58"/>
      <c r="G8" s="58"/>
      <c r="H8" s="58"/>
      <c r="I8" s="58"/>
      <c r="J8" s="58">
        <v>18293</v>
      </c>
      <c r="K8" s="58">
        <v>21123</v>
      </c>
      <c r="L8" s="58">
        <v>19832.88</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v>2.2869999999999999</v>
      </c>
      <c r="K9" s="58">
        <v>0.97</v>
      </c>
      <c r="L9" s="58">
        <v>0.31</v>
      </c>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v>0</v>
      </c>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v>0</v>
      </c>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v>0</v>
      </c>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v>14273.098</v>
      </c>
      <c r="K14" s="58">
        <v>13056.177</v>
      </c>
      <c r="L14" s="58">
        <v>9888.56</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v>0</v>
      </c>
      <c r="K15" s="113"/>
      <c r="L15" s="113"/>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c r="J16" s="113">
        <v>14273.098</v>
      </c>
      <c r="K16" s="113">
        <v>13056.177</v>
      </c>
      <c r="L16" s="113">
        <v>9888.56</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v>0</v>
      </c>
      <c r="K17" s="112"/>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sqref="A1:B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c r="E6" s="60"/>
      <c r="F6" s="60"/>
      <c r="G6" s="60"/>
      <c r="H6" s="60"/>
      <c r="I6" s="60"/>
      <c r="J6" s="60">
        <v>49.136000000000003</v>
      </c>
      <c r="K6" s="60">
        <v>51.112000000000002</v>
      </c>
      <c r="L6" s="60">
        <v>52.8</v>
      </c>
      <c r="M6" s="60"/>
      <c r="N6" s="60"/>
      <c r="O6" s="60"/>
      <c r="DS6" s="4" t="str">
        <f>VLOOKUP(Cover!$D$15, Country_list!$B$3:$C$44, 2, 0)</f>
        <v>GE</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A3" sqref="A3:B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c r="J6" s="60">
        <v>148.89699999999999</v>
      </c>
      <c r="K6" s="60">
        <v>156.75</v>
      </c>
      <c r="L6" s="60">
        <v>161.69999999999999</v>
      </c>
      <c r="M6" s="60"/>
      <c r="N6" s="60"/>
      <c r="O6" s="60"/>
      <c r="DS6" s="4" t="str">
        <f>VLOOKUP(Cover!$D$15, Country_list!$B$3:$C$44, 2, 0)</f>
        <v>GE</v>
      </c>
      <c r="DT6" s="33" t="s">
        <v>289</v>
      </c>
      <c r="DV6" s="33" t="s">
        <v>304</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c r="E8" s="58"/>
      <c r="F8" s="58"/>
      <c r="G8" s="58"/>
      <c r="H8" s="58"/>
      <c r="I8" s="58"/>
      <c r="J8" s="58">
        <v>5539</v>
      </c>
      <c r="K8" s="58">
        <v>5604</v>
      </c>
      <c r="L8" s="58">
        <v>5608.6</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v>0.30399999999999999</v>
      </c>
      <c r="K9" s="58">
        <v>0.11</v>
      </c>
      <c r="L9" s="58">
        <v>8.0000000000000002E-3</v>
      </c>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v>0.29499999999999998</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v>0.29499999999999998</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v>671.31299999999999</v>
      </c>
      <c r="K14" s="58">
        <v>648.40499999999997</v>
      </c>
      <c r="L14" s="58">
        <v>749.6</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v>3.5259999999999998</v>
      </c>
      <c r="K15" s="113">
        <v>3.1</v>
      </c>
      <c r="L15" s="113">
        <v>3.4</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c r="J16" s="113">
        <v>667.78700000000003</v>
      </c>
      <c r="K16" s="113">
        <v>645.30499999999995</v>
      </c>
      <c r="L16" s="113">
        <v>482.1</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A3" sqref="A3:B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c r="J6" s="60">
        <v>220.005</v>
      </c>
      <c r="K6" s="60">
        <v>237.01499999999999</v>
      </c>
      <c r="L6" s="60">
        <v>241.7</v>
      </c>
      <c r="M6" s="60"/>
      <c r="N6" s="60"/>
      <c r="O6" s="60"/>
      <c r="DS6" s="4" t="str">
        <f>VLOOKUP(Cover!$D$15, Country_list!$B$3:$C$44, 2, 0)</f>
        <v>GE</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c r="E8" s="58"/>
      <c r="F8" s="58"/>
      <c r="G8" s="58"/>
      <c r="H8" s="58"/>
      <c r="I8" s="58"/>
      <c r="J8" s="58">
        <v>7194</v>
      </c>
      <c r="K8" s="58">
        <v>7650.8</v>
      </c>
      <c r="L8" s="58">
        <v>7652.92</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v>0.30399999999999999</v>
      </c>
      <c r="K9" s="58">
        <v>0.12</v>
      </c>
      <c r="L9" s="58">
        <v>9.1999999999999998E-2</v>
      </c>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v>13.849</v>
      </c>
      <c r="K10" s="58">
        <v>13.7</v>
      </c>
      <c r="L10" s="58">
        <v>16.895</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v>13.849</v>
      </c>
      <c r="K11" s="113">
        <v>13.7</v>
      </c>
      <c r="L11" s="113">
        <v>16.895</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v>1495.114</v>
      </c>
      <c r="K14" s="58">
        <v>1305.6179999999999</v>
      </c>
      <c r="L14" s="58">
        <v>745.9</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v>1495.114</v>
      </c>
      <c r="K16" s="113">
        <v>1305.6179999999999</v>
      </c>
      <c r="L16" s="113">
        <v>745.9</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A3" sqref="A3:B3"/>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c r="J6" s="63">
        <v>1814.0509999999999</v>
      </c>
      <c r="K6" s="63">
        <v>1862.01</v>
      </c>
      <c r="L6" s="63">
        <v>1859.4760000000001</v>
      </c>
      <c r="M6" s="63"/>
      <c r="N6" s="63"/>
      <c r="O6" s="63"/>
      <c r="DS6" s="4" t="str">
        <f>VLOOKUP(Cover!$D$15, Country_list!$B$3:$C$44, 2, 0)</f>
        <v>GE</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GE</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A8" sqref="A8:XFD8"/>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2019-11-28T10:06:13Z</cp:lastPrinted>
  <dcterms:created xsi:type="dcterms:W3CDTF">2014-09-17T09:30:01Z</dcterms:created>
  <dcterms:modified xsi:type="dcterms:W3CDTF">2020-01-30T14:07:29Z</dcterms:modified>
  <cp:category>Annual questionnaires</cp:category>
</cp:coreProperties>
</file>