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790" windowHeight="771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J17" i="5"/>
  <c r="H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7" i="5"/>
  <c r="H11" i="5"/>
  <c r="H12" i="5"/>
  <c r="E14" i="5"/>
  <c r="J8" i="5"/>
  <c r="G8" i="5"/>
  <c r="J15" i="5"/>
  <c r="H18" i="5"/>
  <c r="H7" i="5"/>
  <c r="J18" i="5"/>
  <c r="E13" i="5"/>
  <c r="G10" i="5"/>
  <c r="E18" i="5"/>
  <c r="E8" i="5"/>
  <c r="F6" i="5"/>
  <c r="H6" i="5"/>
  <c r="J7" i="5"/>
  <c r="J9" i="5"/>
  <c r="J16" i="5"/>
  <c r="G18" i="5"/>
  <c r="G9" i="5"/>
  <c r="E16" i="5"/>
  <c r="H16" i="5"/>
  <c r="I6" i="5"/>
  <c r="J10" i="5"/>
  <c r="G14" i="5"/>
  <c r="E11" i="5"/>
  <c r="G15" i="5"/>
  <c r="K9" i="5"/>
  <c r="J14" i="5"/>
  <c r="J12" i="5"/>
  <c r="G13" i="5"/>
  <c r="G6" i="5"/>
  <c r="J13" i="5"/>
  <c r="H13" i="5"/>
  <c r="G11" i="5"/>
  <c r="H14" i="5"/>
  <c r="H8" i="5"/>
  <c r="E9" i="5"/>
  <c r="H10" i="5"/>
  <c r="H9" i="5"/>
  <c r="E7" i="5"/>
  <c r="G12" i="5"/>
  <c r="E12" i="5"/>
  <c r="G16" i="5"/>
  <c r="J6" i="5"/>
  <c r="E15" i="5"/>
  <c r="E6" i="5"/>
  <c r="J11" i="5"/>
  <c r="H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<sst xmlns="http://schemas.openxmlformats.org/spreadsheetml/2006/main" count="952" uniqueCount="315">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</sst>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13"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70</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27" zoomScale="90" zoomScaleNormal="90" workbookViewId="0">
      <selection activeCell="B31" sqref="B31:B32"/>
    </sheetView>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SE</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c r="E9" s="94"/>
      <c r="F9" s="94"/>
      <c r="G9" s="94"/>
      <c r="H9" s="94"/>
      <c r="I9" s="94"/>
      <c r="J9" s="94"/>
      <c r="K9" s="94"/>
      <c r="L9" s="94"/>
      <c r="M9" s="94"/>
      <c r="N9" s="94"/>
      <c r="O9" s="94"/>
      <c r="DT9" s="4" t="s">
        <v>279</v>
      </c>
      <c r="EB9" s="4" t="s">
        <v>300</v>
      </c>
      <c r="ED9" s="4" t="s">
        <v>301</v>
      </c>
    </row>
    <row r="10" spans="1:134" ht="24" customHeight="1" x14ac:dyDescent="0.2">
      <c r="A10" s="174" t="s">
        <v>20</v>
      </c>
      <c r="B10" s="175"/>
      <c r="C10" s="9" t="s">
        <v>132</v>
      </c>
      <c r="D10" s="93"/>
      <c r="E10" s="94"/>
      <c r="F10" s="94"/>
      <c r="G10" s="94"/>
      <c r="H10" s="94"/>
      <c r="I10" s="94">
        <v>42161</v>
      </c>
      <c r="J10" s="94">
        <v>42161</v>
      </c>
      <c r="K10" s="94">
        <v>42161</v>
      </c>
      <c r="L10" s="94">
        <v>42161</v>
      </c>
      <c r="M10" s="94"/>
      <c r="N10" s="94"/>
      <c r="O10" s="94"/>
      <c r="DT10" s="4" t="s">
        <v>280</v>
      </c>
      <c r="EB10" s="4" t="s">
        <v>300</v>
      </c>
      <c r="ED10" s="4" t="s">
        <v>301</v>
      </c>
    </row>
    <row r="11" spans="1:134" s="13" customFormat="1" ht="15" customHeight="1" x14ac:dyDescent="0.2">
      <c r="A11" s="173" t="s">
        <v>18</v>
      </c>
      <c r="B11" s="110" t="s">
        <v>21</v>
      </c>
      <c r="C11" s="111" t="s">
        <v>132</v>
      </c>
      <c r="D11" s="115"/>
      <c r="E11" s="115"/>
      <c r="F11" s="116"/>
      <c r="G11" s="116"/>
      <c r="H11" s="116"/>
      <c r="I11" s="116"/>
      <c r="J11" s="116"/>
      <c r="K11" s="116"/>
      <c r="L11" s="116">
        <v>46040</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3"/>
      <c r="B13" s="110" t="s">
        <v>23</v>
      </c>
      <c r="C13" s="111" t="s">
        <v>132</v>
      </c>
      <c r="D13" s="115"/>
      <c r="E13" s="115"/>
      <c r="F13" s="115"/>
      <c r="G13" s="115"/>
      <c r="H13" s="115"/>
      <c r="I13" s="115"/>
      <c r="J13" s="115"/>
      <c r="K13" s="115"/>
      <c r="L13" s="115">
        <v>42161</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E10" sqref="E10"/>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Sweden</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45068</v>
      </c>
      <c r="E6" s="121">
        <f ca="1">INDIRECT(ADDRESS(ROW(K6),$C$3 -2010 + 4,,,"1a_SpaceHeating"))</f>
        <v>13992</v>
      </c>
      <c r="F6" s="121">
        <f ca="1">INDIRECT(ADDRESS(ROW(K6),$C$3-2010+4,,,"1b_SpaceCooling"))</f>
        <v>0</v>
      </c>
      <c r="G6" s="121">
        <f ca="1">INDIRECT(ADDRESS(ROW(K6),$C$3-2010+4,,,"1c_WaterHeating"))</f>
        <v>4023</v>
      </c>
      <c r="H6" s="121">
        <f ca="1">INDIRECT(ADDRESS(ROW(K6),$C$3-2010+4,,,"1d_Cooking"))</f>
        <v>1322</v>
      </c>
      <c r="I6" s="121">
        <f ca="1">INDIRECT(ADDRESS(ROW(K6),$C$3-2010+4,,,"1e_LightingAndAppliances"))</f>
        <v>16755</v>
      </c>
      <c r="J6" s="121">
        <f ca="1">INDIRECT(ADDRESS(ROW(K6),$C$3-2010+4,,,"1f_OtherEndUses"))</f>
        <v>8976</v>
      </c>
      <c r="K6" s="122"/>
    </row>
    <row r="7" spans="1:11" ht="24" customHeight="1" x14ac:dyDescent="0.25">
      <c r="A7" s="195" t="s">
        <v>15</v>
      </c>
      <c r="B7" s="196"/>
      <c r="C7" s="109" t="s">
        <v>16</v>
      </c>
      <c r="D7" s="123">
        <f t="shared" ref="D7:D16" ca="1" si="0">SUM(E7:J7)</f>
        <v>107813</v>
      </c>
      <c r="E7" s="124">
        <f t="shared" ref="E7:E16" ca="1" si="1">INDIRECT(ADDRESS(ROW(K7),$C$3 -2010 + 4,,,"1a_SpaceHeating"))</f>
        <v>83663</v>
      </c>
      <c r="F7" s="125"/>
      <c r="G7" s="124">
        <f t="shared" ref="G7:G16" ca="1" si="2">INDIRECT(ADDRESS(ROW(K7),$C$3-2010+4,,,"1c_WaterHeating"))</f>
        <v>24150</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1521</v>
      </c>
      <c r="E8" s="124">
        <f t="shared" ca="1" si="1"/>
        <v>1150</v>
      </c>
      <c r="F8" s="125"/>
      <c r="G8" s="124">
        <f t="shared" ca="1" si="2"/>
        <v>288</v>
      </c>
      <c r="H8" s="124">
        <f t="shared" ca="1" si="3"/>
        <v>83</v>
      </c>
      <c r="I8" s="125"/>
      <c r="J8" s="124">
        <f t="shared" ca="1" si="4"/>
        <v>0</v>
      </c>
      <c r="K8" s="125"/>
    </row>
    <row r="9" spans="1:11" ht="24" customHeight="1" x14ac:dyDescent="0.25">
      <c r="A9" s="195" t="s">
        <v>156</v>
      </c>
      <c r="B9" s="196"/>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0</v>
      </c>
    </row>
    <row r="10" spans="1:11" ht="24" customHeight="1" x14ac:dyDescent="0.25">
      <c r="A10" s="195" t="s">
        <v>42</v>
      </c>
      <c r="B10" s="196"/>
      <c r="C10" s="109" t="s">
        <v>19</v>
      </c>
      <c r="D10" s="123">
        <f t="shared" ca="1" si="0"/>
        <v>198</v>
      </c>
      <c r="E10" s="124">
        <f t="shared" ca="1" si="1"/>
        <v>164</v>
      </c>
      <c r="F10" s="125"/>
      <c r="G10" s="124">
        <f t="shared" ca="1" si="2"/>
        <v>34</v>
      </c>
      <c r="H10" s="124">
        <f t="shared" ca="1" si="3"/>
        <v>0</v>
      </c>
      <c r="I10" s="125"/>
      <c r="J10" s="124">
        <f t="shared" ca="1" si="4"/>
        <v>0</v>
      </c>
      <c r="K10" s="126">
        <f ca="1">INDIRECT(ADDRESS(ROW(K10),$C$3-2010+4,,,"Calorific_Values"))</f>
        <v>42161</v>
      </c>
    </row>
    <row r="11" spans="1:11" s="34" customFormat="1" ht="15" customHeight="1" x14ac:dyDescent="0.25">
      <c r="A11" s="194" t="s">
        <v>18</v>
      </c>
      <c r="B11" s="10" t="s">
        <v>21</v>
      </c>
      <c r="C11" s="11" t="s">
        <v>19</v>
      </c>
      <c r="D11" s="127">
        <f t="shared" ca="1" si="0"/>
        <v>4</v>
      </c>
      <c r="E11" s="128">
        <f t="shared" ca="1" si="1"/>
        <v>3</v>
      </c>
      <c r="F11" s="129"/>
      <c r="G11" s="128">
        <f t="shared" ca="1" si="2"/>
        <v>1</v>
      </c>
      <c r="H11" s="128">
        <f t="shared" ca="1" si="3"/>
        <v>0</v>
      </c>
      <c r="I11" s="129"/>
      <c r="J11" s="128">
        <f t="shared" ca="1" si="4"/>
        <v>0</v>
      </c>
      <c r="K11" s="130">
        <f t="shared" ref="K11:K13" ca="1" si="5">INDIRECT(ADDRESS(ROW(K11),$C$3-2010+4,,,"Calorific_Values"))</f>
        <v>46040</v>
      </c>
    </row>
    <row r="12" spans="1:11" s="34" customFormat="1" ht="15" customHeight="1" x14ac:dyDescent="0.25">
      <c r="A12" s="19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4"/>
      <c r="B13" s="10" t="s">
        <v>23</v>
      </c>
      <c r="C13" s="11" t="s">
        <v>19</v>
      </c>
      <c r="D13" s="127">
        <f t="shared" ca="1" si="0"/>
        <v>80</v>
      </c>
      <c r="E13" s="128">
        <f t="shared" ca="1" si="1"/>
        <v>66</v>
      </c>
      <c r="F13" s="129"/>
      <c r="G13" s="128">
        <f t="shared" ca="1" si="2"/>
        <v>14</v>
      </c>
      <c r="H13" s="128">
        <f t="shared" ca="1" si="3"/>
        <v>0</v>
      </c>
      <c r="I13" s="129"/>
      <c r="J13" s="128">
        <f t="shared" ca="1" si="4"/>
        <v>0</v>
      </c>
      <c r="K13" s="130">
        <f t="shared" ca="1" si="5"/>
        <v>42161</v>
      </c>
    </row>
    <row r="14" spans="1:11" ht="24" customHeight="1" x14ac:dyDescent="0.25">
      <c r="A14" s="195" t="s">
        <v>43</v>
      </c>
      <c r="B14" s="196"/>
      <c r="C14" s="109" t="s">
        <v>16</v>
      </c>
      <c r="D14" s="123">
        <f t="shared" ca="1" si="0"/>
        <v>33651</v>
      </c>
      <c r="E14" s="124">
        <f t="shared" ca="1" si="1"/>
        <v>29848</v>
      </c>
      <c r="F14" s="125"/>
      <c r="G14" s="124">
        <f t="shared" ca="1" si="2"/>
        <v>3803</v>
      </c>
      <c r="H14" s="124">
        <f t="shared" ca="1" si="3"/>
        <v>0</v>
      </c>
      <c r="I14" s="125"/>
      <c r="J14" s="124">
        <f t="shared" ca="1" si="4"/>
        <v>0</v>
      </c>
      <c r="K14" s="125"/>
    </row>
    <row r="15" spans="1:11" s="34" customFormat="1" ht="15" customHeight="1" x14ac:dyDescent="0.25">
      <c r="A15" s="194" t="s">
        <v>18</v>
      </c>
      <c r="B15" s="10" t="s">
        <v>26</v>
      </c>
      <c r="C15" s="11" t="s">
        <v>16</v>
      </c>
      <c r="D15" s="127">
        <f t="shared" ca="1" si="0"/>
        <v>457</v>
      </c>
      <c r="E15" s="128">
        <f t="shared" ca="1" si="1"/>
        <v>405</v>
      </c>
      <c r="F15" s="129"/>
      <c r="G15" s="128">
        <f t="shared" ca="1" si="2"/>
        <v>52</v>
      </c>
      <c r="H15" s="128">
        <f t="shared" ca="1" si="3"/>
        <v>0</v>
      </c>
      <c r="I15" s="129"/>
      <c r="J15" s="128">
        <f t="shared" ca="1" si="4"/>
        <v>0</v>
      </c>
      <c r="K15" s="129"/>
    </row>
    <row r="16" spans="1:11" s="34" customFormat="1" ht="15" customHeight="1" x14ac:dyDescent="0.25">
      <c r="A16" s="194"/>
      <c r="B16" s="10" t="s">
        <v>27</v>
      </c>
      <c r="C16" s="11" t="s">
        <v>16</v>
      </c>
      <c r="D16" s="127">
        <f t="shared" ca="1" si="0"/>
        <v>32507</v>
      </c>
      <c r="E16" s="128">
        <f t="shared" ca="1" si="1"/>
        <v>28834</v>
      </c>
      <c r="F16" s="129"/>
      <c r="G16" s="128">
        <f t="shared" ca="1" si="2"/>
        <v>3673</v>
      </c>
      <c r="H16" s="128">
        <f t="shared" ca="1" si="3"/>
        <v>0</v>
      </c>
      <c r="I16" s="129"/>
      <c r="J16" s="128">
        <f t="shared" ca="1" si="4"/>
        <v>0</v>
      </c>
      <c r="K16" s="129"/>
    </row>
    <row r="17" spans="1:11" s="34" customFormat="1" ht="15" customHeight="1" x14ac:dyDescent="0.25">
      <c r="A17" s="194"/>
      <c r="B17" s="10" t="s">
        <v>28</v>
      </c>
      <c r="C17" s="11" t="s">
        <v>16</v>
      </c>
      <c r="D17" s="127">
        <f t="shared" ref="D17" ca="1" si="6">SUM(E17:J17)</f>
        <v>674</v>
      </c>
      <c r="E17" s="128">
        <f t="shared" ref="E17" ca="1" si="7">INDIRECT(ADDRESS(ROW(K17),$C$3 -2010 + 4,,,"1a_SpaceHeating"))</f>
        <v>598</v>
      </c>
      <c r="F17" s="129"/>
      <c r="G17" s="128">
        <f t="shared" ref="G17" ca="1" si="8">INDIRECT(ADDRESS(ROW(K17),$C$3-2010+4,,,"1c_WaterHeating"))</f>
        <v>76</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13" sqref="E13"/>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Sweden</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162244.80000000002</v>
      </c>
      <c r="E6" s="121">
        <f ca="1">Table1_Totals!E6*3.6</f>
        <v>50371.200000000004</v>
      </c>
      <c r="F6" s="121">
        <f ca="1">Table1_Totals!F6*3.6</f>
        <v>0</v>
      </c>
      <c r="G6" s="121">
        <f ca="1">Table1_Totals!G6*3.6</f>
        <v>14482.800000000001</v>
      </c>
      <c r="H6" s="121">
        <f ca="1">Table1_Totals!H6*3.6</f>
        <v>4759.2</v>
      </c>
      <c r="I6" s="121">
        <f ca="1">Table1_Totals!I6*3.6</f>
        <v>60318</v>
      </c>
      <c r="J6" s="121">
        <f ca="1">Table1_Totals!J6*3.6</f>
        <v>32313.600000000002</v>
      </c>
      <c r="K6" s="122"/>
    </row>
    <row r="7" spans="1:11" ht="24" customHeight="1" x14ac:dyDescent="0.25">
      <c r="A7" s="195" t="s">
        <v>15</v>
      </c>
      <c r="B7" s="196"/>
      <c r="C7" s="109" t="s">
        <v>16</v>
      </c>
      <c r="D7" s="123">
        <f t="shared" ref="D7:D18" ca="1" si="0">SUM(E7:J7)</f>
        <v>107813</v>
      </c>
      <c r="E7" s="124">
        <f ca="1">Table1_Totals!E7</f>
        <v>83663</v>
      </c>
      <c r="F7" s="125"/>
      <c r="G7" s="124">
        <f ca="1">Table1_Totals!G7</f>
        <v>24150</v>
      </c>
      <c r="H7" s="124">
        <f ca="1">Table1_Totals!H7</f>
        <v>0</v>
      </c>
      <c r="I7" s="125"/>
      <c r="J7" s="124">
        <f ca="1">Table1_Totals!J7</f>
        <v>0</v>
      </c>
      <c r="K7" s="125"/>
    </row>
    <row r="8" spans="1:11" ht="24" customHeight="1" x14ac:dyDescent="0.25">
      <c r="A8" s="195" t="s">
        <v>29</v>
      </c>
      <c r="B8" s="196"/>
      <c r="C8" s="109" t="s">
        <v>16</v>
      </c>
      <c r="D8" s="123">
        <f t="shared" ca="1" si="0"/>
        <v>1368.9</v>
      </c>
      <c r="E8" s="124">
        <f ca="1">Table1_Totals!E8*0.9</f>
        <v>1035</v>
      </c>
      <c r="F8" s="125"/>
      <c r="G8" s="124">
        <f ca="1">Table1_Totals!G8*0.9</f>
        <v>259.2</v>
      </c>
      <c r="H8" s="124">
        <f ca="1">Table1_Totals!H8*0.9</f>
        <v>74.7</v>
      </c>
      <c r="I8" s="125"/>
      <c r="J8" s="124">
        <f ca="1">Table1_Totals!J8*0.9</f>
        <v>0</v>
      </c>
      <c r="K8" s="125"/>
    </row>
    <row r="9" spans="1:11" ht="24" customHeight="1" x14ac:dyDescent="0.25">
      <c r="A9" s="195" t="s">
        <v>156</v>
      </c>
      <c r="B9" s="196"/>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0</v>
      </c>
    </row>
    <row r="10" spans="1:11" ht="24" customHeight="1" x14ac:dyDescent="0.25">
      <c r="A10" s="195" t="s">
        <v>42</v>
      </c>
      <c r="B10" s="196"/>
      <c r="C10" s="109" t="s">
        <v>16</v>
      </c>
      <c r="D10" s="123">
        <f t="shared" ca="1" si="0"/>
        <v>8347.8780000000006</v>
      </c>
      <c r="E10" s="124">
        <f ca="1">IF(Table1_Totals!E10&lt;&gt;0,IF(Table1_Totals!$K10&lt;&gt;0,Table1_Totals!E10*Table1_Totals!$K10/1000,"Please check CV"),"0,000")</f>
        <v>6914.4040000000005</v>
      </c>
      <c r="F10" s="125"/>
      <c r="G10" s="124">
        <f ca="1">IF(Table1_Totals!G10&lt;&gt;0,IF(Table1_Totals!$K10&lt;&gt;0,Table1_Totals!G10*Table1_Totals!$K10/1000,"Please check CV"),"0,000")</f>
        <v>1433.4739999999999</v>
      </c>
      <c r="H10" s="124" t="str">
        <f ca="1">IF(Table1_Totals!H10&lt;&gt;0,IF(Table1_Totals!$K10&lt;&gt;0,Table1_Totals!H10*Table1_Totals!$K10/1000,"Please check CV"),"0,000")</f>
        <v>0,000</v>
      </c>
      <c r="I10" s="125"/>
      <c r="J10" s="124" t="str">
        <f ca="1">IF(Table1_Totals!J10&lt;&gt;0,IF(Table1_Totals!$K10&lt;&gt;0,Table1_Totals!J10*Table1_Totals!$K10/1000,"Please check CV"),"0,000")</f>
        <v>0,000</v>
      </c>
      <c r="K10" s="126">
        <f ca="1">Table1_Totals!K10</f>
        <v>42161</v>
      </c>
    </row>
    <row r="11" spans="1:11" s="34" customFormat="1" ht="15" customHeight="1" x14ac:dyDescent="0.25">
      <c r="A11" s="194" t="s">
        <v>18</v>
      </c>
      <c r="B11" s="10" t="s">
        <v>21</v>
      </c>
      <c r="C11" s="11" t="s">
        <v>16</v>
      </c>
      <c r="D11" s="127">
        <f t="shared" ca="1" si="0"/>
        <v>184.16</v>
      </c>
      <c r="E11" s="128">
        <f ca="1">IF(Table1_Totals!E11&lt;&gt;0,IF(Table1_Totals!$K11&lt;&gt;0,Table1_Totals!E11*Table1_Totals!$K11/1000,"Please check CV"),"0,000")</f>
        <v>138.12</v>
      </c>
      <c r="F11" s="129"/>
      <c r="G11" s="128">
        <f ca="1">IF(Table1_Totals!G11&lt;&gt;0,IF(Table1_Totals!$K11&lt;&gt;0,Table1_Totals!G11*Table1_Totals!$K11/1000,"Please check CV"),"0,000")</f>
        <v>46.04</v>
      </c>
      <c r="H11" s="128" t="str">
        <f ca="1">IF(Table1_Totals!H11&lt;&gt;0,IF(Table1_Totals!$K11&lt;&gt;0,Table1_Totals!H11*Table1_Totals!$K11/1000,"Please check CV"),"0,000")</f>
        <v>0,000</v>
      </c>
      <c r="I11" s="129"/>
      <c r="J11" s="128" t="str">
        <f ca="1">IF(Table1_Totals!J11&lt;&gt;0,IF(Table1_Totals!$K11&lt;&gt;0,Table1_Totals!J11*Table1_Totals!$K11/1000,"Please check CV"),"0,000")</f>
        <v>0,000</v>
      </c>
      <c r="K11" s="130">
        <f ca="1">Table1_Totals!K11</f>
        <v>46040</v>
      </c>
    </row>
    <row r="12" spans="1:11" s="34" customFormat="1" ht="15" customHeight="1" x14ac:dyDescent="0.25">
      <c r="A12" s="19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4"/>
      <c r="B13" s="10" t="s">
        <v>23</v>
      </c>
      <c r="C13" s="11" t="s">
        <v>16</v>
      </c>
      <c r="D13" s="127">
        <f t="shared" ca="1" si="0"/>
        <v>3372.88</v>
      </c>
      <c r="E13" s="128">
        <f ca="1">IF(Table1_Totals!E13&lt;&gt;0,IF(Table1_Totals!$K13&lt;&gt;0,Table1_Totals!E13*Table1_Totals!$K13/1000,"Please check CV"),"0,000")</f>
        <v>2782.6260000000002</v>
      </c>
      <c r="F13" s="129"/>
      <c r="G13" s="128">
        <f ca="1">IF(Table1_Totals!G13&lt;&gt;0,IF(Table1_Totals!$K13&lt;&gt;0,Table1_Totals!G13*Table1_Totals!$K13/1000,"Please check CV"),"0,000")</f>
        <v>590.25400000000002</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42161</v>
      </c>
    </row>
    <row r="14" spans="1:11" ht="24" customHeight="1" x14ac:dyDescent="0.25">
      <c r="A14" s="195" t="s">
        <v>43</v>
      </c>
      <c r="B14" s="196"/>
      <c r="C14" s="109" t="s">
        <v>16</v>
      </c>
      <c r="D14" s="123">
        <f t="shared" ca="1" si="0"/>
        <v>33651</v>
      </c>
      <c r="E14" s="124">
        <f ca="1">Table1_Totals!E14</f>
        <v>29848</v>
      </c>
      <c r="F14" s="125"/>
      <c r="G14" s="124">
        <f ca="1">Table1_Totals!G14</f>
        <v>3803</v>
      </c>
      <c r="H14" s="124">
        <f ca="1">Table1_Totals!H14</f>
        <v>0</v>
      </c>
      <c r="I14" s="125"/>
      <c r="J14" s="124">
        <f ca="1">Table1_Totals!J14</f>
        <v>0</v>
      </c>
      <c r="K14" s="125"/>
    </row>
    <row r="15" spans="1:11" s="34" customFormat="1" ht="15" customHeight="1" x14ac:dyDescent="0.25">
      <c r="A15" s="194" t="s">
        <v>18</v>
      </c>
      <c r="B15" s="10" t="s">
        <v>26</v>
      </c>
      <c r="C15" s="11" t="s">
        <v>16</v>
      </c>
      <c r="D15" s="127">
        <f t="shared" ca="1" si="0"/>
        <v>457</v>
      </c>
      <c r="E15" s="128">
        <f ca="1">Table1_Totals!E15</f>
        <v>405</v>
      </c>
      <c r="F15" s="129"/>
      <c r="G15" s="128">
        <f ca="1">Table1_Totals!G15</f>
        <v>52</v>
      </c>
      <c r="H15" s="128">
        <f ca="1">Table1_Totals!H15</f>
        <v>0</v>
      </c>
      <c r="I15" s="129"/>
      <c r="J15" s="128">
        <f ca="1">Table1_Totals!J15</f>
        <v>0</v>
      </c>
      <c r="K15" s="129"/>
    </row>
    <row r="16" spans="1:11" s="34" customFormat="1" ht="15" customHeight="1" x14ac:dyDescent="0.25">
      <c r="A16" s="194"/>
      <c r="B16" s="10" t="s">
        <v>27</v>
      </c>
      <c r="C16" s="11" t="s">
        <v>16</v>
      </c>
      <c r="D16" s="127">
        <f t="shared" ca="1" si="0"/>
        <v>32507</v>
      </c>
      <c r="E16" s="128">
        <f ca="1">Table1_Totals!E16</f>
        <v>28834</v>
      </c>
      <c r="F16" s="129"/>
      <c r="G16" s="128">
        <f ca="1">Table1_Totals!G16</f>
        <v>3673</v>
      </c>
      <c r="H16" s="128">
        <f ca="1">Table1_Totals!H16</f>
        <v>0</v>
      </c>
      <c r="I16" s="129"/>
      <c r="J16" s="128">
        <f ca="1">Table1_Totals!J16</f>
        <v>0</v>
      </c>
      <c r="K16" s="129"/>
    </row>
    <row r="17" spans="1:11" s="34" customFormat="1" ht="15" customHeight="1" x14ac:dyDescent="0.25">
      <c r="A17" s="194"/>
      <c r="B17" s="10" t="s">
        <v>28</v>
      </c>
      <c r="C17" s="11"/>
      <c r="D17" s="127">
        <f t="shared" ref="D17" ca="1" si="1">SUM(E17:J17)</f>
        <v>674</v>
      </c>
      <c r="E17" s="128">
        <f ca="1">Table1_Totals!E17</f>
        <v>598</v>
      </c>
      <c r="F17" s="129"/>
      <c r="G17" s="128">
        <f ca="1">Table1_Totals!G17</f>
        <v>76</v>
      </c>
      <c r="H17" s="128">
        <f ca="1">Table1_Totals!H17</f>
        <v>0</v>
      </c>
      <c r="I17" s="129"/>
      <c r="J17" s="128">
        <f ca="1">Table1_Totals!J17</f>
        <v>0</v>
      </c>
      <c r="K17" s="129"/>
    </row>
    <row r="18" spans="1:11" s="34" customFormat="1" ht="15" customHeight="1" x14ac:dyDescent="0.25">
      <c r="A18" s="194"/>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313425.57799999998</v>
      </c>
      <c r="E19" s="124">
        <f ca="1">SUM(E6:E10,E14)</f>
        <v>171831.60400000002</v>
      </c>
      <c r="F19" s="124">
        <f t="shared" ref="F19:J19" ca="1" si="3">SUM(F6:F10,F14)</f>
        <v>0</v>
      </c>
      <c r="G19" s="124">
        <f t="shared" ca="1" si="3"/>
        <v>44128.474000000002</v>
      </c>
      <c r="H19" s="124">
        <f t="shared" ca="1" si="3"/>
        <v>4833.8999999999996</v>
      </c>
      <c r="I19" s="124">
        <f t="shared" ca="1" si="3"/>
        <v>60318</v>
      </c>
      <c r="J19" s="124">
        <f t="shared" ca="1" si="3"/>
        <v>32313.600000000002</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L17" sqref="L1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13539</v>
      </c>
      <c r="J6" s="60">
        <v>14936</v>
      </c>
      <c r="K6" s="60">
        <v>13814</v>
      </c>
      <c r="L6" s="60">
        <v>13992</v>
      </c>
      <c r="M6" s="60"/>
      <c r="N6" s="60"/>
      <c r="O6" s="60"/>
      <c r="DS6" s="4" t="str">
        <f>VLOOKUP(Cover!$D$15, Country_list!$B$3:$C$44, 2, 0)</f>
        <v>SE</v>
      </c>
      <c r="DT6" s="33" t="s">
        <v>289</v>
      </c>
      <c r="DV6" s="33" t="s">
        <v>302</v>
      </c>
      <c r="EB6" s="33" t="s">
        <v>291</v>
      </c>
      <c r="ED6" s="33" t="s">
        <v>294</v>
      </c>
    </row>
    <row r="7" spans="1:134" ht="24" customHeight="1" x14ac:dyDescent="0.25">
      <c r="A7" s="174" t="s">
        <v>15</v>
      </c>
      <c r="B7" s="198"/>
      <c r="C7" s="9" t="s">
        <v>25</v>
      </c>
      <c r="D7" s="61"/>
      <c r="E7" s="58"/>
      <c r="F7" s="58"/>
      <c r="G7" s="58"/>
      <c r="H7" s="58"/>
      <c r="I7" s="58">
        <v>80321</v>
      </c>
      <c r="J7" s="58">
        <v>84667</v>
      </c>
      <c r="K7" s="58">
        <v>84925</v>
      </c>
      <c r="L7" s="58">
        <v>83663</v>
      </c>
      <c r="M7" s="58"/>
      <c r="N7" s="58"/>
      <c r="O7" s="58"/>
      <c r="DT7" s="33" t="s">
        <v>290</v>
      </c>
      <c r="EB7" s="33" t="s">
        <v>291</v>
      </c>
      <c r="ED7" s="33" t="s">
        <v>295</v>
      </c>
    </row>
    <row r="8" spans="1:134" ht="24" customHeight="1" x14ac:dyDescent="0.25">
      <c r="A8" s="174" t="s">
        <v>29</v>
      </c>
      <c r="B8" s="198"/>
      <c r="C8" s="9" t="s">
        <v>17</v>
      </c>
      <c r="D8" s="61"/>
      <c r="E8" s="58"/>
      <c r="F8" s="58"/>
      <c r="G8" s="58"/>
      <c r="H8" s="58"/>
      <c r="I8" s="58">
        <v>1000</v>
      </c>
      <c r="J8" s="58">
        <v>1058</v>
      </c>
      <c r="K8" s="58">
        <v>1278</v>
      </c>
      <c r="L8" s="58">
        <v>1150</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198</v>
      </c>
      <c r="J10" s="58">
        <v>178</v>
      </c>
      <c r="K10" s="58">
        <v>177</v>
      </c>
      <c r="L10" s="58">
        <v>164</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v>3</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v>66</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35991</v>
      </c>
      <c r="J14" s="58">
        <v>33874</v>
      </c>
      <c r="K14" s="58">
        <v>33820</v>
      </c>
      <c r="L14" s="58">
        <v>29848</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v>405</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c r="J16" s="113"/>
      <c r="K16" s="113"/>
      <c r="L16" s="113">
        <v>28834</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v>598</v>
      </c>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30" sqref="D3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c r="E6" s="60"/>
      <c r="F6" s="60"/>
      <c r="G6" s="60"/>
      <c r="H6" s="60"/>
      <c r="I6" s="60">
        <v>0</v>
      </c>
      <c r="J6" s="60">
        <v>0</v>
      </c>
      <c r="K6" s="60"/>
      <c r="L6" s="60"/>
      <c r="M6" s="60"/>
      <c r="N6" s="60"/>
      <c r="O6" s="60"/>
      <c r="DS6" s="4" t="str">
        <f>VLOOKUP(Cover!$D$15, Country_list!$B$3:$C$44, 2, 0)</f>
        <v>SE</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v>0</v>
      </c>
      <c r="J7" s="134">
        <v>0</v>
      </c>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v>0</v>
      </c>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v>0</v>
      </c>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v>0</v>
      </c>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v>0</v>
      </c>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16" sqref="L16"/>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3634</v>
      </c>
      <c r="J6" s="60">
        <v>3983</v>
      </c>
      <c r="K6" s="60">
        <v>3703</v>
      </c>
      <c r="L6" s="60">
        <v>4023</v>
      </c>
      <c r="M6" s="60"/>
      <c r="N6" s="60"/>
      <c r="O6" s="60"/>
      <c r="DS6" s="4" t="str">
        <f>VLOOKUP(Cover!$D$15, Country_list!$B$3:$C$44, 2, 0)</f>
        <v>SE</v>
      </c>
      <c r="DT6" s="33" t="s">
        <v>289</v>
      </c>
      <c r="DV6" s="33" t="s">
        <v>304</v>
      </c>
      <c r="EB6" s="33" t="s">
        <v>291</v>
      </c>
      <c r="ED6" s="33" t="s">
        <v>294</v>
      </c>
    </row>
    <row r="7" spans="1:134" ht="24" customHeight="1" x14ac:dyDescent="0.25">
      <c r="A7" s="174" t="s">
        <v>15</v>
      </c>
      <c r="B7" s="198"/>
      <c r="C7" s="9" t="s">
        <v>25</v>
      </c>
      <c r="D7" s="61"/>
      <c r="E7" s="58"/>
      <c r="F7" s="58"/>
      <c r="G7" s="58"/>
      <c r="H7" s="58"/>
      <c r="I7" s="58">
        <v>23186</v>
      </c>
      <c r="J7" s="58">
        <v>24453</v>
      </c>
      <c r="K7" s="58">
        <v>24515</v>
      </c>
      <c r="L7" s="58">
        <v>24150</v>
      </c>
      <c r="M7" s="58"/>
      <c r="N7" s="58"/>
      <c r="O7" s="58"/>
      <c r="DT7" s="33" t="s">
        <v>290</v>
      </c>
      <c r="EB7" s="33" t="s">
        <v>291</v>
      </c>
      <c r="ED7" s="33" t="s">
        <v>295</v>
      </c>
    </row>
    <row r="8" spans="1:134" ht="24" customHeight="1" x14ac:dyDescent="0.25">
      <c r="A8" s="174" t="s">
        <v>29</v>
      </c>
      <c r="B8" s="198"/>
      <c r="C8" s="9" t="s">
        <v>17</v>
      </c>
      <c r="D8" s="61"/>
      <c r="E8" s="58"/>
      <c r="F8" s="58"/>
      <c r="G8" s="58"/>
      <c r="H8" s="58"/>
      <c r="I8" s="58">
        <v>250</v>
      </c>
      <c r="J8" s="58">
        <v>265</v>
      </c>
      <c r="K8" s="58">
        <v>319</v>
      </c>
      <c r="L8" s="58">
        <v>288</v>
      </c>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41</v>
      </c>
      <c r="J10" s="58">
        <v>37</v>
      </c>
      <c r="K10" s="58">
        <v>37</v>
      </c>
      <c r="L10" s="58">
        <v>34</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v>1</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v>14</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4585</v>
      </c>
      <c r="J14" s="58">
        <v>4315</v>
      </c>
      <c r="K14" s="58">
        <v>4308</v>
      </c>
      <c r="L14" s="58">
        <v>3803</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v>52</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c r="J16" s="113"/>
      <c r="K16" s="113"/>
      <c r="L16" s="113">
        <v>3673</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v>76</v>
      </c>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1164</v>
      </c>
      <c r="J6" s="60">
        <v>1164</v>
      </c>
      <c r="K6" s="60">
        <v>1264</v>
      </c>
      <c r="L6" s="60">
        <v>1322</v>
      </c>
      <c r="M6" s="60"/>
      <c r="N6" s="60"/>
      <c r="O6" s="60"/>
      <c r="DS6" s="4" t="str">
        <f>VLOOKUP(Cover!$D$15, Country_list!$B$3:$C$44, 2, 0)</f>
        <v>SE</v>
      </c>
      <c r="DT6" s="33" t="s">
        <v>289</v>
      </c>
      <c r="DV6" s="33" t="s">
        <v>305</v>
      </c>
      <c r="EB6" s="33" t="s">
        <v>291</v>
      </c>
      <c r="ED6" s="33" t="s">
        <v>294</v>
      </c>
    </row>
    <row r="7" spans="1:134" ht="24" customHeight="1" x14ac:dyDescent="0.25">
      <c r="A7" s="174" t="s">
        <v>15</v>
      </c>
      <c r="B7" s="198"/>
      <c r="C7" s="9" t="s">
        <v>25</v>
      </c>
      <c r="D7" s="61"/>
      <c r="E7" s="58"/>
      <c r="F7" s="58"/>
      <c r="G7" s="58"/>
      <c r="H7" s="58"/>
      <c r="I7" s="58">
        <v>0</v>
      </c>
      <c r="J7" s="58"/>
      <c r="K7" s="58"/>
      <c r="L7" s="58"/>
      <c r="M7" s="58"/>
      <c r="N7" s="58"/>
      <c r="O7" s="58"/>
      <c r="DT7" s="33" t="s">
        <v>290</v>
      </c>
      <c r="EB7" s="33" t="s">
        <v>291</v>
      </c>
      <c r="ED7" s="33" t="s">
        <v>295</v>
      </c>
    </row>
    <row r="8" spans="1:134" ht="24" customHeight="1" x14ac:dyDescent="0.25">
      <c r="A8" s="174" t="s">
        <v>29</v>
      </c>
      <c r="B8" s="198"/>
      <c r="C8" s="9" t="s">
        <v>17</v>
      </c>
      <c r="D8" s="61"/>
      <c r="E8" s="58"/>
      <c r="F8" s="58"/>
      <c r="G8" s="58"/>
      <c r="H8" s="58"/>
      <c r="I8" s="58">
        <v>83</v>
      </c>
      <c r="J8" s="58">
        <v>83</v>
      </c>
      <c r="K8" s="58">
        <v>83</v>
      </c>
      <c r="L8" s="58">
        <v>83</v>
      </c>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0</v>
      </c>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0</v>
      </c>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7" sqref="L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14746</v>
      </c>
      <c r="J6" s="63">
        <v>16062</v>
      </c>
      <c r="K6" s="63">
        <v>16547</v>
      </c>
      <c r="L6" s="63">
        <v>16755</v>
      </c>
      <c r="M6" s="63"/>
      <c r="N6" s="63"/>
      <c r="O6" s="63"/>
      <c r="DS6" s="4" t="str">
        <f>VLOOKUP(Cover!$D$15, Country_list!$B$3:$C$44, 2, 0)</f>
        <v>SE</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L7" sqref="L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v>9904</v>
      </c>
      <c r="J6" s="60">
        <v>9690</v>
      </c>
      <c r="K6" s="60">
        <v>9804</v>
      </c>
      <c r="L6" s="60">
        <v>8976</v>
      </c>
      <c r="M6" s="60"/>
      <c r="N6" s="60"/>
      <c r="O6" s="60"/>
      <c r="DS6" s="4" t="str">
        <f>VLOOKUP(Cover!$D$15, Country_list!$B$3:$C$44, 2, 0)</f>
        <v>SE</v>
      </c>
      <c r="DT6" s="33" t="s">
        <v>289</v>
      </c>
      <c r="DV6" s="33" t="s">
        <v>307</v>
      </c>
      <c r="EB6" s="33" t="s">
        <v>291</v>
      </c>
      <c r="ED6" s="33" t="s">
        <v>294</v>
      </c>
    </row>
    <row r="7" spans="1:134" ht="24" customHeight="1" x14ac:dyDescent="0.25">
      <c r="A7" s="174" t="s">
        <v>15</v>
      </c>
      <c r="B7" s="210"/>
      <c r="C7" s="9" t="s">
        <v>25</v>
      </c>
      <c r="D7" s="61"/>
      <c r="E7" s="58"/>
      <c r="F7" s="58"/>
      <c r="G7" s="58"/>
      <c r="H7" s="58"/>
      <c r="I7" s="58">
        <v>0</v>
      </c>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v>0</v>
      </c>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0</v>
      </c>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0</v>
      </c>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13" zoomScale="90" zoomScaleNormal="90" workbookViewId="0">
      <selection activeCell="B18" sqref="B18"/>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
      </c>
      <c r="I44" s="99" t="str">
        <f>IF(Calorific_Values!J11&lt;&gt;0,IF(AND(40000&lt;=Calorific_Values!J11,Calorific_Values!J11&lt;=50000),"TRUE","FALSE"),"")</f>
        <v/>
      </c>
      <c r="J44" s="99" t="str">
        <f>IF(Calorific_Values!K11&lt;&gt;0,IF(AND(40000&lt;=Calorific_Values!K11,Calorific_Values!K11&lt;=50000),"TRUE","FALSE"),"")</f>
        <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2020-01-30T14:21:53Z</dcterms:modified>
  <cp:category>Annual questionnaires</cp:category>
</cp:coreProperties>
</file>