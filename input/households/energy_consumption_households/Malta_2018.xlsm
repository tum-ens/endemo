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105" yWindow="-105" windowWidth="23250" windowHeight="1257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H17" i="5"/>
  <c r="G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2"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E13" i="5"/>
  <c r="J16" i="5"/>
  <c r="G16" i="5"/>
  <c r="H6" i="5"/>
  <c r="H10" i="5"/>
  <c r="J9" i="5"/>
  <c r="H7" i="5"/>
  <c r="E12" i="5"/>
  <c r="G7" i="5"/>
  <c r="G9" i="5"/>
  <c r="H15" i="5"/>
  <c r="G13" i="5"/>
  <c r="G11" i="5"/>
  <c r="E8" i="5"/>
  <c r="J7" i="5"/>
  <c r="J14" i="5"/>
  <c r="J18" i="5"/>
  <c r="E11" i="5"/>
  <c r="J8" i="5"/>
  <c r="H12" i="5"/>
  <c r="G15" i="5"/>
  <c r="G12" i="5"/>
  <c r="G14" i="5"/>
  <c r="J15" i="5"/>
  <c r="E6" i="5"/>
  <c r="G8" i="5"/>
  <c r="H14" i="5"/>
  <c r="E7" i="5"/>
  <c r="J6" i="5"/>
  <c r="H13" i="5"/>
  <c r="G6" i="5"/>
  <c r="J12" i="5"/>
  <c r="E15" i="5"/>
  <c r="H8" i="5"/>
  <c r="K9" i="5"/>
  <c r="G10" i="5"/>
  <c r="E9" i="5"/>
  <c r="H18" i="5"/>
  <c r="J13" i="5"/>
  <c r="J11" i="5"/>
  <c r="J10" i="5"/>
  <c r="G18" i="5"/>
  <c r="E16" i="5"/>
  <c r="F6" i="5"/>
  <c r="E14" i="5"/>
  <c r="H16" i="5"/>
  <c r="E18" i="5"/>
  <c r="H9" i="5"/>
  <c r="I6" i="5"/>
  <c r="H11"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<sst xmlns="http://schemas.openxmlformats.org/spreadsheetml/2006/main" count="952" uniqueCount="315">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</sst>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63</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E1" activePane="topRight" state="frozen"/>
      <selection activeCell="DS1" sqref="DS1:ED1048576"/>
      <selection pane="topRight" activeCell="J16" sqref="J16"/>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MT</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c r="J9" s="94"/>
      <c r="K9" s="94"/>
      <c r="L9" s="94"/>
      <c r="M9" s="94"/>
      <c r="N9" s="94"/>
      <c r="O9" s="94"/>
      <c r="DT9" s="4" t="s">
        <v>279</v>
      </c>
      <c r="EB9" s="4" t="s">
        <v>300</v>
      </c>
      <c r="ED9" s="4" t="s">
        <v>301</v>
      </c>
    </row>
    <row r="10" spans="1:134" ht="24" customHeight="1" x14ac:dyDescent="0.2">
      <c r="A10" s="183" t="s">
        <v>20</v>
      </c>
      <c r="B10" s="184"/>
      <c r="C10" s="9" t="s">
        <v>132</v>
      </c>
      <c r="D10" s="93"/>
      <c r="E10" s="94"/>
      <c r="F10" s="94"/>
      <c r="G10" s="94"/>
      <c r="H10" s="94"/>
      <c r="I10" s="94">
        <v>44500</v>
      </c>
      <c r="J10" s="94">
        <v>44500</v>
      </c>
      <c r="K10" s="94">
        <v>44308</v>
      </c>
      <c r="L10" s="94">
        <v>44308</v>
      </c>
      <c r="M10" s="94"/>
      <c r="N10" s="94"/>
      <c r="O10" s="94"/>
      <c r="DT10" s="4" t="s">
        <v>280</v>
      </c>
      <c r="EB10" s="4" t="s">
        <v>300</v>
      </c>
      <c r="ED10" s="4" t="s">
        <v>301</v>
      </c>
    </row>
    <row r="11" spans="1:134" s="13" customFormat="1" ht="15" customHeight="1" x14ac:dyDescent="0.2">
      <c r="A11" s="182" t="s">
        <v>18</v>
      </c>
      <c r="B11" s="110" t="s">
        <v>21</v>
      </c>
      <c r="C11" s="111" t="s">
        <v>132</v>
      </c>
      <c r="D11" s="115"/>
      <c r="E11" s="115"/>
      <c r="F11" s="116"/>
      <c r="G11" s="116"/>
      <c r="H11" s="116"/>
      <c r="I11" s="116">
        <v>46013</v>
      </c>
      <c r="J11" s="116">
        <v>46013</v>
      </c>
      <c r="K11" s="116">
        <v>46012.932000000001</v>
      </c>
      <c r="L11" s="116">
        <v>46012.932000000001</v>
      </c>
      <c r="M11" s="116"/>
      <c r="N11" s="116"/>
      <c r="O11" s="116"/>
      <c r="DT11" s="13" t="s">
        <v>281</v>
      </c>
      <c r="EB11" s="13" t="s">
        <v>300</v>
      </c>
      <c r="ED11" s="13" t="s">
        <v>301</v>
      </c>
    </row>
    <row r="12" spans="1:134" s="13" customFormat="1" ht="15" customHeight="1" x14ac:dyDescent="0.2">
      <c r="A12" s="182"/>
      <c r="B12" s="110" t="s">
        <v>22</v>
      </c>
      <c r="C12" s="111" t="s">
        <v>132</v>
      </c>
      <c r="D12" s="115"/>
      <c r="E12" s="115"/>
      <c r="F12" s="115"/>
      <c r="G12" s="115"/>
      <c r="H12" s="115"/>
      <c r="I12" s="115">
        <v>43914</v>
      </c>
      <c r="J12" s="115">
        <v>43914</v>
      </c>
      <c r="K12" s="115">
        <v>43913.531999999999</v>
      </c>
      <c r="L12" s="115">
        <v>43913.531999999999</v>
      </c>
      <c r="M12" s="115"/>
      <c r="N12" s="115"/>
      <c r="O12" s="115"/>
      <c r="DT12" s="13" t="s">
        <v>282</v>
      </c>
      <c r="EB12" s="13" t="s">
        <v>300</v>
      </c>
      <c r="ED12" s="13" t="s">
        <v>301</v>
      </c>
    </row>
    <row r="13" spans="1:134" s="13" customFormat="1" ht="15" customHeight="1" x14ac:dyDescent="0.2">
      <c r="A13" s="182"/>
      <c r="B13" s="110" t="s">
        <v>23</v>
      </c>
      <c r="C13" s="111" t="s">
        <v>132</v>
      </c>
      <c r="D13" s="115"/>
      <c r="E13" s="115"/>
      <c r="F13" s="115"/>
      <c r="G13" s="115"/>
      <c r="H13" s="115"/>
      <c r="I13" s="115">
        <v>42998</v>
      </c>
      <c r="J13" s="115">
        <v>42998</v>
      </c>
      <c r="K13" s="115">
        <v>42998.436000000002</v>
      </c>
      <c r="L13" s="115">
        <v>42998.436000000002</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C3" sqref="C3"/>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Malta</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755.61599999999999</v>
      </c>
      <c r="E6" s="121">
        <f ca="1">INDIRECT(ADDRESS(ROW(K6),$C$3 -2010 + 4,,,"1a_SpaceHeating"))</f>
        <v>82.427999999999997</v>
      </c>
      <c r="F6" s="121">
        <f ca="1">INDIRECT(ADDRESS(ROW(K6),$C$3-2010+4,,,"1b_SpaceCooling"))</f>
        <v>132.86000000000001</v>
      </c>
      <c r="G6" s="121">
        <f ca="1">INDIRECT(ADDRESS(ROW(K6),$C$3-2010+4,,,"1c_WaterHeating"))</f>
        <v>215.73699999999999</v>
      </c>
      <c r="H6" s="121">
        <f ca="1">INDIRECT(ADDRESS(ROW(K6),$C$3-2010+4,,,"1d_Cooking"))</f>
        <v>26.65</v>
      </c>
      <c r="I6" s="121">
        <f ca="1">INDIRECT(ADDRESS(ROW(K6),$C$3-2010+4,,,"1e_LightingAndAppliances"))</f>
        <v>277.53899999999999</v>
      </c>
      <c r="J6" s="121">
        <f ca="1">INDIRECT(ADDRESS(ROW(K6),$C$3-2010+4,,,"1f_OtherEndUses"))</f>
        <v>20.402000000000001</v>
      </c>
      <c r="K6" s="122"/>
    </row>
    <row r="7" spans="1:11" ht="24" customHeight="1" x14ac:dyDescent="0.25">
      <c r="A7" s="186" t="s">
        <v>15</v>
      </c>
      <c r="B7" s="187"/>
      <c r="C7" s="109" t="s">
        <v>16</v>
      </c>
      <c r="D7" s="123">
        <f t="shared" ref="D7:D16" ca="1" si="0">SUM(E7:J7)</f>
        <v>0</v>
      </c>
      <c r="E7" s="124">
        <f t="shared" ref="E7:E16" ca="1" si="1">INDIRECT(ADDRESS(ROW(K7),$C$3 -2010 + 4,,,"1a_SpaceHeating"))</f>
        <v>0</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0</v>
      </c>
      <c r="E8" s="124">
        <f t="shared" ca="1" si="1"/>
        <v>0</v>
      </c>
      <c r="F8" s="125"/>
      <c r="G8" s="124">
        <f t="shared" ca="1" si="2"/>
        <v>0</v>
      </c>
      <c r="H8" s="124">
        <f t="shared" ca="1" si="3"/>
        <v>0</v>
      </c>
      <c r="I8" s="125"/>
      <c r="J8" s="124">
        <f t="shared" ca="1" si="4"/>
        <v>0</v>
      </c>
      <c r="K8" s="125"/>
    </row>
    <row r="9" spans="1:11" ht="24" customHeight="1" x14ac:dyDescent="0.25">
      <c r="A9" s="186" t="s">
        <v>156</v>
      </c>
      <c r="B9" s="187"/>
      <c r="C9" s="109" t="s">
        <v>19</v>
      </c>
      <c r="D9" s="123">
        <f t="shared" ca="1" si="0"/>
        <v>0</v>
      </c>
      <c r="E9" s="124">
        <f t="shared" ca="1" si="1"/>
        <v>0</v>
      </c>
      <c r="F9" s="125"/>
      <c r="G9" s="124">
        <f t="shared" ca="1" si="2"/>
        <v>0</v>
      </c>
      <c r="H9" s="124">
        <f t="shared" ca="1" si="3"/>
        <v>0</v>
      </c>
      <c r="I9" s="125"/>
      <c r="J9" s="124">
        <f t="shared" ca="1" si="4"/>
        <v>0</v>
      </c>
      <c r="K9" s="126">
        <f ca="1">INDIRECT(ADDRESS(ROW(K9),$C$3-2010+4,,,"Calorific_Values"))</f>
        <v>0</v>
      </c>
    </row>
    <row r="10" spans="1:11" ht="24" customHeight="1" x14ac:dyDescent="0.25">
      <c r="A10" s="186" t="s">
        <v>42</v>
      </c>
      <c r="B10" s="187"/>
      <c r="C10" s="109" t="s">
        <v>19</v>
      </c>
      <c r="D10" s="123">
        <f t="shared" ca="1" si="0"/>
        <v>13.918999999999999</v>
      </c>
      <c r="E10" s="124">
        <f t="shared" ca="1" si="1"/>
        <v>3.4049999999999998</v>
      </c>
      <c r="F10" s="125"/>
      <c r="G10" s="124">
        <f t="shared" ca="1" si="2"/>
        <v>0</v>
      </c>
      <c r="H10" s="124">
        <f t="shared" ca="1" si="3"/>
        <v>10.513999999999999</v>
      </c>
      <c r="I10" s="125"/>
      <c r="J10" s="124">
        <f t="shared" ca="1" si="4"/>
        <v>0</v>
      </c>
      <c r="K10" s="126">
        <f ca="1">INDIRECT(ADDRESS(ROW(K10),$C$3-2010+4,,,"Calorific_Values"))</f>
        <v>44308</v>
      </c>
    </row>
    <row r="11" spans="1:11" s="34" customFormat="1" ht="15" customHeight="1" x14ac:dyDescent="0.25">
      <c r="A11" s="185" t="s">
        <v>18</v>
      </c>
      <c r="B11" s="10" t="s">
        <v>21</v>
      </c>
      <c r="C11" s="11" t="s">
        <v>19</v>
      </c>
      <c r="D11" s="127">
        <f t="shared" ca="1" si="0"/>
        <v>13.757</v>
      </c>
      <c r="E11" s="128">
        <f t="shared" ca="1" si="1"/>
        <v>3.2429999999999999</v>
      </c>
      <c r="F11" s="129"/>
      <c r="G11" s="128">
        <f t="shared" ca="1" si="2"/>
        <v>0</v>
      </c>
      <c r="H11" s="128">
        <f t="shared" ca="1" si="3"/>
        <v>10.513999999999999</v>
      </c>
      <c r="I11" s="129"/>
      <c r="J11" s="128">
        <f t="shared" ca="1" si="4"/>
        <v>0</v>
      </c>
      <c r="K11" s="130">
        <f t="shared" ref="K11:K13" ca="1" si="5">INDIRECT(ADDRESS(ROW(K11),$C$3-2010+4,,,"Calorific_Values"))</f>
        <v>46012.932000000001</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43913.531999999999</v>
      </c>
    </row>
    <row r="13" spans="1:11" s="34" customFormat="1" ht="15" customHeight="1" x14ac:dyDescent="0.25">
      <c r="A13" s="185"/>
      <c r="B13" s="10" t="s">
        <v>23</v>
      </c>
      <c r="C13" s="11" t="s">
        <v>19</v>
      </c>
      <c r="D13" s="127">
        <f t="shared" ca="1" si="0"/>
        <v>0.16200000000000001</v>
      </c>
      <c r="E13" s="128">
        <f t="shared" ca="1" si="1"/>
        <v>0.16200000000000001</v>
      </c>
      <c r="F13" s="129"/>
      <c r="G13" s="128">
        <f t="shared" ca="1" si="2"/>
        <v>0</v>
      </c>
      <c r="H13" s="128">
        <f t="shared" ca="1" si="3"/>
        <v>0</v>
      </c>
      <c r="I13" s="129"/>
      <c r="J13" s="128">
        <f t="shared" ca="1" si="4"/>
        <v>0</v>
      </c>
      <c r="K13" s="130">
        <f t="shared" ca="1" si="5"/>
        <v>42998.436000000002</v>
      </c>
    </row>
    <row r="14" spans="1:11" ht="24" customHeight="1" x14ac:dyDescent="0.25">
      <c r="A14" s="186" t="s">
        <v>43</v>
      </c>
      <c r="B14" s="187"/>
      <c r="C14" s="109" t="s">
        <v>16</v>
      </c>
      <c r="D14" s="123">
        <f t="shared" ca="1" si="0"/>
        <v>555.64499999999998</v>
      </c>
      <c r="E14" s="124">
        <f t="shared" ca="1" si="1"/>
        <v>345.00900000000001</v>
      </c>
      <c r="F14" s="125"/>
      <c r="G14" s="124">
        <f t="shared" ca="1" si="2"/>
        <v>210.636</v>
      </c>
      <c r="H14" s="124">
        <f t="shared" ca="1" si="3"/>
        <v>0</v>
      </c>
      <c r="I14" s="125"/>
      <c r="J14" s="124">
        <f t="shared" ca="1" si="4"/>
        <v>0</v>
      </c>
      <c r="K14" s="125"/>
    </row>
    <row r="15" spans="1:11" s="34" customFormat="1" ht="15" customHeight="1" x14ac:dyDescent="0.25">
      <c r="A15" s="185" t="s">
        <v>18</v>
      </c>
      <c r="B15" s="10" t="s">
        <v>26</v>
      </c>
      <c r="C15" s="11" t="s">
        <v>16</v>
      </c>
      <c r="D15" s="127">
        <f t="shared" ca="1" si="0"/>
        <v>210.636</v>
      </c>
      <c r="E15" s="128">
        <f t="shared" ca="1" si="1"/>
        <v>0</v>
      </c>
      <c r="F15" s="129"/>
      <c r="G15" s="128">
        <f t="shared" ca="1" si="2"/>
        <v>210.636</v>
      </c>
      <c r="H15" s="128">
        <f t="shared" ca="1" si="3"/>
        <v>0</v>
      </c>
      <c r="I15" s="129"/>
      <c r="J15" s="128">
        <f t="shared" ca="1" si="4"/>
        <v>0</v>
      </c>
      <c r="K15" s="129"/>
    </row>
    <row r="16" spans="1:11" s="34" customFormat="1" ht="15" customHeight="1" x14ac:dyDescent="0.25">
      <c r="A16" s="185"/>
      <c r="B16" s="10" t="s">
        <v>27</v>
      </c>
      <c r="C16" s="11" t="s">
        <v>16</v>
      </c>
      <c r="D16" s="127">
        <f t="shared" ca="1" si="0"/>
        <v>56.015999999999998</v>
      </c>
      <c r="E16" s="128">
        <f t="shared" ca="1" si="1"/>
        <v>56.015999999999998</v>
      </c>
      <c r="F16" s="129"/>
      <c r="G16" s="128">
        <f t="shared" ca="1" si="2"/>
        <v>0</v>
      </c>
      <c r="H16" s="128">
        <f t="shared" ca="1" si="3"/>
        <v>0</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288.99299999999999</v>
      </c>
      <c r="E18" s="128">
        <f ca="1">INDIRECT(ADDRESS(ROW(K18),$C$3 -2010 + 4,,,"1a_SpaceHeating"))</f>
        <v>288.99299999999999</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Normal="100" workbookViewId="0">
      <pane xSplit="3" topLeftCell="D1" activePane="topRight" state="frozen"/>
      <selection activeCell="C38" sqref="C38"/>
      <selection pane="topRight" activeCell="D6" sqref="D6"/>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Malta</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2720.2176000000004</v>
      </c>
      <c r="E6" s="121">
        <f ca="1">Table1_Totals!E6*3.6</f>
        <v>296.74079999999998</v>
      </c>
      <c r="F6" s="121">
        <f ca="1">Table1_Totals!F6*3.6</f>
        <v>478.29600000000005</v>
      </c>
      <c r="G6" s="121">
        <f ca="1">Table1_Totals!G6*3.6</f>
        <v>776.65319999999997</v>
      </c>
      <c r="H6" s="121">
        <f ca="1">Table1_Totals!H6*3.6</f>
        <v>95.94</v>
      </c>
      <c r="I6" s="121">
        <f ca="1">Table1_Totals!I6*3.6</f>
        <v>999.1404</v>
      </c>
      <c r="J6" s="121">
        <f ca="1">Table1_Totals!J6*3.6</f>
        <v>73.447200000000009</v>
      </c>
      <c r="K6" s="122"/>
    </row>
    <row r="7" spans="1:11" ht="24" customHeight="1" x14ac:dyDescent="0.25">
      <c r="A7" s="186" t="s">
        <v>15</v>
      </c>
      <c r="B7" s="187"/>
      <c r="C7" s="109" t="s">
        <v>16</v>
      </c>
      <c r="D7" s="123">
        <f t="shared" ref="D7:D18" ca="1" si="0">SUM(E7:J7)</f>
        <v>0</v>
      </c>
      <c r="E7" s="124">
        <f ca="1">Table1_Totals!E7</f>
        <v>0</v>
      </c>
      <c r="F7" s="125"/>
      <c r="G7" s="124">
        <f ca="1">Table1_Totals!G7</f>
        <v>0</v>
      </c>
      <c r="H7" s="124">
        <f ca="1">Table1_Totals!H7</f>
        <v>0</v>
      </c>
      <c r="I7" s="125"/>
      <c r="J7" s="124">
        <f ca="1">Table1_Totals!J7</f>
        <v>0</v>
      </c>
      <c r="K7" s="125"/>
    </row>
    <row r="8" spans="1:11" ht="24" customHeight="1" x14ac:dyDescent="0.25">
      <c r="A8" s="186" t="s">
        <v>29</v>
      </c>
      <c r="B8" s="187"/>
      <c r="C8" s="109" t="s">
        <v>16</v>
      </c>
      <c r="D8" s="123">
        <f t="shared" ca="1" si="0"/>
        <v>0</v>
      </c>
      <c r="E8" s="124">
        <f ca="1">Table1_Totals!E8*0.9</f>
        <v>0</v>
      </c>
      <c r="F8" s="125"/>
      <c r="G8" s="124">
        <f ca="1">Table1_Totals!G8*0.9</f>
        <v>0</v>
      </c>
      <c r="H8" s="124">
        <f ca="1">Table1_Totals!H8*0.9</f>
        <v>0</v>
      </c>
      <c r="I8" s="125"/>
      <c r="J8" s="124">
        <f ca="1">Table1_Totals!J8*0.9</f>
        <v>0</v>
      </c>
      <c r="K8" s="125"/>
    </row>
    <row r="9" spans="1:11" ht="24" customHeight="1" x14ac:dyDescent="0.25">
      <c r="A9" s="186" t="s">
        <v>156</v>
      </c>
      <c r="B9" s="187"/>
      <c r="C9" s="109" t="s">
        <v>16</v>
      </c>
      <c r="D9" s="123">
        <f t="shared" ca="1" si="0"/>
        <v>0</v>
      </c>
      <c r="E9" s="124" t="str">
        <f ca="1">IF(Table1_Totals!E9&lt;&gt;0,IF(Table1_Totals!$K9&lt;&gt;0,Table1_Totals!E9*Table1_Totals!$K9/1000,"Please check CV"),"0,000")</f>
        <v>0,000</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0</v>
      </c>
    </row>
    <row r="10" spans="1:11" ht="24" customHeight="1" x14ac:dyDescent="0.25">
      <c r="A10" s="186" t="s">
        <v>42</v>
      </c>
      <c r="B10" s="187"/>
      <c r="C10" s="109" t="s">
        <v>16</v>
      </c>
      <c r="D10" s="123">
        <f t="shared" ca="1" si="0"/>
        <v>616.72305200000005</v>
      </c>
      <c r="E10" s="124">
        <f ca="1">IF(Table1_Totals!E10&lt;&gt;0,IF(Table1_Totals!$K10&lt;&gt;0,Table1_Totals!E10*Table1_Totals!$K10/1000,"Please check CV"),"0,000")</f>
        <v>150.86874</v>
      </c>
      <c r="F10" s="125"/>
      <c r="G10" s="124" t="str">
        <f ca="1">IF(Table1_Totals!G10&lt;&gt;0,IF(Table1_Totals!$K10&lt;&gt;0,Table1_Totals!G10*Table1_Totals!$K10/1000,"Please check CV"),"0,000")</f>
        <v>0,000</v>
      </c>
      <c r="H10" s="124">
        <f ca="1">IF(Table1_Totals!H10&lt;&gt;0,IF(Table1_Totals!$K10&lt;&gt;0,Table1_Totals!H10*Table1_Totals!$K10/1000,"Please check CV"),"0,000")</f>
        <v>465.85431199999999</v>
      </c>
      <c r="I10" s="125"/>
      <c r="J10" s="124" t="str">
        <f ca="1">IF(Table1_Totals!J10&lt;&gt;0,IF(Table1_Totals!$K10&lt;&gt;0,Table1_Totals!J10*Table1_Totals!$K10/1000,"Please check CV"),"0,000")</f>
        <v>0,000</v>
      </c>
      <c r="K10" s="126">
        <f ca="1">Table1_Totals!K10</f>
        <v>44308</v>
      </c>
    </row>
    <row r="11" spans="1:11" s="34" customFormat="1" ht="15" customHeight="1" x14ac:dyDescent="0.25">
      <c r="A11" s="185" t="s">
        <v>18</v>
      </c>
      <c r="B11" s="10" t="s">
        <v>21</v>
      </c>
      <c r="C11" s="11" t="s">
        <v>16</v>
      </c>
      <c r="D11" s="127">
        <f t="shared" ca="1" si="0"/>
        <v>632.99990552399993</v>
      </c>
      <c r="E11" s="128">
        <f ca="1">IF(Table1_Totals!E11&lt;&gt;0,IF(Table1_Totals!$K11&lt;&gt;0,Table1_Totals!E11*Table1_Totals!$K11/1000,"Please check CV"),"0,000")</f>
        <v>149.21993847600001</v>
      </c>
      <c r="F11" s="129"/>
      <c r="G11" s="128" t="str">
        <f ca="1">IF(Table1_Totals!G11&lt;&gt;0,IF(Table1_Totals!$K11&lt;&gt;0,Table1_Totals!G11*Table1_Totals!$K11/1000,"Please check CV"),"0,000")</f>
        <v>0,000</v>
      </c>
      <c r="H11" s="128">
        <f ca="1">IF(Table1_Totals!H11&lt;&gt;0,IF(Table1_Totals!$K11&lt;&gt;0,Table1_Totals!H11*Table1_Totals!$K11/1000,"Please check CV"),"0,000")</f>
        <v>483.77996704799995</v>
      </c>
      <c r="I11" s="129"/>
      <c r="J11" s="128" t="str">
        <f ca="1">IF(Table1_Totals!J11&lt;&gt;0,IF(Table1_Totals!$K11&lt;&gt;0,Table1_Totals!J11*Table1_Totals!$K11/1000,"Please check CV"),"0,000")</f>
        <v>0,000</v>
      </c>
      <c r="K11" s="130">
        <f ca="1">Table1_Totals!K11</f>
        <v>46012.932000000001</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43913.531999999999</v>
      </c>
    </row>
    <row r="13" spans="1:11" s="34" customFormat="1" ht="15" customHeight="1" x14ac:dyDescent="0.25">
      <c r="A13" s="185"/>
      <c r="B13" s="10" t="s">
        <v>23</v>
      </c>
      <c r="C13" s="11" t="s">
        <v>16</v>
      </c>
      <c r="D13" s="127">
        <f t="shared" ca="1" si="0"/>
        <v>6.9657466320000001</v>
      </c>
      <c r="E13" s="128">
        <f ca="1">IF(Table1_Totals!E13&lt;&gt;0,IF(Table1_Totals!$K13&lt;&gt;0,Table1_Totals!E13*Table1_Totals!$K13/1000,"Please check CV"),"0,000")</f>
        <v>6.9657466320000001</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42998.436000000002</v>
      </c>
    </row>
    <row r="14" spans="1:11" ht="24" customHeight="1" x14ac:dyDescent="0.25">
      <c r="A14" s="186" t="s">
        <v>43</v>
      </c>
      <c r="B14" s="187"/>
      <c r="C14" s="109" t="s">
        <v>16</v>
      </c>
      <c r="D14" s="123">
        <f t="shared" ca="1" si="0"/>
        <v>555.64499999999998</v>
      </c>
      <c r="E14" s="124">
        <f ca="1">Table1_Totals!E14</f>
        <v>345.00900000000001</v>
      </c>
      <c r="F14" s="125"/>
      <c r="G14" s="124">
        <f ca="1">Table1_Totals!G14</f>
        <v>210.636</v>
      </c>
      <c r="H14" s="124">
        <f ca="1">Table1_Totals!H14</f>
        <v>0</v>
      </c>
      <c r="I14" s="125"/>
      <c r="J14" s="124">
        <f ca="1">Table1_Totals!J14</f>
        <v>0</v>
      </c>
      <c r="K14" s="125"/>
    </row>
    <row r="15" spans="1:11" s="34" customFormat="1" ht="15" customHeight="1" x14ac:dyDescent="0.25">
      <c r="A15" s="185" t="s">
        <v>18</v>
      </c>
      <c r="B15" s="10" t="s">
        <v>26</v>
      </c>
      <c r="C15" s="11" t="s">
        <v>16</v>
      </c>
      <c r="D15" s="127">
        <f t="shared" ca="1" si="0"/>
        <v>210.636</v>
      </c>
      <c r="E15" s="128">
        <f ca="1">Table1_Totals!E15</f>
        <v>0</v>
      </c>
      <c r="F15" s="129"/>
      <c r="G15" s="128">
        <f ca="1">Table1_Totals!G15</f>
        <v>210.636</v>
      </c>
      <c r="H15" s="128">
        <f ca="1">Table1_Totals!H15</f>
        <v>0</v>
      </c>
      <c r="I15" s="129"/>
      <c r="J15" s="128">
        <f ca="1">Table1_Totals!J15</f>
        <v>0</v>
      </c>
      <c r="K15" s="129"/>
    </row>
    <row r="16" spans="1:11" s="34" customFormat="1" ht="15" customHeight="1" x14ac:dyDescent="0.25">
      <c r="A16" s="185"/>
      <c r="B16" s="10" t="s">
        <v>27</v>
      </c>
      <c r="C16" s="11" t="s">
        <v>16</v>
      </c>
      <c r="D16" s="127">
        <f t="shared" ca="1" si="0"/>
        <v>56.015999999999998</v>
      </c>
      <c r="E16" s="128">
        <f ca="1">Table1_Totals!E16</f>
        <v>56.015999999999998</v>
      </c>
      <c r="F16" s="129"/>
      <c r="G16" s="128">
        <f ca="1">Table1_Totals!G16</f>
        <v>0</v>
      </c>
      <c r="H16" s="128">
        <f ca="1">Table1_Totals!H16</f>
        <v>0</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288.99299999999999</v>
      </c>
      <c r="E18" s="128">
        <f ca="1">Table1_Totals!E18</f>
        <v>288.99299999999999</v>
      </c>
      <c r="F18" s="129"/>
      <c r="G18" s="128">
        <f ca="1">Table1_Totals!G18</f>
        <v>0</v>
      </c>
      <c r="H18" s="128">
        <f ca="1">Table1_Totals!H18</f>
        <v>0</v>
      </c>
      <c r="I18" s="129"/>
      <c r="J18" s="128">
        <f ca="1">Table1_Totals!J18</f>
        <v>0</v>
      </c>
      <c r="K18" s="129"/>
    </row>
    <row r="19" spans="1:11" ht="24" customHeight="1" x14ac:dyDescent="0.25">
      <c r="A19" s="186" t="s">
        <v>171</v>
      </c>
      <c r="B19" s="187"/>
      <c r="C19" s="109" t="s">
        <v>16</v>
      </c>
      <c r="D19" s="123">
        <f t="shared" ref="D19" ca="1" si="2">SUM(E19:J19)</f>
        <v>3892.5856520000002</v>
      </c>
      <c r="E19" s="124">
        <f ca="1">SUM(E6:E10,E14)</f>
        <v>792.61853999999994</v>
      </c>
      <c r="F19" s="124">
        <f t="shared" ref="F19:J19" ca="1" si="3">SUM(F6:F10,F14)</f>
        <v>478.29600000000005</v>
      </c>
      <c r="G19" s="124">
        <f t="shared" ca="1" si="3"/>
        <v>987.28919999999994</v>
      </c>
      <c r="H19" s="124">
        <f t="shared" ca="1" si="3"/>
        <v>561.79431199999999</v>
      </c>
      <c r="I19" s="124">
        <f t="shared" ca="1" si="3"/>
        <v>999.1404</v>
      </c>
      <c r="J19" s="124">
        <f t="shared" ca="1" si="3"/>
        <v>73.447200000000009</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H1" activePane="topRight" state="frozen"/>
      <selection activeCell="DS1" sqref="DS1:ED1048576"/>
      <selection pane="topRight" activeCell="J19" sqref="J19"/>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53.366999999999997</v>
      </c>
      <c r="J6" s="60">
        <v>62.7</v>
      </c>
      <c r="K6" s="60">
        <v>81.167000000000002</v>
      </c>
      <c r="L6" s="60">
        <v>82.427999999999997</v>
      </c>
      <c r="M6" s="60"/>
      <c r="N6" s="60"/>
      <c r="O6" s="60"/>
      <c r="DS6" s="4" t="str">
        <f>VLOOKUP(Cover!$D$15, Country_list!$B$3:$C$44, 2, 0)</f>
        <v>MT</v>
      </c>
      <c r="DT6" s="33" t="s">
        <v>289</v>
      </c>
      <c r="DV6" s="33" t="s">
        <v>302</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v>4.9349999999999996</v>
      </c>
      <c r="J10" s="58">
        <v>3.0659999999999998</v>
      </c>
      <c r="K10" s="58">
        <v>4.5979999999999999</v>
      </c>
      <c r="L10" s="58">
        <v>3.4049999999999998</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4.4489999999999998</v>
      </c>
      <c r="J11" s="113">
        <v>2.8610000000000002</v>
      </c>
      <c r="K11" s="113">
        <v>4.3739999999999997</v>
      </c>
      <c r="L11" s="113">
        <v>3.2429999999999999</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v>0.48599999999999999</v>
      </c>
      <c r="J13" s="113">
        <v>0.20499999999999999</v>
      </c>
      <c r="K13" s="113">
        <v>0.224</v>
      </c>
      <c r="L13" s="113">
        <v>0.16200000000000001</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48.06</v>
      </c>
      <c r="J14" s="58">
        <v>45.5</v>
      </c>
      <c r="K14" s="58">
        <v>309.57299999999998</v>
      </c>
      <c r="L14" s="58">
        <v>345.00900000000001</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v>48.06</v>
      </c>
      <c r="J16" s="113">
        <v>45.5</v>
      </c>
      <c r="K16" s="113">
        <v>56.7</v>
      </c>
      <c r="L16" s="113">
        <v>56.015999999999998</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v>252.87299999999999</v>
      </c>
      <c r="L18" s="112">
        <v>288.99299999999999</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I9" sqref="I9"/>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v>102.024</v>
      </c>
      <c r="J6" s="60">
        <v>99.394000000000005</v>
      </c>
      <c r="K6" s="60">
        <v>139.239</v>
      </c>
      <c r="L6" s="60">
        <v>132.86000000000001</v>
      </c>
      <c r="M6" s="60"/>
      <c r="N6" s="60"/>
      <c r="O6" s="60"/>
      <c r="DS6" s="4" t="str">
        <f>VLOOKUP(Cover!$D$15, Country_list!$B$3:$C$44, 2, 0)</f>
        <v>MT</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I16" sqref="I1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197.05</v>
      </c>
      <c r="J6" s="60">
        <v>198.5</v>
      </c>
      <c r="K6" s="60">
        <v>208.56200000000001</v>
      </c>
      <c r="L6" s="60">
        <v>215.73699999999999</v>
      </c>
      <c r="M6" s="60"/>
      <c r="N6" s="60"/>
      <c r="O6" s="60"/>
      <c r="DS6" s="4" t="str">
        <f>VLOOKUP(Cover!$D$15, Country_list!$B$3:$C$44, 2, 0)</f>
        <v>MT</v>
      </c>
      <c r="DT6" s="33" t="s">
        <v>289</v>
      </c>
      <c r="DV6" s="33" t="s">
        <v>304</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201.20400000000001</v>
      </c>
      <c r="J14" s="58">
        <v>207</v>
      </c>
      <c r="K14" s="58">
        <v>208.87200000000001</v>
      </c>
      <c r="L14" s="58">
        <v>210.636</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v>201.20400000000001</v>
      </c>
      <c r="J15" s="113">
        <v>207</v>
      </c>
      <c r="K15" s="113">
        <v>208.87200000000001</v>
      </c>
      <c r="L15" s="113">
        <v>210.636</v>
      </c>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I11" sqref="I1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18.007000000000001</v>
      </c>
      <c r="J6" s="60">
        <v>20.7</v>
      </c>
      <c r="K6" s="60">
        <v>23.363</v>
      </c>
      <c r="L6" s="60">
        <v>26.65</v>
      </c>
      <c r="M6" s="60"/>
      <c r="N6" s="60"/>
      <c r="O6" s="60"/>
      <c r="DS6" s="4" t="str">
        <f>VLOOKUP(Cover!$D$15, Country_list!$B$3:$C$44, 2, 0)</f>
        <v>MT</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v>10.398999999999999</v>
      </c>
      <c r="J10" s="58">
        <v>10.289</v>
      </c>
      <c r="K10" s="58">
        <v>10.343</v>
      </c>
      <c r="L10" s="58">
        <v>10.513999999999999</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10.398999999999999</v>
      </c>
      <c r="J11" s="113">
        <v>10.289</v>
      </c>
      <c r="K11" s="113">
        <v>10.343</v>
      </c>
      <c r="L11" s="113">
        <v>10.513999999999999</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I9" sqref="I9"/>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267.86099999999999</v>
      </c>
      <c r="J6" s="63">
        <v>265.767</v>
      </c>
      <c r="K6" s="63">
        <v>255.87899999999999</v>
      </c>
      <c r="L6" s="63">
        <v>277.53899999999999</v>
      </c>
      <c r="M6" s="63"/>
      <c r="N6" s="63"/>
      <c r="O6" s="63"/>
      <c r="DS6" s="4" t="str">
        <f>VLOOKUP(Cover!$D$15, Country_list!$B$3:$C$44, 2, 0)</f>
        <v>MT</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H6" sqref="H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v>17.690999999999999</v>
      </c>
      <c r="J6" s="60">
        <v>17.934000000000001</v>
      </c>
      <c r="K6" s="60">
        <v>19.628</v>
      </c>
      <c r="L6" s="60">
        <v>20.402000000000001</v>
      </c>
      <c r="M6" s="60"/>
      <c r="N6" s="60"/>
      <c r="O6" s="60"/>
      <c r="DS6" s="4" t="str">
        <f>VLOOKUP(Cover!$D$15, Country_list!$B$3:$C$44, 2, 0)</f>
        <v>MT</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A11" sqref="A11"/>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
      </c>
      <c r="K42" s="99" t="str">
        <f>IF(Calorific_Values!L9&lt;&gt;0,IF(AND(5000&lt;=Calorific_Values!L9,Calorific_Values!L9&lt;=30000),"TRUE","FALSE"),"")</f>
        <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2020-01-30T14:11:37Z</dcterms:modified>
  <cp:category>Annual questionnaires</cp:category>
</cp:coreProperties>
</file>