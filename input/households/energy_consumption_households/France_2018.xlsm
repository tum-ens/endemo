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552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H17" i="5"/>
  <c r="J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16" i="5"/>
  <c r="E12" i="5"/>
  <c r="J12" i="5"/>
  <c r="I6" i="5"/>
  <c r="G9" i="5"/>
  <c r="H12" i="5"/>
  <c r="H6" i="5"/>
  <c r="G6" i="5"/>
  <c r="J15" i="5"/>
  <c r="H11" i="5"/>
  <c r="E15" i="5"/>
  <c r="J8" i="5"/>
  <c r="J18" i="5"/>
  <c r="H15" i="5"/>
  <c r="G8" i="5"/>
  <c r="E18" i="5"/>
  <c r="J10" i="5"/>
  <c r="E6" i="5"/>
  <c r="G13" i="5"/>
  <c r="H9" i="5"/>
  <c r="E9" i="5"/>
  <c r="E8" i="5"/>
  <c r="H14" i="5"/>
  <c r="G12" i="5"/>
  <c r="J14" i="5"/>
  <c r="K9" i="5"/>
  <c r="F6" i="5"/>
  <c r="J9" i="5"/>
  <c r="J7" i="5"/>
  <c r="G10" i="5"/>
  <c r="H8" i="5"/>
  <c r="E16" i="5"/>
  <c r="H10" i="5"/>
  <c r="H7" i="5"/>
  <c r="G11" i="5"/>
  <c r="E7" i="5"/>
  <c r="J6" i="5"/>
  <c r="J13" i="5"/>
  <c r="G15" i="5"/>
  <c r="J11" i="5"/>
  <c r="G18" i="5"/>
  <c r="H16" i="5"/>
  <c r="H18" i="5"/>
  <c r="E13" i="5"/>
  <c r="J16" i="5"/>
  <c r="E14" i="5"/>
  <c r="G7" i="5"/>
  <c r="H13" i="5"/>
  <c r="E11" i="5"/>
  <c r="G14"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<sst xmlns="http://schemas.openxmlformats.org/spreadsheetml/2006/main" count="952" uniqueCount="315">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</sst>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55</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D10" sqref="D10:L13"/>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FR</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v>26886.363636363636</v>
      </c>
      <c r="E9" s="94">
        <v>29763.298245614034</v>
      </c>
      <c r="F9" s="94">
        <v>29996.761904761905</v>
      </c>
      <c r="G9" s="94">
        <v>30549.66153846154</v>
      </c>
      <c r="H9" s="94">
        <v>29424.400000000001</v>
      </c>
      <c r="I9" s="94">
        <v>29286.5</v>
      </c>
      <c r="J9" s="94">
        <v>28756.545454545456</v>
      </c>
      <c r="K9" s="94">
        <v>28632.562901179997</v>
      </c>
      <c r="L9" s="94">
        <v>28157.537335509543</v>
      </c>
      <c r="M9" s="94"/>
      <c r="N9" s="94"/>
      <c r="O9" s="94"/>
      <c r="DT9" s="4" t="s">
        <v>279</v>
      </c>
      <c r="EB9" s="4" t="s">
        <v>300</v>
      </c>
      <c r="ED9" s="4" t="s">
        <v>301</v>
      </c>
    </row>
    <row r="10" spans="1:134" ht="24" customHeight="1" x14ac:dyDescent="0.2">
      <c r="A10" s="183" t="s">
        <v>20</v>
      </c>
      <c r="B10" s="184"/>
      <c r="C10" s="9" t="s">
        <v>132</v>
      </c>
      <c r="D10" s="93">
        <v>43125.854130288782</v>
      </c>
      <c r="E10" s="94">
        <v>43171.093436420466</v>
      </c>
      <c r="F10" s="94">
        <v>43135.322490272374</v>
      </c>
      <c r="G10" s="94">
        <v>43125.935837971556</v>
      </c>
      <c r="H10" s="94">
        <v>43143.880739081746</v>
      </c>
      <c r="I10" s="94">
        <v>43144.555700204575</v>
      </c>
      <c r="J10" s="94">
        <v>43180.99980146913</v>
      </c>
      <c r="K10" s="94">
        <v>43183.769964311701</v>
      </c>
      <c r="L10" s="94">
        <v>43208.352370232104</v>
      </c>
      <c r="M10" s="94"/>
      <c r="N10" s="94"/>
      <c r="O10" s="94"/>
      <c r="DT10" s="4" t="s">
        <v>280</v>
      </c>
      <c r="EB10" s="4" t="s">
        <v>300</v>
      </c>
      <c r="ED10" s="4" t="s">
        <v>301</v>
      </c>
    </row>
    <row r="11" spans="1:134" s="13" customFormat="1" ht="15" customHeight="1" x14ac:dyDescent="0.2">
      <c r="A11" s="182" t="s">
        <v>18</v>
      </c>
      <c r="B11" s="110" t="s">
        <v>21</v>
      </c>
      <c r="C11" s="111" t="s">
        <v>132</v>
      </c>
      <c r="D11" s="115">
        <v>46000</v>
      </c>
      <c r="E11" s="115">
        <v>46000</v>
      </c>
      <c r="F11" s="116">
        <v>46000</v>
      </c>
      <c r="G11" s="116">
        <v>46000</v>
      </c>
      <c r="H11" s="116">
        <v>46000</v>
      </c>
      <c r="I11" s="116">
        <v>46000</v>
      </c>
      <c r="J11" s="116">
        <v>46000</v>
      </c>
      <c r="K11" s="116">
        <v>46000</v>
      </c>
      <c r="L11" s="116">
        <v>46000</v>
      </c>
      <c r="M11" s="116"/>
      <c r="N11" s="116"/>
      <c r="O11" s="116"/>
      <c r="DT11" s="13" t="s">
        <v>281</v>
      </c>
      <c r="EB11" s="13" t="s">
        <v>300</v>
      </c>
      <c r="ED11" s="13" t="s">
        <v>301</v>
      </c>
    </row>
    <row r="12" spans="1:134" s="13" customFormat="1" ht="15" customHeight="1" x14ac:dyDescent="0.2">
      <c r="A12" s="182"/>
      <c r="B12" s="110" t="s">
        <v>22</v>
      </c>
      <c r="C12" s="111" t="s">
        <v>132</v>
      </c>
      <c r="D12" s="115">
        <v>42601</v>
      </c>
      <c r="E12" s="115">
        <v>42601</v>
      </c>
      <c r="F12" s="115">
        <v>42601</v>
      </c>
      <c r="G12" s="115">
        <v>42601</v>
      </c>
      <c r="H12" s="115">
        <v>42601</v>
      </c>
      <c r="I12" s="115">
        <v>42601</v>
      </c>
      <c r="J12" s="115">
        <v>42601</v>
      </c>
      <c r="K12" s="115">
        <v>42601</v>
      </c>
      <c r="L12" s="115">
        <v>42601</v>
      </c>
      <c r="M12" s="115"/>
      <c r="N12" s="115"/>
      <c r="O12" s="115"/>
      <c r="DT12" s="13" t="s">
        <v>282</v>
      </c>
      <c r="EB12" s="13" t="s">
        <v>300</v>
      </c>
      <c r="ED12" s="13" t="s">
        <v>301</v>
      </c>
    </row>
    <row r="13" spans="1:134" s="13" customFormat="1" ht="15" customHeight="1" x14ac:dyDescent="0.2">
      <c r="A13" s="182"/>
      <c r="B13" s="110" t="s">
        <v>23</v>
      </c>
      <c r="C13" s="111" t="s">
        <v>132</v>
      </c>
      <c r="D13" s="115">
        <v>42998</v>
      </c>
      <c r="E13" s="115">
        <v>42998</v>
      </c>
      <c r="F13" s="115">
        <v>42998</v>
      </c>
      <c r="G13" s="115">
        <v>42998</v>
      </c>
      <c r="H13" s="115">
        <v>42998</v>
      </c>
      <c r="I13" s="115">
        <v>42998</v>
      </c>
      <c r="J13" s="115">
        <v>42998</v>
      </c>
      <c r="K13" s="115">
        <v>42998</v>
      </c>
      <c r="L13" s="115">
        <v>42998</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A2" sqref="A2:B2"/>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France</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158330.12800000003</v>
      </c>
      <c r="E6" s="121">
        <f ca="1">INDIRECT(ADDRESS(ROW(K6),$C$3 -2010 + 4,,,"1a_SpaceHeating"))</f>
        <v>37433.530682191275</v>
      </c>
      <c r="F6" s="121">
        <f ca="1">INDIRECT(ADDRESS(ROW(K6),$C$3-2010+4,,,"1b_SpaceCooling"))</f>
        <v>1086.0697052624669</v>
      </c>
      <c r="G6" s="121">
        <f ca="1">INDIRECT(ADDRESS(ROW(K6),$C$3-2010+4,,,"1c_WaterHeating"))</f>
        <v>25731.441860600695</v>
      </c>
      <c r="H6" s="121">
        <f ca="1">INDIRECT(ADDRESS(ROW(K6),$C$3-2010+4,,,"1d_Cooking"))</f>
        <v>12440.077372330017</v>
      </c>
      <c r="I6" s="121">
        <f ca="1">INDIRECT(ADDRESS(ROW(K6),$C$3-2010+4,,,"1e_LightingAndAppliances"))</f>
        <v>81639.008379615552</v>
      </c>
      <c r="J6" s="121">
        <f ca="1">INDIRECT(ADDRESS(ROW(K6),$C$3-2010+4,,,"1f_OtherEndUses"))</f>
        <v>0</v>
      </c>
      <c r="K6" s="122"/>
    </row>
    <row r="7" spans="1:11" ht="24" customHeight="1" x14ac:dyDescent="0.25">
      <c r="A7" s="186" t="s">
        <v>15</v>
      </c>
      <c r="B7" s="187"/>
      <c r="C7" s="109" t="s">
        <v>16</v>
      </c>
      <c r="D7" s="123">
        <f t="shared" ref="D7:D16" ca="1" si="0">SUM(E7:J7)</f>
        <v>54104.385000000002</v>
      </c>
      <c r="E7" s="124">
        <f t="shared" ref="E7:E16" ca="1" si="1">INDIRECT(ADDRESS(ROW(K7),$C$3 -2010 + 4,,,"1a_SpaceHeating"))</f>
        <v>42006.863470920958</v>
      </c>
      <c r="F7" s="125"/>
      <c r="G7" s="124">
        <f t="shared" ref="G7:G16" ca="1" si="2">INDIRECT(ADDRESS(ROW(K7),$C$3-2010+4,,,"1c_WaterHeating"))</f>
        <v>12097.521529079042</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496423.06800000003</v>
      </c>
      <c r="E8" s="124">
        <f t="shared" ca="1" si="1"/>
        <v>410134.49150878924</v>
      </c>
      <c r="F8" s="125"/>
      <c r="G8" s="124">
        <f t="shared" ca="1" si="2"/>
        <v>55782.404764560473</v>
      </c>
      <c r="H8" s="124">
        <f t="shared" ca="1" si="3"/>
        <v>30506.171726650326</v>
      </c>
      <c r="I8" s="125"/>
      <c r="J8" s="124">
        <f t="shared" ca="1" si="4"/>
        <v>0</v>
      </c>
      <c r="K8" s="125"/>
    </row>
    <row r="9" spans="1:11" ht="24" customHeight="1" x14ac:dyDescent="0.25">
      <c r="A9" s="186" t="s">
        <v>156</v>
      </c>
      <c r="B9" s="187"/>
      <c r="C9" s="109" t="s">
        <v>19</v>
      </c>
      <c r="D9" s="123">
        <f t="shared" ca="1" si="0"/>
        <v>39.227000000000011</v>
      </c>
      <c r="E9" s="124">
        <f t="shared" ca="1" si="1"/>
        <v>36.464014732507394</v>
      </c>
      <c r="F9" s="125"/>
      <c r="G9" s="124">
        <f t="shared" ca="1" si="2"/>
        <v>2.7629852674926161</v>
      </c>
      <c r="H9" s="124">
        <f t="shared" ca="1" si="3"/>
        <v>0</v>
      </c>
      <c r="I9" s="125"/>
      <c r="J9" s="124">
        <f t="shared" ca="1" si="4"/>
        <v>0</v>
      </c>
      <c r="K9" s="126">
        <f ca="1">INDIRECT(ADDRESS(ROW(K9),$C$3-2010+4,,,"Calorific_Values"))</f>
        <v>28157.537335509543</v>
      </c>
    </row>
    <row r="10" spans="1:11" ht="24" customHeight="1" x14ac:dyDescent="0.25">
      <c r="A10" s="186" t="s">
        <v>42</v>
      </c>
      <c r="B10" s="187"/>
      <c r="C10" s="109" t="s">
        <v>19</v>
      </c>
      <c r="D10" s="123">
        <f t="shared" ca="1" si="0"/>
        <v>4569.0039999999999</v>
      </c>
      <c r="E10" s="124">
        <f t="shared" ca="1" si="1"/>
        <v>3617.1829746098929</v>
      </c>
      <c r="F10" s="125"/>
      <c r="G10" s="124">
        <f t="shared" ca="1" si="2"/>
        <v>529.47431464160877</v>
      </c>
      <c r="H10" s="124">
        <f t="shared" ca="1" si="3"/>
        <v>422.34671074849888</v>
      </c>
      <c r="I10" s="125"/>
      <c r="J10" s="124">
        <f t="shared" ca="1" si="4"/>
        <v>0</v>
      </c>
      <c r="K10" s="126">
        <f ca="1">INDIRECT(ADDRESS(ROW(K10),$C$3-2010+4,,,"Calorific_Values"))</f>
        <v>43208.352370232104</v>
      </c>
    </row>
    <row r="11" spans="1:11" s="34" customFormat="1" ht="15" customHeight="1" x14ac:dyDescent="0.25">
      <c r="A11" s="185" t="s">
        <v>18</v>
      </c>
      <c r="B11" s="10" t="s">
        <v>21</v>
      </c>
      <c r="C11" s="11" t="s">
        <v>19</v>
      </c>
      <c r="D11" s="127">
        <f t="shared" ca="1" si="0"/>
        <v>797.66</v>
      </c>
      <c r="E11" s="128">
        <f t="shared" ca="1" si="1"/>
        <v>303.94960500912504</v>
      </c>
      <c r="F11" s="129"/>
      <c r="G11" s="128">
        <f t="shared" ca="1" si="2"/>
        <v>71.363684242376038</v>
      </c>
      <c r="H11" s="128">
        <f t="shared" ca="1" si="3"/>
        <v>422.34671074849888</v>
      </c>
      <c r="I11" s="129"/>
      <c r="J11" s="128">
        <f t="shared" ca="1" si="4"/>
        <v>0</v>
      </c>
      <c r="K11" s="130">
        <f t="shared" ref="K11:K13" ca="1" si="5">INDIRECT(ADDRESS(ROW(K11),$C$3-2010+4,,,"Calorific_Values"))</f>
        <v>46000</v>
      </c>
    </row>
    <row r="12" spans="1:11" s="34" customFormat="1" ht="15" customHeight="1" x14ac:dyDescent="0.25">
      <c r="A12" s="185"/>
      <c r="B12" s="10" t="s">
        <v>22</v>
      </c>
      <c r="C12" s="11" t="s">
        <v>19</v>
      </c>
      <c r="D12" s="127">
        <f t="shared" ca="1" si="0"/>
        <v>160.577</v>
      </c>
      <c r="E12" s="128">
        <f t="shared" ca="1" si="1"/>
        <v>160.577</v>
      </c>
      <c r="F12" s="129"/>
      <c r="G12" s="128">
        <f t="shared" ca="1" si="2"/>
        <v>0</v>
      </c>
      <c r="H12" s="128">
        <f t="shared" ca="1" si="3"/>
        <v>0</v>
      </c>
      <c r="I12" s="129"/>
      <c r="J12" s="128">
        <f t="shared" ca="1" si="4"/>
        <v>0</v>
      </c>
      <c r="K12" s="130">
        <f t="shared" ca="1" si="5"/>
        <v>42601</v>
      </c>
    </row>
    <row r="13" spans="1:11" s="34" customFormat="1" ht="15" customHeight="1" x14ac:dyDescent="0.25">
      <c r="A13" s="185"/>
      <c r="B13" s="10" t="s">
        <v>23</v>
      </c>
      <c r="C13" s="11" t="s">
        <v>19</v>
      </c>
      <c r="D13" s="127">
        <f t="shared" ca="1" si="0"/>
        <v>3610.7670000000007</v>
      </c>
      <c r="E13" s="128">
        <f t="shared" ca="1" si="1"/>
        <v>3152.6563696007679</v>
      </c>
      <c r="F13" s="129"/>
      <c r="G13" s="128">
        <f t="shared" ca="1" si="2"/>
        <v>458.11063039923272</v>
      </c>
      <c r="H13" s="128">
        <f t="shared" ca="1" si="3"/>
        <v>0</v>
      </c>
      <c r="I13" s="129"/>
      <c r="J13" s="128">
        <f t="shared" ca="1" si="4"/>
        <v>0</v>
      </c>
      <c r="K13" s="130">
        <f t="shared" ca="1" si="5"/>
        <v>42998</v>
      </c>
    </row>
    <row r="14" spans="1:11" ht="24" customHeight="1" x14ac:dyDescent="0.25">
      <c r="A14" s="186" t="s">
        <v>43</v>
      </c>
      <c r="B14" s="187"/>
      <c r="C14" s="109" t="s">
        <v>16</v>
      </c>
      <c r="D14" s="123">
        <f t="shared" ca="1" si="0"/>
        <v>365855.09100000001</v>
      </c>
      <c r="E14" s="124">
        <f t="shared" ca="1" si="1"/>
        <v>358328.87641539623</v>
      </c>
      <c r="F14" s="125"/>
      <c r="G14" s="124">
        <f t="shared" ca="1" si="2"/>
        <v>7526.214584603802</v>
      </c>
      <c r="H14" s="124">
        <f t="shared" ca="1" si="3"/>
        <v>0</v>
      </c>
      <c r="I14" s="125"/>
      <c r="J14" s="124">
        <f t="shared" ca="1" si="4"/>
        <v>0</v>
      </c>
      <c r="K14" s="125"/>
    </row>
    <row r="15" spans="1:11" s="34" customFormat="1" ht="15" customHeight="1" x14ac:dyDescent="0.25">
      <c r="A15" s="185" t="s">
        <v>18</v>
      </c>
      <c r="B15" s="10" t="s">
        <v>26</v>
      </c>
      <c r="C15" s="11" t="s">
        <v>16</v>
      </c>
      <c r="D15" s="127">
        <f t="shared" ca="1" si="0"/>
        <v>6919.826</v>
      </c>
      <c r="E15" s="128">
        <f t="shared" ca="1" si="1"/>
        <v>586.92354248359879</v>
      </c>
      <c r="F15" s="129"/>
      <c r="G15" s="128">
        <f t="shared" ca="1" si="2"/>
        <v>6332.9024575164012</v>
      </c>
      <c r="H15" s="128">
        <f t="shared" ca="1" si="3"/>
        <v>0</v>
      </c>
      <c r="I15" s="129"/>
      <c r="J15" s="128">
        <f t="shared" ca="1" si="4"/>
        <v>0</v>
      </c>
      <c r="K15" s="129"/>
    </row>
    <row r="16" spans="1:11" s="34" customFormat="1" ht="15" customHeight="1" x14ac:dyDescent="0.25">
      <c r="A16" s="185"/>
      <c r="B16" s="10" t="s">
        <v>27</v>
      </c>
      <c r="C16" s="11" t="s">
        <v>16</v>
      </c>
      <c r="D16" s="127">
        <f t="shared" ca="1" si="0"/>
        <v>267348.51</v>
      </c>
      <c r="E16" s="128">
        <f t="shared" ca="1" si="1"/>
        <v>266155.19787291263</v>
      </c>
      <c r="F16" s="129"/>
      <c r="G16" s="128">
        <f t="shared" ca="1" si="2"/>
        <v>1193.3121270874008</v>
      </c>
      <c r="H16" s="128">
        <f t="shared" ca="1" si="3"/>
        <v>0</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91586.755000000005</v>
      </c>
      <c r="E18" s="128">
        <f ca="1">INDIRECT(ADDRESS(ROW(K18),$C$3 -2010 + 4,,,"1a_SpaceHeating"))</f>
        <v>91586.755000000005</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9" sqref="E9"/>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France</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569988.4608</v>
      </c>
      <c r="E6" s="121">
        <f ca="1">Table1_Totals!E6*3.6</f>
        <v>134760.71045588859</v>
      </c>
      <c r="F6" s="121">
        <f ca="1">Table1_Totals!F6*3.6</f>
        <v>3909.8509389448809</v>
      </c>
      <c r="G6" s="121">
        <f ca="1">Table1_Totals!G6*3.6</f>
        <v>92633.190698162507</v>
      </c>
      <c r="H6" s="121">
        <f ca="1">Table1_Totals!H6*3.6</f>
        <v>44784.278540388063</v>
      </c>
      <c r="I6" s="121">
        <f ca="1">Table1_Totals!I6*3.6</f>
        <v>293900.43016661599</v>
      </c>
      <c r="J6" s="121">
        <f ca="1">Table1_Totals!J6*3.6</f>
        <v>0</v>
      </c>
      <c r="K6" s="122"/>
    </row>
    <row r="7" spans="1:11" ht="24" customHeight="1" x14ac:dyDescent="0.25">
      <c r="A7" s="186" t="s">
        <v>15</v>
      </c>
      <c r="B7" s="187"/>
      <c r="C7" s="109" t="s">
        <v>16</v>
      </c>
      <c r="D7" s="123">
        <f t="shared" ref="D7:D18" ca="1" si="0">SUM(E7:J7)</f>
        <v>54104.385000000002</v>
      </c>
      <c r="E7" s="124">
        <f ca="1">Table1_Totals!E7</f>
        <v>42006.863470920958</v>
      </c>
      <c r="F7" s="125"/>
      <c r="G7" s="124">
        <f ca="1">Table1_Totals!G7</f>
        <v>12097.521529079042</v>
      </c>
      <c r="H7" s="124">
        <f ca="1">Table1_Totals!H7</f>
        <v>0</v>
      </c>
      <c r="I7" s="125"/>
      <c r="J7" s="124">
        <f ca="1">Table1_Totals!J7</f>
        <v>0</v>
      </c>
      <c r="K7" s="125"/>
    </row>
    <row r="8" spans="1:11" ht="24" customHeight="1" x14ac:dyDescent="0.25">
      <c r="A8" s="186" t="s">
        <v>29</v>
      </c>
      <c r="B8" s="187"/>
      <c r="C8" s="109" t="s">
        <v>16</v>
      </c>
      <c r="D8" s="123">
        <f t="shared" ca="1" si="0"/>
        <v>446780.76120000001</v>
      </c>
      <c r="E8" s="124">
        <f ca="1">Table1_Totals!E8*0.9</f>
        <v>369121.04235791031</v>
      </c>
      <c r="F8" s="125"/>
      <c r="G8" s="124">
        <f ca="1">Table1_Totals!G8*0.9</f>
        <v>50204.164288104424</v>
      </c>
      <c r="H8" s="124">
        <f ca="1">Table1_Totals!H8*0.9</f>
        <v>27455.554553985294</v>
      </c>
      <c r="I8" s="125"/>
      <c r="J8" s="124">
        <f ca="1">Table1_Totals!J8*0.9</f>
        <v>0</v>
      </c>
      <c r="K8" s="125"/>
    </row>
    <row r="9" spans="1:11" ht="24" customHeight="1" x14ac:dyDescent="0.25">
      <c r="A9" s="186" t="s">
        <v>156</v>
      </c>
      <c r="B9" s="187"/>
      <c r="C9" s="109" t="s">
        <v>16</v>
      </c>
      <c r="D9" s="123">
        <f t="shared" ca="1" si="0"/>
        <v>1104.535717060033</v>
      </c>
      <c r="E9" s="124">
        <f ca="1">IF(Table1_Totals!E9&lt;&gt;0,IF(Table1_Totals!$K9&lt;&gt;0,Table1_Totals!E9*Table1_Totals!$K9/1000,"Please check CV"),"0,000")</f>
        <v>1026.7368562331469</v>
      </c>
      <c r="F9" s="125"/>
      <c r="G9" s="124">
        <f ca="1">IF(Table1_Totals!G9&lt;&gt;0,IF(Table1_Totals!$K9&lt;&gt;0,Table1_Totals!G9*Table1_Totals!$K$9/1000,"Please check CV"),"0,000")</f>
        <v>77.798860826886155</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28157.537335509543</v>
      </c>
    </row>
    <row r="10" spans="1:11" ht="24" customHeight="1" x14ac:dyDescent="0.25">
      <c r="A10" s="186" t="s">
        <v>42</v>
      </c>
      <c r="B10" s="187"/>
      <c r="C10" s="109" t="s">
        <v>16</v>
      </c>
      <c r="D10" s="123">
        <f t="shared" ca="1" si="0"/>
        <v>197419.13481299995</v>
      </c>
      <c r="E10" s="124">
        <f ca="1">IF(Table1_Totals!E10&lt;&gt;0,IF(Table1_Totals!$K10&lt;&gt;0,Table1_Totals!E10*Table1_Totals!$K10/1000,"Please check CV"),"0,000")</f>
        <v>156292.51655454855</v>
      </c>
      <c r="F10" s="125"/>
      <c r="G10" s="124">
        <f ca="1">IF(Table1_Totals!G10&lt;&gt;0,IF(Table1_Totals!$K10&lt;&gt;0,Table1_Totals!G10*Table1_Totals!$K10/1000,"Please check CV"),"0,000")</f>
        <v>22877.712758021775</v>
      </c>
      <c r="H10" s="124">
        <f ca="1">IF(Table1_Totals!H10&lt;&gt;0,IF(Table1_Totals!$K10&lt;&gt;0,Table1_Totals!H10*Table1_Totals!$K10/1000,"Please check CV"),"0,000")</f>
        <v>18248.905500429635</v>
      </c>
      <c r="I10" s="125"/>
      <c r="J10" s="124" t="str">
        <f ca="1">IF(Table1_Totals!J10&lt;&gt;0,IF(Table1_Totals!$K10&lt;&gt;0,Table1_Totals!J10*Table1_Totals!$K10/1000,"Please check CV"),"0,000")</f>
        <v>0,000</v>
      </c>
      <c r="K10" s="126">
        <f ca="1">Table1_Totals!K10</f>
        <v>43208.352370232104</v>
      </c>
    </row>
    <row r="11" spans="1:11" s="34" customFormat="1" ht="15" customHeight="1" x14ac:dyDescent="0.25">
      <c r="A11" s="185" t="s">
        <v>18</v>
      </c>
      <c r="B11" s="10" t="s">
        <v>21</v>
      </c>
      <c r="C11" s="11" t="s">
        <v>16</v>
      </c>
      <c r="D11" s="127">
        <f t="shared" ca="1" si="0"/>
        <v>36692.36</v>
      </c>
      <c r="E11" s="128">
        <f ca="1">IF(Table1_Totals!E11&lt;&gt;0,IF(Table1_Totals!$K11&lt;&gt;0,Table1_Totals!E11*Table1_Totals!$K11/1000,"Please check CV"),"0,000")</f>
        <v>13981.681830419751</v>
      </c>
      <c r="F11" s="129"/>
      <c r="G11" s="128">
        <f ca="1">IF(Table1_Totals!G11&lt;&gt;0,IF(Table1_Totals!$K11&lt;&gt;0,Table1_Totals!G11*Table1_Totals!$K11/1000,"Please check CV"),"0,000")</f>
        <v>3282.7294751492977</v>
      </c>
      <c r="H11" s="128">
        <f ca="1">IF(Table1_Totals!H11&lt;&gt;0,IF(Table1_Totals!$K11&lt;&gt;0,Table1_Totals!H11*Table1_Totals!$K11/1000,"Please check CV"),"0,000")</f>
        <v>19427.948694430946</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5"/>
      <c r="B12" s="10" t="s">
        <v>22</v>
      </c>
      <c r="C12" s="11" t="s">
        <v>16</v>
      </c>
      <c r="D12" s="127">
        <f t="shared" ca="1" si="0"/>
        <v>6840.740777</v>
      </c>
      <c r="E12" s="128">
        <f ca="1">IF(Table1_Totals!E12&lt;&gt;0,IF(Table1_Totals!$K12&lt;&gt;0,Table1_Totals!E12*Table1_Totals!$K12/1000,"Please check CV"),"0,000")</f>
        <v>6840.740777</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42601</v>
      </c>
    </row>
    <row r="13" spans="1:11" s="34" customFormat="1" ht="15" customHeight="1" x14ac:dyDescent="0.25">
      <c r="A13" s="185"/>
      <c r="B13" s="10" t="s">
        <v>23</v>
      </c>
      <c r="C13" s="11" t="s">
        <v>16</v>
      </c>
      <c r="D13" s="127">
        <f t="shared" ca="1" si="0"/>
        <v>155255.75946600005</v>
      </c>
      <c r="E13" s="128">
        <f ca="1">IF(Table1_Totals!E13&lt;&gt;0,IF(Table1_Totals!$K13&lt;&gt;0,Table1_Totals!E13*Table1_Totals!$K13/1000,"Please check CV"),"0,000")</f>
        <v>135557.91858009383</v>
      </c>
      <c r="F13" s="129"/>
      <c r="G13" s="128">
        <f ca="1">IF(Table1_Totals!G13&lt;&gt;0,IF(Table1_Totals!$K13&lt;&gt;0,Table1_Totals!G13*Table1_Totals!$K13/1000,"Please check CV"),"0,000")</f>
        <v>19697.840885906207</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42998</v>
      </c>
    </row>
    <row r="14" spans="1:11" ht="24" customHeight="1" x14ac:dyDescent="0.25">
      <c r="A14" s="186" t="s">
        <v>43</v>
      </c>
      <c r="B14" s="187"/>
      <c r="C14" s="109" t="s">
        <v>16</v>
      </c>
      <c r="D14" s="123">
        <f t="shared" ca="1" si="0"/>
        <v>365855.09100000001</v>
      </c>
      <c r="E14" s="124">
        <f ca="1">Table1_Totals!E14</f>
        <v>358328.87641539623</v>
      </c>
      <c r="F14" s="125"/>
      <c r="G14" s="124">
        <f ca="1">Table1_Totals!G14</f>
        <v>7526.214584603802</v>
      </c>
      <c r="H14" s="124">
        <f ca="1">Table1_Totals!H14</f>
        <v>0</v>
      </c>
      <c r="I14" s="125"/>
      <c r="J14" s="124">
        <f ca="1">Table1_Totals!J14</f>
        <v>0</v>
      </c>
      <c r="K14" s="125"/>
    </row>
    <row r="15" spans="1:11" s="34" customFormat="1" ht="15" customHeight="1" x14ac:dyDescent="0.25">
      <c r="A15" s="185" t="s">
        <v>18</v>
      </c>
      <c r="B15" s="10" t="s">
        <v>26</v>
      </c>
      <c r="C15" s="11" t="s">
        <v>16</v>
      </c>
      <c r="D15" s="127">
        <f t="shared" ca="1" si="0"/>
        <v>6919.826</v>
      </c>
      <c r="E15" s="128">
        <f ca="1">Table1_Totals!E15</f>
        <v>586.92354248359879</v>
      </c>
      <c r="F15" s="129"/>
      <c r="G15" s="128">
        <f ca="1">Table1_Totals!G15</f>
        <v>6332.9024575164012</v>
      </c>
      <c r="H15" s="128">
        <f ca="1">Table1_Totals!H15</f>
        <v>0</v>
      </c>
      <c r="I15" s="129"/>
      <c r="J15" s="128">
        <f ca="1">Table1_Totals!J15</f>
        <v>0</v>
      </c>
      <c r="K15" s="129"/>
    </row>
    <row r="16" spans="1:11" s="34" customFormat="1" ht="15" customHeight="1" x14ac:dyDescent="0.25">
      <c r="A16" s="185"/>
      <c r="B16" s="10" t="s">
        <v>27</v>
      </c>
      <c r="C16" s="11" t="s">
        <v>16</v>
      </c>
      <c r="D16" s="127">
        <f t="shared" ca="1" si="0"/>
        <v>267348.51</v>
      </c>
      <c r="E16" s="128">
        <f ca="1">Table1_Totals!E16</f>
        <v>266155.19787291263</v>
      </c>
      <c r="F16" s="129"/>
      <c r="G16" s="128">
        <f ca="1">Table1_Totals!G16</f>
        <v>1193.3121270874008</v>
      </c>
      <c r="H16" s="128">
        <f ca="1">Table1_Totals!H16</f>
        <v>0</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91586.755000000005</v>
      </c>
      <c r="E18" s="128">
        <f ca="1">Table1_Totals!E18</f>
        <v>91586.755000000005</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1635252.3685300602</v>
      </c>
      <c r="E19" s="124">
        <f ca="1">SUM(E6:E10,E14)</f>
        <v>1061536.7461108977</v>
      </c>
      <c r="F19" s="124">
        <f t="shared" ref="F19:J19" ca="1" si="3">SUM(F6:F10,F14)</f>
        <v>3909.8509389448809</v>
      </c>
      <c r="G19" s="124">
        <f t="shared" ca="1" si="3"/>
        <v>185416.60271879841</v>
      </c>
      <c r="H19" s="124">
        <f t="shared" ca="1" si="3"/>
        <v>90488.738594802999</v>
      </c>
      <c r="I19" s="124">
        <f t="shared" ca="1" si="3"/>
        <v>293900.43016661599</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D6" sqref="D6:L18"/>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48057.978734730641</v>
      </c>
      <c r="E6" s="60">
        <v>34509.248541544584</v>
      </c>
      <c r="F6" s="60">
        <v>39648.623612631432</v>
      </c>
      <c r="G6" s="60">
        <v>42333.403002581101</v>
      </c>
      <c r="H6" s="60">
        <v>31024.340516650722</v>
      </c>
      <c r="I6" s="60">
        <v>35819.441335869888</v>
      </c>
      <c r="J6" s="60">
        <v>40278.404447339744</v>
      </c>
      <c r="K6" s="60">
        <v>38304.960722064061</v>
      </c>
      <c r="L6" s="60">
        <v>37433.530682191275</v>
      </c>
      <c r="M6" s="60"/>
      <c r="N6" s="60"/>
      <c r="O6" s="60"/>
      <c r="DS6" s="4" t="str">
        <f>VLOOKUP(Cover!$D$15, Country_list!$B$3:$C$44, 2, 0)</f>
        <v>FR</v>
      </c>
      <c r="DT6" s="33" t="s">
        <v>289</v>
      </c>
      <c r="DV6" s="33" t="s">
        <v>302</v>
      </c>
      <c r="EB6" s="33" t="s">
        <v>291</v>
      </c>
      <c r="ED6" s="33" t="s">
        <v>294</v>
      </c>
    </row>
    <row r="7" spans="1:134" ht="24" customHeight="1" x14ac:dyDescent="0.25">
      <c r="A7" s="183" t="s">
        <v>15</v>
      </c>
      <c r="B7" s="200"/>
      <c r="C7" s="9" t="s">
        <v>25</v>
      </c>
      <c r="D7" s="61">
        <v>44649.175999785133</v>
      </c>
      <c r="E7" s="58">
        <v>35481.035352528961</v>
      </c>
      <c r="F7" s="58">
        <v>39206.927737812184</v>
      </c>
      <c r="G7" s="58">
        <v>42917.894888273113</v>
      </c>
      <c r="H7" s="58">
        <v>33658.771320537569</v>
      </c>
      <c r="I7" s="58">
        <v>39585.736171299359</v>
      </c>
      <c r="J7" s="58">
        <v>43077.56370871442</v>
      </c>
      <c r="K7" s="58">
        <v>41950.934011241792</v>
      </c>
      <c r="L7" s="58">
        <v>42006.863470920958</v>
      </c>
      <c r="M7" s="58"/>
      <c r="N7" s="58"/>
      <c r="O7" s="58"/>
      <c r="DT7" s="33" t="s">
        <v>290</v>
      </c>
      <c r="EB7" s="33" t="s">
        <v>291</v>
      </c>
      <c r="ED7" s="33" t="s">
        <v>295</v>
      </c>
    </row>
    <row r="8" spans="1:134" ht="24" customHeight="1" x14ac:dyDescent="0.25">
      <c r="A8" s="183" t="s">
        <v>29</v>
      </c>
      <c r="B8" s="200"/>
      <c r="C8" s="9" t="s">
        <v>17</v>
      </c>
      <c r="D8" s="61">
        <v>551653.39974427957</v>
      </c>
      <c r="E8" s="58">
        <v>443960.50578818453</v>
      </c>
      <c r="F8" s="58">
        <v>509252.16755769768</v>
      </c>
      <c r="G8" s="58">
        <v>534531.66899890907</v>
      </c>
      <c r="H8" s="58">
        <v>380336.19726393389</v>
      </c>
      <c r="I8" s="58">
        <v>416679.40135682316</v>
      </c>
      <c r="J8" s="58">
        <v>456896.32359039306</v>
      </c>
      <c r="K8" s="58">
        <v>440198.38765866164</v>
      </c>
      <c r="L8" s="58">
        <v>410134.49150878924</v>
      </c>
      <c r="M8" s="58"/>
      <c r="N8" s="58"/>
      <c r="O8" s="58"/>
      <c r="DT8" s="33" t="s">
        <v>231</v>
      </c>
      <c r="EB8" s="33" t="s">
        <v>291</v>
      </c>
      <c r="ED8" s="33" t="s">
        <v>296</v>
      </c>
    </row>
    <row r="9" spans="1:134" ht="24" customHeight="1" x14ac:dyDescent="0.25">
      <c r="A9" s="183" t="s">
        <v>156</v>
      </c>
      <c r="B9" s="200"/>
      <c r="C9" s="9" t="s">
        <v>19</v>
      </c>
      <c r="D9" s="61">
        <v>334.37104243569894</v>
      </c>
      <c r="E9" s="58">
        <v>53.249632115277265</v>
      </c>
      <c r="F9" s="58">
        <v>59.174772197402795</v>
      </c>
      <c r="G9" s="58">
        <v>61.132759395617036</v>
      </c>
      <c r="H9" s="58">
        <v>46.025541558407298</v>
      </c>
      <c r="I9" s="58">
        <v>48.121175258102056</v>
      </c>
      <c r="J9" s="58">
        <v>50.531913113372468</v>
      </c>
      <c r="K9" s="58">
        <v>47.520964355895025</v>
      </c>
      <c r="L9" s="58">
        <v>36.464014732507394</v>
      </c>
      <c r="M9" s="58"/>
      <c r="N9" s="58"/>
      <c r="O9" s="58"/>
      <c r="DT9" s="33" t="s">
        <v>279</v>
      </c>
      <c r="EB9" s="33" t="s">
        <v>292</v>
      </c>
      <c r="ED9" s="33" t="s">
        <v>293</v>
      </c>
    </row>
    <row r="10" spans="1:134" ht="24" customHeight="1" x14ac:dyDescent="0.25">
      <c r="A10" s="183" t="s">
        <v>20</v>
      </c>
      <c r="B10" s="200"/>
      <c r="C10" s="9" t="s">
        <v>19</v>
      </c>
      <c r="D10" s="61">
        <v>6388.103119712574</v>
      </c>
      <c r="E10" s="58">
        <v>5016.7227618667794</v>
      </c>
      <c r="F10" s="58">
        <v>5421.2039762496315</v>
      </c>
      <c r="G10" s="58">
        <v>5507.0346262007779</v>
      </c>
      <c r="H10" s="58">
        <v>4366.4167067605358</v>
      </c>
      <c r="I10" s="58">
        <v>4440.2126553379894</v>
      </c>
      <c r="J10" s="58">
        <v>4093.686348128741</v>
      </c>
      <c r="K10" s="58">
        <v>4026.0628166696106</v>
      </c>
      <c r="L10" s="58">
        <v>3617.1829746098929</v>
      </c>
      <c r="M10" s="58"/>
      <c r="N10" s="58"/>
      <c r="O10" s="58"/>
      <c r="DT10" s="139" t="s">
        <v>280</v>
      </c>
      <c r="EB10" s="33" t="s">
        <v>292</v>
      </c>
      <c r="ED10" s="33" t="s">
        <v>293</v>
      </c>
    </row>
    <row r="11" spans="1:134" s="34" customFormat="1" ht="15" customHeight="1" x14ac:dyDescent="0.25">
      <c r="A11" s="182" t="s">
        <v>18</v>
      </c>
      <c r="B11" s="110" t="s">
        <v>21</v>
      </c>
      <c r="C11" s="111" t="s">
        <v>19</v>
      </c>
      <c r="D11" s="112">
        <v>582.28387908831655</v>
      </c>
      <c r="E11" s="113">
        <v>411.65209407909339</v>
      </c>
      <c r="F11" s="113">
        <v>426.53466189412626</v>
      </c>
      <c r="G11" s="113">
        <v>420.66354145232555</v>
      </c>
      <c r="H11" s="113">
        <v>277.25183134729519</v>
      </c>
      <c r="I11" s="113">
        <v>295.9446669534035</v>
      </c>
      <c r="J11" s="113">
        <v>353.51908051946799</v>
      </c>
      <c r="K11" s="113">
        <v>333.66069081808922</v>
      </c>
      <c r="L11" s="113">
        <v>303.94960500912504</v>
      </c>
      <c r="M11" s="113"/>
      <c r="N11" s="113"/>
      <c r="O11" s="113"/>
      <c r="DT11" s="34" t="s">
        <v>281</v>
      </c>
      <c r="EB11" s="34" t="s">
        <v>292</v>
      </c>
      <c r="ED11" s="34" t="s">
        <v>293</v>
      </c>
    </row>
    <row r="12" spans="1:134" s="34" customFormat="1" ht="15" customHeight="1" x14ac:dyDescent="0.25">
      <c r="A12" s="182"/>
      <c r="B12" s="110" t="s">
        <v>22</v>
      </c>
      <c r="C12" s="111" t="s">
        <v>19</v>
      </c>
      <c r="D12" s="112">
        <v>234</v>
      </c>
      <c r="E12" s="113">
        <v>202</v>
      </c>
      <c r="F12" s="113">
        <v>197</v>
      </c>
      <c r="G12" s="113">
        <v>179</v>
      </c>
      <c r="H12" s="113">
        <v>135</v>
      </c>
      <c r="I12" s="113">
        <v>153</v>
      </c>
      <c r="J12" s="113">
        <v>167</v>
      </c>
      <c r="K12" s="113">
        <v>176</v>
      </c>
      <c r="L12" s="113">
        <v>160.577</v>
      </c>
      <c r="M12" s="113"/>
      <c r="N12" s="113"/>
      <c r="O12" s="113"/>
      <c r="DT12" s="34" t="s">
        <v>282</v>
      </c>
      <c r="EB12" s="34" t="s">
        <v>292</v>
      </c>
      <c r="ED12" s="34" t="s">
        <v>293</v>
      </c>
    </row>
    <row r="13" spans="1:134" s="34" customFormat="1" ht="15" customHeight="1" x14ac:dyDescent="0.25">
      <c r="A13" s="182"/>
      <c r="B13" s="110" t="s">
        <v>23</v>
      </c>
      <c r="C13" s="111" t="s">
        <v>19</v>
      </c>
      <c r="D13" s="112">
        <v>5523.8192406242579</v>
      </c>
      <c r="E13" s="113">
        <v>4403.070667787686</v>
      </c>
      <c r="F13" s="113">
        <v>4797.6693143555058</v>
      </c>
      <c r="G13" s="113">
        <v>4907.3710847484526</v>
      </c>
      <c r="H13" s="113">
        <v>3954.1648754132402</v>
      </c>
      <c r="I13" s="113">
        <v>3991.2679883845858</v>
      </c>
      <c r="J13" s="113">
        <v>3573.167267609273</v>
      </c>
      <c r="K13" s="113">
        <v>3516.4021258515213</v>
      </c>
      <c r="L13" s="113">
        <v>3152.6563696007679</v>
      </c>
      <c r="M13" s="113"/>
      <c r="N13" s="113"/>
      <c r="O13" s="113"/>
      <c r="DT13" s="34" t="s">
        <v>283</v>
      </c>
      <c r="EB13" s="34" t="s">
        <v>292</v>
      </c>
      <c r="ED13" s="34" t="s">
        <v>293</v>
      </c>
    </row>
    <row r="14" spans="1:134" ht="24" customHeight="1" x14ac:dyDescent="0.25">
      <c r="A14" s="183" t="s">
        <v>24</v>
      </c>
      <c r="B14" s="200"/>
      <c r="C14" s="9" t="s">
        <v>25</v>
      </c>
      <c r="D14" s="61">
        <v>349582.60318449343</v>
      </c>
      <c r="E14" s="58">
        <v>288909.81641377532</v>
      </c>
      <c r="F14" s="58">
        <v>339654.82689593162</v>
      </c>
      <c r="G14" s="58">
        <v>377566.80391062086</v>
      </c>
      <c r="H14" s="58">
        <v>312216.59552449489</v>
      </c>
      <c r="I14" s="58">
        <v>336996.46558001614</v>
      </c>
      <c r="J14" s="58">
        <v>368578.71925948351</v>
      </c>
      <c r="K14" s="58">
        <v>361875.95116100501</v>
      </c>
      <c r="L14" s="58">
        <v>358328.87641539623</v>
      </c>
      <c r="M14" s="58"/>
      <c r="N14" s="58"/>
      <c r="O14" s="58"/>
      <c r="DT14" s="139" t="s">
        <v>284</v>
      </c>
      <c r="EB14" s="33" t="s">
        <v>291</v>
      </c>
      <c r="ED14" s="33" t="s">
        <v>295</v>
      </c>
    </row>
    <row r="15" spans="1:134" s="34" customFormat="1" ht="15" customHeight="1" x14ac:dyDescent="0.25">
      <c r="A15" s="182" t="s">
        <v>18</v>
      </c>
      <c r="B15" s="110" t="s">
        <v>26</v>
      </c>
      <c r="C15" s="111" t="s">
        <v>25</v>
      </c>
      <c r="D15" s="112">
        <v>264.18128973479435</v>
      </c>
      <c r="E15" s="113">
        <v>472.95263666902446</v>
      </c>
      <c r="F15" s="113">
        <v>502.49970487412543</v>
      </c>
      <c r="G15" s="113">
        <v>526.40249349642318</v>
      </c>
      <c r="H15" s="113">
        <v>542.78423799065786</v>
      </c>
      <c r="I15" s="113">
        <v>554.08580608490684</v>
      </c>
      <c r="J15" s="113">
        <v>563.56106933336639</v>
      </c>
      <c r="K15" s="113">
        <v>573.03651477156018</v>
      </c>
      <c r="L15" s="113">
        <v>586.92354248359879</v>
      </c>
      <c r="M15" s="113"/>
      <c r="N15" s="113"/>
      <c r="O15" s="113"/>
      <c r="DT15" s="34" t="s">
        <v>285</v>
      </c>
      <c r="EB15" s="34" t="s">
        <v>291</v>
      </c>
      <c r="ED15" s="34" t="s">
        <v>295</v>
      </c>
    </row>
    <row r="16" spans="1:134" s="34" customFormat="1" ht="15" customHeight="1" x14ac:dyDescent="0.25">
      <c r="A16" s="182"/>
      <c r="B16" s="110" t="s">
        <v>27</v>
      </c>
      <c r="C16" s="111" t="s">
        <v>25</v>
      </c>
      <c r="D16" s="112">
        <v>300665.56789475866</v>
      </c>
      <c r="E16" s="113">
        <v>244173.51277710631</v>
      </c>
      <c r="F16" s="113">
        <v>283230.27119105752</v>
      </c>
      <c r="G16" s="113">
        <v>311144.29041712446</v>
      </c>
      <c r="H16" s="113">
        <v>252582.31528650425</v>
      </c>
      <c r="I16" s="113">
        <v>267108.02277393127</v>
      </c>
      <c r="J16" s="113">
        <v>285786.83819015016</v>
      </c>
      <c r="K16" s="113">
        <v>274753.40564623347</v>
      </c>
      <c r="L16" s="113">
        <v>266155.19787291263</v>
      </c>
      <c r="M16" s="113"/>
      <c r="N16" s="113"/>
      <c r="O16" s="113"/>
      <c r="DT16" s="34" t="s">
        <v>286</v>
      </c>
      <c r="EB16" s="34" t="s">
        <v>291</v>
      </c>
      <c r="ED16" s="34" t="s">
        <v>295</v>
      </c>
    </row>
    <row r="17" spans="1:134" s="34" customFormat="1" ht="15" customHeight="1" x14ac:dyDescent="0.25">
      <c r="A17" s="182"/>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184</v>
      </c>
      <c r="C18" s="111" t="s">
        <v>25</v>
      </c>
      <c r="D18" s="112">
        <v>48652.853999999999</v>
      </c>
      <c r="E18" s="112">
        <v>44263.351000000002</v>
      </c>
      <c r="F18" s="112">
        <v>55922.055999999997</v>
      </c>
      <c r="G18" s="112">
        <v>65896.111000000004</v>
      </c>
      <c r="H18" s="112">
        <v>59091.495999999999</v>
      </c>
      <c r="I18" s="112">
        <v>69334.357000000004</v>
      </c>
      <c r="J18" s="112">
        <v>82228.320000000007</v>
      </c>
      <c r="K18" s="112">
        <v>86549.509000000005</v>
      </c>
      <c r="L18" s="112">
        <v>91586.755000000005</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v>454.97176853579913</v>
      </c>
      <c r="E6" s="60">
        <v>482.99422640025637</v>
      </c>
      <c r="F6" s="60">
        <v>532.14445326873374</v>
      </c>
      <c r="G6" s="60">
        <v>592.52607311946122</v>
      </c>
      <c r="H6" s="60">
        <v>622.4265624277341</v>
      </c>
      <c r="I6" s="60">
        <v>683.67401902784206</v>
      </c>
      <c r="J6" s="60">
        <v>931.51017930354021</v>
      </c>
      <c r="K6" s="60">
        <v>938.62119676048292</v>
      </c>
      <c r="L6" s="60">
        <v>1086.0697052624669</v>
      </c>
      <c r="M6" s="60"/>
      <c r="N6" s="60"/>
      <c r="O6" s="60"/>
      <c r="DS6" s="4" t="str">
        <f>VLOOKUP(Cover!$D$15, Country_list!$B$3:$C$44, 2, 0)</f>
        <v>FR</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1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22199.794925627742</v>
      </c>
      <c r="E6" s="60">
        <v>22758.800950778888</v>
      </c>
      <c r="F6" s="60">
        <v>24859.098465327639</v>
      </c>
      <c r="G6" s="60">
        <v>27003.412798045323</v>
      </c>
      <c r="H6" s="60">
        <v>25929.76388634566</v>
      </c>
      <c r="I6" s="60">
        <v>26234.621951591009</v>
      </c>
      <c r="J6" s="60">
        <v>26047.853042030154</v>
      </c>
      <c r="K6" s="60">
        <v>25877.649174782178</v>
      </c>
      <c r="L6" s="60">
        <v>25731.441860600695</v>
      </c>
      <c r="M6" s="60"/>
      <c r="N6" s="60"/>
      <c r="O6" s="60"/>
      <c r="DS6" s="4" t="str">
        <f>VLOOKUP(Cover!$D$15, Country_list!$B$3:$C$44, 2, 0)</f>
        <v>FR</v>
      </c>
      <c r="DT6" s="33" t="s">
        <v>289</v>
      </c>
      <c r="DV6" s="33" t="s">
        <v>304</v>
      </c>
      <c r="EB6" s="33" t="s">
        <v>291</v>
      </c>
      <c r="ED6" s="33" t="s">
        <v>294</v>
      </c>
    </row>
    <row r="7" spans="1:134" ht="24" customHeight="1" x14ac:dyDescent="0.25">
      <c r="A7" s="183" t="s">
        <v>15</v>
      </c>
      <c r="B7" s="200"/>
      <c r="C7" s="9" t="s">
        <v>25</v>
      </c>
      <c r="D7" s="61">
        <v>9852.8440002148654</v>
      </c>
      <c r="E7" s="58">
        <v>9822.3806474710382</v>
      </c>
      <c r="F7" s="58">
        <v>9698.9692621878075</v>
      </c>
      <c r="G7" s="58">
        <v>10410.083111726892</v>
      </c>
      <c r="H7" s="58">
        <v>10510.913679462434</v>
      </c>
      <c r="I7" s="58">
        <v>11378.18882870064</v>
      </c>
      <c r="J7" s="58">
        <v>11392.323291285578</v>
      </c>
      <c r="K7" s="58">
        <v>11534.446988758216</v>
      </c>
      <c r="L7" s="58">
        <v>12097.521529079042</v>
      </c>
      <c r="M7" s="58"/>
      <c r="N7" s="58"/>
      <c r="O7" s="58"/>
      <c r="DT7" s="33" t="s">
        <v>290</v>
      </c>
      <c r="EB7" s="33" t="s">
        <v>291</v>
      </c>
      <c r="ED7" s="33" t="s">
        <v>295</v>
      </c>
    </row>
    <row r="8" spans="1:134" ht="24" customHeight="1" x14ac:dyDescent="0.25">
      <c r="A8" s="183" t="s">
        <v>29</v>
      </c>
      <c r="B8" s="200"/>
      <c r="C8" s="9" t="s">
        <v>17</v>
      </c>
      <c r="D8" s="61">
        <v>58216.758301153735</v>
      </c>
      <c r="E8" s="58">
        <v>63637.631083128486</v>
      </c>
      <c r="F8" s="58">
        <v>59675.655511935169</v>
      </c>
      <c r="G8" s="58">
        <v>56661.961657366424</v>
      </c>
      <c r="H8" s="58">
        <v>54726.656311541927</v>
      </c>
      <c r="I8" s="58">
        <v>54511.236180806627</v>
      </c>
      <c r="J8" s="58">
        <v>55217.011727772937</v>
      </c>
      <c r="K8" s="58">
        <v>56209.260563274242</v>
      </c>
      <c r="L8" s="58">
        <v>55782.404764560473</v>
      </c>
      <c r="M8" s="58"/>
      <c r="N8" s="58"/>
      <c r="O8" s="58"/>
      <c r="DT8" s="33" t="s">
        <v>231</v>
      </c>
      <c r="EB8" s="33" t="s">
        <v>291</v>
      </c>
      <c r="ED8" s="33" t="s">
        <v>296</v>
      </c>
    </row>
    <row r="9" spans="1:134" ht="24" customHeight="1" x14ac:dyDescent="0.25">
      <c r="A9" s="183" t="s">
        <v>156</v>
      </c>
      <c r="B9" s="200"/>
      <c r="C9" s="9" t="s">
        <v>19</v>
      </c>
      <c r="D9" s="61">
        <v>17.628957564301061</v>
      </c>
      <c r="E9" s="58">
        <v>3.7503678847227335</v>
      </c>
      <c r="F9" s="58">
        <v>3.8252278025972033</v>
      </c>
      <c r="G9" s="58">
        <v>3.867240604382959</v>
      </c>
      <c r="H9" s="58">
        <v>3.9744584415927058</v>
      </c>
      <c r="I9" s="58">
        <v>3.8788247418979438</v>
      </c>
      <c r="J9" s="58">
        <v>4.4680868866275301</v>
      </c>
      <c r="K9" s="58">
        <v>4.5280356441049712</v>
      </c>
      <c r="L9" s="58">
        <v>2.7629852674926161</v>
      </c>
      <c r="M9" s="58"/>
      <c r="N9" s="58"/>
      <c r="O9" s="58"/>
      <c r="DT9" s="33" t="s">
        <v>279</v>
      </c>
      <c r="EB9" s="33" t="s">
        <v>292</v>
      </c>
      <c r="ED9" s="33" t="s">
        <v>293</v>
      </c>
    </row>
    <row r="10" spans="1:134" ht="24" customHeight="1" x14ac:dyDescent="0.25">
      <c r="A10" s="183" t="s">
        <v>20</v>
      </c>
      <c r="B10" s="200"/>
      <c r="C10" s="9" t="s">
        <v>19</v>
      </c>
      <c r="D10" s="61">
        <v>570.44566659925158</v>
      </c>
      <c r="E10" s="58">
        <v>566.4157243302011</v>
      </c>
      <c r="F10" s="58">
        <v>523.19677571244517</v>
      </c>
      <c r="G10" s="58">
        <v>478.91561842748229</v>
      </c>
      <c r="H10" s="58">
        <v>502.56110694297155</v>
      </c>
      <c r="I10" s="58">
        <v>461.42640190712029</v>
      </c>
      <c r="J10" s="58">
        <v>526.79052770601015</v>
      </c>
      <c r="K10" s="58">
        <v>549.30000056443635</v>
      </c>
      <c r="L10" s="58">
        <v>529.47431464160877</v>
      </c>
      <c r="M10" s="58"/>
      <c r="N10" s="58"/>
      <c r="O10" s="58"/>
      <c r="DT10" s="139" t="s">
        <v>280</v>
      </c>
      <c r="EB10" s="33" t="s">
        <v>292</v>
      </c>
      <c r="ED10" s="33" t="s">
        <v>293</v>
      </c>
    </row>
    <row r="11" spans="1:134" s="34" customFormat="1" ht="15" customHeight="1" x14ac:dyDescent="0.25">
      <c r="A11" s="182" t="s">
        <v>18</v>
      </c>
      <c r="B11" s="110" t="s">
        <v>21</v>
      </c>
      <c r="C11" s="111" t="s">
        <v>19</v>
      </c>
      <c r="D11" s="112">
        <v>90.264907223509113</v>
      </c>
      <c r="E11" s="113">
        <v>88.48639211788732</v>
      </c>
      <c r="F11" s="113">
        <v>79.866090067950068</v>
      </c>
      <c r="G11" s="113">
        <v>75.286703175934605</v>
      </c>
      <c r="H11" s="113">
        <v>73.725982356211986</v>
      </c>
      <c r="I11" s="113">
        <v>70.694390291706128</v>
      </c>
      <c r="J11" s="113">
        <v>69.957795315283391</v>
      </c>
      <c r="K11" s="113">
        <v>72.179126415957214</v>
      </c>
      <c r="L11" s="113">
        <v>71.363684242376038</v>
      </c>
      <c r="M11" s="113"/>
      <c r="N11" s="113"/>
      <c r="O11" s="113"/>
      <c r="DT11" s="34" t="s">
        <v>281</v>
      </c>
      <c r="EB11" s="34" t="s">
        <v>292</v>
      </c>
      <c r="ED11" s="34" t="s">
        <v>293</v>
      </c>
    </row>
    <row r="12" spans="1:134" s="34" customFormat="1" ht="15" customHeight="1" x14ac:dyDescent="0.25">
      <c r="A12" s="18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v>480.18075937574253</v>
      </c>
      <c r="E13" s="113">
        <v>477.9293322123138</v>
      </c>
      <c r="F13" s="113">
        <v>443.33068564449513</v>
      </c>
      <c r="G13" s="113">
        <v>403.62891525154771</v>
      </c>
      <c r="H13" s="113">
        <v>428.83512458675955</v>
      </c>
      <c r="I13" s="113">
        <v>390.73201161541419</v>
      </c>
      <c r="J13" s="113">
        <v>456.83273239072679</v>
      </c>
      <c r="K13" s="113">
        <v>477.12087414847917</v>
      </c>
      <c r="L13" s="113">
        <v>458.11063039923272</v>
      </c>
      <c r="M13" s="113"/>
      <c r="N13" s="113"/>
      <c r="O13" s="113"/>
      <c r="DT13" s="34" t="s">
        <v>283</v>
      </c>
      <c r="EB13" s="34" t="s">
        <v>292</v>
      </c>
      <c r="ED13" s="34" t="s">
        <v>293</v>
      </c>
    </row>
    <row r="14" spans="1:134" ht="24" customHeight="1" x14ac:dyDescent="0.25">
      <c r="A14" s="183" t="s">
        <v>24</v>
      </c>
      <c r="B14" s="200"/>
      <c r="C14" s="9" t="s">
        <v>25</v>
      </c>
      <c r="D14" s="61">
        <v>4286.2508155065807</v>
      </c>
      <c r="E14" s="58">
        <v>6263.2215862246576</v>
      </c>
      <c r="F14" s="58">
        <v>6498.018104068371</v>
      </c>
      <c r="G14" s="58">
        <v>6743.4030893791796</v>
      </c>
      <c r="H14" s="58">
        <v>6968.647475505074</v>
      </c>
      <c r="I14" s="58">
        <v>7081.1944199838663</v>
      </c>
      <c r="J14" s="58">
        <v>7061.3327405164437</v>
      </c>
      <c r="K14" s="58">
        <v>7249.2048389950169</v>
      </c>
      <c r="L14" s="58">
        <v>7526.214584603802</v>
      </c>
      <c r="M14" s="58"/>
      <c r="N14" s="58"/>
      <c r="O14" s="58"/>
      <c r="DT14" s="139" t="s">
        <v>284</v>
      </c>
      <c r="EB14" s="33" t="s">
        <v>291</v>
      </c>
      <c r="ED14" s="33" t="s">
        <v>295</v>
      </c>
    </row>
    <row r="15" spans="1:134" s="34" customFormat="1" ht="15" customHeight="1" x14ac:dyDescent="0.25">
      <c r="A15" s="182" t="s">
        <v>18</v>
      </c>
      <c r="B15" s="110" t="s">
        <v>26</v>
      </c>
      <c r="C15" s="111" t="s">
        <v>25</v>
      </c>
      <c r="D15" s="112">
        <v>2254.8187102652055</v>
      </c>
      <c r="E15" s="113">
        <v>4314.3853633309755</v>
      </c>
      <c r="F15" s="113">
        <v>4728.8652951258746</v>
      </c>
      <c r="G15" s="113">
        <v>5086.2125065035771</v>
      </c>
      <c r="H15" s="113">
        <v>5363.5457620093421</v>
      </c>
      <c r="I15" s="113">
        <v>5590.2931939150931</v>
      </c>
      <c r="J15" s="113">
        <v>5790.5719306666333</v>
      </c>
      <c r="K15" s="113">
        <v>6013.7854852284399</v>
      </c>
      <c r="L15" s="113">
        <v>6332.9024575164012</v>
      </c>
      <c r="M15" s="113"/>
      <c r="N15" s="113"/>
      <c r="O15" s="113"/>
      <c r="DT15" s="34" t="s">
        <v>285</v>
      </c>
      <c r="EB15" s="34" t="s">
        <v>291</v>
      </c>
      <c r="ED15" s="34" t="s">
        <v>295</v>
      </c>
    </row>
    <row r="16" spans="1:134" s="34" customFormat="1" ht="15" customHeight="1" x14ac:dyDescent="0.25">
      <c r="A16" s="182"/>
      <c r="B16" s="110" t="s">
        <v>27</v>
      </c>
      <c r="C16" s="111" t="s">
        <v>25</v>
      </c>
      <c r="D16" s="112">
        <v>2031.4321052413748</v>
      </c>
      <c r="E16" s="113">
        <v>1948.8362228936824</v>
      </c>
      <c r="F16" s="113">
        <v>1769.1528089424964</v>
      </c>
      <c r="G16" s="113">
        <v>1657.1905828756026</v>
      </c>
      <c r="H16" s="113">
        <v>1605.1017134957322</v>
      </c>
      <c r="I16" s="113">
        <v>1490.9012260687734</v>
      </c>
      <c r="J16" s="113">
        <v>1270.7608098498099</v>
      </c>
      <c r="K16" s="113">
        <v>1235.4193537665767</v>
      </c>
      <c r="L16" s="113">
        <v>1193.3121270874008</v>
      </c>
      <c r="M16" s="113"/>
      <c r="N16" s="113"/>
      <c r="O16" s="113"/>
      <c r="DT16" s="34" t="s">
        <v>286</v>
      </c>
      <c r="EB16" s="34" t="s">
        <v>291</v>
      </c>
      <c r="ED16" s="34" t="s">
        <v>295</v>
      </c>
    </row>
    <row r="17" spans="1:134" s="34" customFormat="1" ht="15" customHeight="1" x14ac:dyDescent="0.25">
      <c r="A17" s="182"/>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185</v>
      </c>
      <c r="C18" s="111" t="s">
        <v>25</v>
      </c>
      <c r="D18" s="112">
        <v>0</v>
      </c>
      <c r="E18" s="112">
        <v>0</v>
      </c>
      <c r="F18" s="112">
        <v>0</v>
      </c>
      <c r="G18" s="112">
        <v>0</v>
      </c>
      <c r="H18" s="112">
        <v>0</v>
      </c>
      <c r="I18" s="112">
        <v>0</v>
      </c>
      <c r="J18" s="112">
        <v>0</v>
      </c>
      <c r="K18" s="112">
        <v>0</v>
      </c>
      <c r="L18" s="112">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D6" sqref="D6:L13"/>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11773.869192064605</v>
      </c>
      <c r="E6" s="60">
        <v>11569.990712069237</v>
      </c>
      <c r="F6" s="60">
        <v>12067.041673930829</v>
      </c>
      <c r="G6" s="60">
        <v>12304.626005010874</v>
      </c>
      <c r="H6" s="60">
        <v>11747.053360767686</v>
      </c>
      <c r="I6" s="60">
        <v>12040.855838680884</v>
      </c>
      <c r="J6" s="60">
        <v>12146.898153659162</v>
      </c>
      <c r="K6" s="60">
        <v>12329.021563257549</v>
      </c>
      <c r="L6" s="60">
        <v>12440.077372330017</v>
      </c>
      <c r="M6" s="60"/>
      <c r="N6" s="60"/>
      <c r="O6" s="60"/>
      <c r="DS6" s="4" t="str">
        <f>VLOOKUP(Cover!$D$15, Country_list!$B$3:$C$44, 2, 0)</f>
        <v>FR</v>
      </c>
      <c r="DT6" s="33" t="s">
        <v>289</v>
      </c>
      <c r="DV6" s="33" t="s">
        <v>305</v>
      </c>
      <c r="EB6" s="33" t="s">
        <v>291</v>
      </c>
      <c r="ED6" s="33" t="s">
        <v>294</v>
      </c>
    </row>
    <row r="7" spans="1:134" ht="24" customHeight="1" x14ac:dyDescent="0.25">
      <c r="A7" s="183" t="s">
        <v>15</v>
      </c>
      <c r="B7" s="200"/>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3" t="s">
        <v>29</v>
      </c>
      <c r="B8" s="200"/>
      <c r="C8" s="9" t="s">
        <v>17</v>
      </c>
      <c r="D8" s="61">
        <v>35403.841954566786</v>
      </c>
      <c r="E8" s="58">
        <v>38166.312128686979</v>
      </c>
      <c r="F8" s="58">
        <v>35276.047930367167</v>
      </c>
      <c r="G8" s="58">
        <v>32432.78834372438</v>
      </c>
      <c r="H8" s="58">
        <v>30949.034424524129</v>
      </c>
      <c r="I8" s="58">
        <v>30608.828462370242</v>
      </c>
      <c r="J8" s="58">
        <v>30822.247681834127</v>
      </c>
      <c r="K8" s="58">
        <v>31073.090778064088</v>
      </c>
      <c r="L8" s="58">
        <v>30506.171726650326</v>
      </c>
      <c r="M8" s="58"/>
      <c r="N8" s="58"/>
      <c r="O8" s="58"/>
      <c r="DT8" s="33" t="s">
        <v>231</v>
      </c>
      <c r="EB8" s="33" t="s">
        <v>291</v>
      </c>
      <c r="ED8" s="33" t="s">
        <v>296</v>
      </c>
    </row>
    <row r="9" spans="1:134" ht="24" customHeight="1" x14ac:dyDescent="0.25">
      <c r="A9" s="183" t="s">
        <v>156</v>
      </c>
      <c r="B9" s="200"/>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83" t="s">
        <v>20</v>
      </c>
      <c r="B10" s="200"/>
      <c r="C10" s="9" t="s">
        <v>19</v>
      </c>
      <c r="D10" s="61">
        <v>486.45121368817451</v>
      </c>
      <c r="E10" s="58">
        <v>495.86151380301925</v>
      </c>
      <c r="F10" s="58">
        <v>480.5992480379237</v>
      </c>
      <c r="G10" s="58">
        <v>482.04975537173988</v>
      </c>
      <c r="H10" s="58">
        <v>489.02218629649286</v>
      </c>
      <c r="I10" s="58">
        <v>475.3609427548904</v>
      </c>
      <c r="J10" s="58">
        <v>416.52312416524859</v>
      </c>
      <c r="K10" s="58">
        <v>432.16018276595361</v>
      </c>
      <c r="L10" s="58">
        <v>422.34671074849888</v>
      </c>
      <c r="M10" s="58"/>
      <c r="N10" s="58"/>
      <c r="O10" s="58"/>
      <c r="DT10" s="139" t="s">
        <v>280</v>
      </c>
      <c r="EB10" s="33" t="s">
        <v>292</v>
      </c>
      <c r="ED10" s="33" t="s">
        <v>293</v>
      </c>
    </row>
    <row r="11" spans="1:134" s="34" customFormat="1" ht="15" customHeight="1" x14ac:dyDescent="0.25">
      <c r="A11" s="182" t="s">
        <v>18</v>
      </c>
      <c r="B11" s="110" t="s">
        <v>21</v>
      </c>
      <c r="C11" s="111" t="s">
        <v>19</v>
      </c>
      <c r="D11" s="112">
        <v>486.45121368817451</v>
      </c>
      <c r="E11" s="113">
        <v>495.86151380301925</v>
      </c>
      <c r="F11" s="113">
        <v>480.5992480379237</v>
      </c>
      <c r="G11" s="113">
        <v>482.04975537173988</v>
      </c>
      <c r="H11" s="113">
        <v>489.02218629649286</v>
      </c>
      <c r="I11" s="113">
        <v>475.3609427548904</v>
      </c>
      <c r="J11" s="113">
        <v>416.52312416524859</v>
      </c>
      <c r="K11" s="113">
        <v>432.16018276595361</v>
      </c>
      <c r="L11" s="113">
        <v>422.34671074849888</v>
      </c>
      <c r="M11" s="113"/>
      <c r="N11" s="113"/>
      <c r="O11" s="113"/>
      <c r="DT11" s="34" t="s">
        <v>281</v>
      </c>
      <c r="EB11" s="34" t="s">
        <v>292</v>
      </c>
      <c r="ED11" s="34" t="s">
        <v>293</v>
      </c>
    </row>
    <row r="12" spans="1:134" s="34" customFormat="1" ht="15" customHeight="1" x14ac:dyDescent="0.25">
      <c r="A12" s="18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v>0</v>
      </c>
      <c r="E13" s="113">
        <v>0</v>
      </c>
      <c r="F13" s="113">
        <v>0</v>
      </c>
      <c r="G13" s="113">
        <v>0</v>
      </c>
      <c r="H13" s="113">
        <v>0</v>
      </c>
      <c r="I13" s="113">
        <v>0</v>
      </c>
      <c r="J13" s="113">
        <v>0</v>
      </c>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79033.38537904124</v>
      </c>
      <c r="E6" s="63">
        <v>76948.578569207049</v>
      </c>
      <c r="F6" s="63">
        <v>81077.293794841346</v>
      </c>
      <c r="G6" s="63">
        <v>83895.643121243236</v>
      </c>
      <c r="H6" s="63">
        <v>79697.717673808191</v>
      </c>
      <c r="I6" s="63">
        <v>80652.282854830366</v>
      </c>
      <c r="J6" s="63">
        <v>81759.587177667388</v>
      </c>
      <c r="K6" s="63">
        <v>81756.352343135761</v>
      </c>
      <c r="L6" s="63">
        <v>81639.008379615552</v>
      </c>
      <c r="M6" s="63"/>
      <c r="N6" s="63"/>
      <c r="O6" s="63"/>
      <c r="DS6" s="4" t="str">
        <f>VLOOKUP(Cover!$D$15, Country_list!$B$3:$C$44, 2, 0)</f>
        <v>FR</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FR</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F17" sqref="F17"/>
    </sheetView>
  </sheetViews>
  <sheetFormatPr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FALSE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FALSE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FALSE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2020-01-30T14:07:06Z</dcterms:modified>
  <cp:category>Annual questionnaires</cp:category>
</cp:coreProperties>
</file>