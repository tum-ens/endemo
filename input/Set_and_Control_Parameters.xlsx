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2.xml" ContentType="application/vnd.openxmlformats-officedocument.drawing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4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trlProps/ctrlProp39.xml" ContentType="application/vnd.ms-excel.controlproperties+xml"/>
  <Override PartName="/xl/drawings/drawing6.xml" ContentType="application/vnd.openxmlformats-officedocument.drawing+xml"/>
  <Override PartName="/xl/ctrlProps/ctrlProp40.xml" ContentType="application/vnd.ms-excel.controlproperties+xml"/>
  <Override PartName="/xl/ctrlProps/ctrlProp4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:\Projekte\endemo_Projects\endemo-ENS\endemo_IND_world_branch\endemo\input\"/>
    </mc:Choice>
  </mc:AlternateContent>
  <xr:revisionPtr revIDLastSave="0" documentId="13_ncr:1_{2EB2B050-531E-41AB-881C-47446772453C}" xr6:coauthVersionLast="47" xr6:coauthVersionMax="47" xr10:uidLastSave="{00000000-0000-0000-0000-000000000000}"/>
  <bookViews>
    <workbookView xWindow="33600" yWindow="1440" windowWidth="20175" windowHeight="13230" tabRatio="730" activeTab="3" xr2:uid="{00000000-000D-0000-FFFF-FFFF00000000}"/>
  </bookViews>
  <sheets>
    <sheet name="GeneralSettings" sheetId="1" r:id="rId1"/>
    <sheet name="Countries" sheetId="2" r:id="rId2"/>
    <sheet name="IND_general" sheetId="6" r:id="rId3"/>
    <sheet name="IND_subsectors" sheetId="13" r:id="rId4"/>
    <sheet name="HH" sheetId="7" r:id="rId5"/>
    <sheet name="TRA" sheetId="8" r:id="rId6"/>
    <sheet name="CTS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2" i="13" l="1"/>
  <c r="E21" i="13"/>
  <c r="F9" i="13" l="1"/>
  <c r="F21" i="13"/>
  <c r="F3" i="13"/>
  <c r="F17" i="13"/>
  <c r="F18" i="13"/>
  <c r="F19" i="13"/>
  <c r="F20" i="13"/>
  <c r="F22" i="13"/>
  <c r="D2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tc={04D4C06B-8268-4FCD-9269-B3F03D9D6D63}</author>
  </authors>
  <commentList>
    <comment ref="A2" authorId="0" shapeId="0" xr:uid="{04D4C06B-8268-4FCD-9269-B3F03D9D6D6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Refers to the sum of primary and secondary steel. If "steel" is activated, steel_prim and steel_sec should not be additionally activated and the other way round.</t>
      </text>
    </comment>
  </commentList>
</comments>
</file>

<file path=xl/sharedStrings.xml><?xml version="1.0" encoding="utf-8"?>
<sst xmlns="http://schemas.openxmlformats.org/spreadsheetml/2006/main" count="251" uniqueCount="133">
  <si>
    <t>Country</t>
  </si>
  <si>
    <t>Forecast year</t>
  </si>
  <si>
    <t>Parameter</t>
  </si>
  <si>
    <t>Value</t>
  </si>
  <si>
    <t>Active</t>
  </si>
  <si>
    <t>Activate</t>
  </si>
  <si>
    <t>Comment</t>
  </si>
  <si>
    <t>-</t>
  </si>
  <si>
    <t>Sector: industry</t>
  </si>
  <si>
    <t>Sector: households</t>
  </si>
  <si>
    <t>Sector: transport</t>
  </si>
  <si>
    <t>Sector: commertial, trade, services</t>
  </si>
  <si>
    <t>Population forecast</t>
  </si>
  <si>
    <t>Timeseries forecast</t>
  </si>
  <si>
    <t>NUTS2 geographical resolution</t>
  </si>
  <si>
    <t>NUTS2 classification</t>
  </si>
  <si>
    <t>Graphical output</t>
  </si>
  <si>
    <t>Default</t>
  </si>
  <si>
    <t>Default values</t>
  </si>
  <si>
    <t>True</t>
  </si>
  <si>
    <t>NUTS2 classification changes over time. Select the desired output.</t>
  </si>
  <si>
    <t>Activates calculations for industrial sector.</t>
  </si>
  <si>
    <t>Activates calculations for household sector.</t>
  </si>
  <si>
    <t>Activates calculations for transport sector.</t>
  </si>
  <si>
    <t>Activates calculations for commertial, trade and services sector.</t>
  </si>
  <si>
    <t>Forecast of load profiles. If false, just yearly values are calculated.</t>
  </si>
  <si>
    <t>If false, country resolution.</t>
  </si>
  <si>
    <t>Time horizon of the model is year 2050 with one year step. Values from 2018 till 2050 allowed.</t>
  </si>
  <si>
    <t>Output related to population development</t>
  </si>
  <si>
    <t>Production quantity calculated per capita</t>
  </si>
  <si>
    <t>NUTS2 distribution based on installed industrial capacity</t>
  </si>
  <si>
    <t>Trend calculation for specific energy requirements</t>
  </si>
  <si>
    <t>Last available year</t>
  </si>
  <si>
    <t>Last available year of the historical data</t>
  </si>
  <si>
    <t>False</t>
  </si>
  <si>
    <t>If false, distribution per population density.</t>
  </si>
  <si>
    <t>Years that are sorted out before further data processing due to large deviations from the pattern of historical data.</t>
  </si>
  <si>
    <t>Graphical representation of results in the case all sectors are activated</t>
  </si>
  <si>
    <t>Forecast method</t>
  </si>
  <si>
    <t>alu_prim</t>
  </si>
  <si>
    <t>alu_sec</t>
  </si>
  <si>
    <t>methanol</t>
  </si>
  <si>
    <t>ethylene</t>
  </si>
  <si>
    <t>propylene</t>
  </si>
  <si>
    <t>paper</t>
  </si>
  <si>
    <t>cement</t>
  </si>
  <si>
    <t>ammonia</t>
  </si>
  <si>
    <t>glass</t>
  </si>
  <si>
    <t>steel_direct</t>
  </si>
  <si>
    <t>Default value</t>
  </si>
  <si>
    <t>Trend</t>
  </si>
  <si>
    <t>Predefined ratio of single households</t>
  </si>
  <si>
    <t>Predefined ratio of Q1 heat level (below 60°C)</t>
  </si>
  <si>
    <t>The rest is Q2 heat level (between 60 and 100°C)</t>
  </si>
  <si>
    <t>Method for modal split</t>
  </si>
  <si>
    <t>Calculation for rest subsector</t>
  </si>
  <si>
    <t>Scenario selection for modal split</t>
  </si>
  <si>
    <t>Historical</t>
  </si>
  <si>
    <t>Historical values or study values used for future modal split</t>
  </si>
  <si>
    <t>NUTS2 distribution based on population</t>
  </si>
  <si>
    <t>If false, distribution per employees number.</t>
  </si>
  <si>
    <t>Reference year for industrial production</t>
  </si>
  <si>
    <t>Freight transport is dependent on industrial production. Reference historical year selection.</t>
  </si>
  <si>
    <t>ammonia_classic</t>
  </si>
  <si>
    <t>methanol_classic</t>
  </si>
  <si>
    <t>ethylene_classic</t>
  </si>
  <si>
    <t>propylene_classic</t>
  </si>
  <si>
    <t>steel_sec</t>
  </si>
  <si>
    <t>steel</t>
  </si>
  <si>
    <t>steel_prim</t>
  </si>
  <si>
    <t>chlorine</t>
  </si>
  <si>
    <t>copper_prim</t>
  </si>
  <si>
    <t>copper_sec</t>
  </si>
  <si>
    <t>Parameter: production quantity change in %/year</t>
  </si>
  <si>
    <t>Subsectors</t>
  </si>
  <si>
    <t>Active subsectors</t>
  </si>
  <si>
    <t>Activate subsectors</t>
  </si>
  <si>
    <t>Parameter: technology substitution in %</t>
  </si>
  <si>
    <t>Description</t>
  </si>
  <si>
    <t>Chemical production with renewable H2 in %</t>
  </si>
  <si>
    <t>Parameter: efficiency improvement in %/year</t>
  </si>
  <si>
    <t>not applicable</t>
  </si>
  <si>
    <t>Methods for production quantity prediction.</t>
  </si>
  <si>
    <t>unspecified industry</t>
  </si>
  <si>
    <t>Scenario selection for final energy demand calaculation - electricity and hydrogen vehicles shares</t>
  </si>
  <si>
    <t>If scenario selection = historical =&gt; method can be both Trend or Constant (linear trend development or last available value)</t>
  </si>
  <si>
    <t>Scenario selection for final energy demand calaculation - electricity and hydrogen vehicles shares based on reference case or user inputs</t>
  </si>
  <si>
    <t>Reference</t>
  </si>
  <si>
    <t>Scenario selection for final energy demand</t>
  </si>
  <si>
    <t>Calculate final energy demand</t>
  </si>
  <si>
    <t>For calculation of the share of the industrial non-specified sector</t>
  </si>
  <si>
    <t>Chemical production by steam reforming in %</t>
  </si>
  <si>
    <t>Skip years</t>
  </si>
  <si>
    <t>Proportion of hydrogen usage for space heating</t>
  </si>
  <si>
    <t>Proportion of electricity usage for space heating</t>
  </si>
  <si>
    <t>Proportion of electricity usage for hot water</t>
  </si>
  <si>
    <t>Proportion of hydrogen usage for heat supply</t>
  </si>
  <si>
    <t>Proportion of electricity usage for heat supply</t>
  </si>
  <si>
    <t>Proportion of hydrogen usage for heat supply at Q1 level</t>
  </si>
  <si>
    <t>Proportion of electricity usage for heat supply at Q1 level</t>
  </si>
  <si>
    <t>Proportion of hydrogen usage for heat supply at Q2 level</t>
  </si>
  <si>
    <t>Proportion of electricity usage for heat supply at Q2 level</t>
  </si>
  <si>
    <t>Proportion of hydrogen usage for heat supply at Q3 level</t>
  </si>
  <si>
    <t>Proportion of electricity usage for heat supply at Q3 level</t>
  </si>
  <si>
    <t>Proportion of hydrogen usage for heat supply at Q4 level</t>
  </si>
  <si>
    <t>Proportion of electricity usage for heat supply at Q4 level</t>
  </si>
  <si>
    <t>If NUTS2 resolution is activated, population forecast has to be active at least for the first calculation.</t>
  </si>
  <si>
    <t>aromatics</t>
  </si>
  <si>
    <t>aromatics_classic</t>
  </si>
  <si>
    <t>Direct steel in primary steel production in %</t>
  </si>
  <si>
    <t>Primary steel production with classical iron ore reduction in %</t>
  </si>
  <si>
    <t>If false, mean value of historical data.</t>
  </si>
  <si>
    <t>The defined proportion contributes to the hydrogen demand, whereas the rest of the proportion stays as heat (fuel) demand. Values from 0 to 1.</t>
  </si>
  <si>
    <t>The defined proportion contributes to the electricity demand, whereas the rest of the proportion stays as heat (fuel) demand. Values from 0 to 1.</t>
  </si>
  <si>
    <t>The rest are multiple dwellings.</t>
  </si>
  <si>
    <t>The rest is Q2 heat level (between 60 and 100°C).</t>
  </si>
  <si>
    <t>Linear time trend</t>
  </si>
  <si>
    <t>The defined proportion contributes to the hydrogen demand. Values from 0 to 1.</t>
  </si>
  <si>
    <t>The defined proportion contributes to the electricity demand. Values from 0 to 1.</t>
  </si>
  <si>
    <t>Exponential or linear</t>
  </si>
  <si>
    <t>lin</t>
  </si>
  <si>
    <t>Calculation of IND parametres change</t>
  </si>
  <si>
    <t>Calculation of parametre change: household surface</t>
  </si>
  <si>
    <t>Calculation of parametre change: spec. space heating</t>
  </si>
  <si>
    <t>Calculation of parametre change: occupants per household</t>
  </si>
  <si>
    <t>exp</t>
  </si>
  <si>
    <t>World</t>
  </si>
  <si>
    <t>olefins</t>
  </si>
  <si>
    <t>olefins_classic</t>
  </si>
  <si>
    <t>Ln GDP function</t>
  </si>
  <si>
    <t>Last year of the historical data to be considered</t>
  </si>
  <si>
    <t>Last considered year</t>
  </si>
  <si>
    <t>Production quantity upper limit (unit description)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</si>
</sst>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i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164" fontId="4" fillId="0" borderId="0" applyFill="0" applyBorder="0" applyProtection="0">
      <alignment horizontal="right"/>
    </xf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1" fillId="0" borderId="0" xfId="0" applyFont="1" applyAlignment="1">
      <alignment wrapText="1"/>
    </xf>
    <xf numFmtId="0" fontId="0" fillId="0" borderId="3" xfId="0" applyBorder="1"/>
    <xf numFmtId="0" fontId="0" fillId="0" borderId="0" xfId="0" quotePrefix="1"/>
    <xf numFmtId="0" fontId="0" fillId="0" borderId="2" xfId="0" quotePrefix="1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5" xfId="0" quotePrefix="1" applyBorder="1"/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wrapText="1"/>
    </xf>
  </cellXfs>
  <cellStyles count="3">
    <cellStyle name="Normal_Oilques" xfId="1" xr:uid="{E37BA8A6-466B-44EB-ABFB-1300989947D9}"/>
    <cellStyle name="NumberCellStyle" xfId="2" xr:uid="{79ED66F4-65B5-43B8-B88C-8A58B3803A82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C$3" lockText="1" noThreeD="1"/>
</file>

<file path=xl/ctrlProps/ctrlProp2.xml><?xml version="1.0" encoding="utf-8"?>
<formControlPr xmlns="http://schemas.microsoft.com/office/spreadsheetml/2009/9/main" objectType="CheckBox" fmlaLink="$C$4" lockText="1" noThreeD="1"/>
</file>

<file path=xl/ctrlProps/ctrlProp3.xml><?xml version="1.0" encoding="utf-8"?>
<formControlPr xmlns="http://schemas.microsoft.com/office/spreadsheetml/2009/9/main" objectType="CheckBox" fmlaLink="$C$5" lockText="1" noThreeD="1"/>
</file>

<file path=xl/ctrlProps/ctrlProp4.xml><?xml version="1.0" encoding="utf-8"?>
<formControlPr xmlns="http://schemas.microsoft.com/office/spreadsheetml/2009/9/main" objectType="CheckBox" fmlaLink="$C$6" lockText="1" noThreeD="1"/>
</file>

<file path=xl/ctrlProps/ctrlProp5.xml><?xml version="1.0" encoding="utf-8"?>
<formControlPr xmlns="http://schemas.microsoft.com/office/spreadsheetml/2009/9/main" objectType="CheckBox" fmlaLink="$C$7" lockText="1" noThreeD="1"/>
</file>

<file path=xl/ctrlProps/ctrlProp6.xml><?xml version="1.0" encoding="utf-8"?>
<formControlPr xmlns="http://schemas.microsoft.com/office/spreadsheetml/2009/9/main" objectType="CheckBox" checked="Checked" fmlaLink="$C$8" lockText="1" noThreeD="1"/>
</file>

<file path=xl/ctrlProps/ctrlProp7.xml><?xml version="1.0" encoding="utf-8"?>
<formControlPr xmlns="http://schemas.microsoft.com/office/spreadsheetml/2009/9/main" objectType="CheckBox" fmlaLink="$C$9" lockText="1" noThreeD="1"/>
</file>

<file path=xl/ctrlProps/ctrlProp8.xml><?xml version="1.0" encoding="utf-8"?>
<formControlPr xmlns="http://schemas.microsoft.com/office/spreadsheetml/2009/9/main" objectType="CheckBox" fmlaLink="$C$11" lockText="1" noThreeD="1"/>
</file>

<file path=xl/ctrlProps/ctrlProp9.xml><?xml version="1.0" encoding="utf-8"?>
<formControlPr xmlns="http://schemas.microsoft.com/office/spreadsheetml/2009/9/main" objectType="CheckBox" fmlaLink="$C$12" lockText="1" noThreeD="1"/>
</file>

<file path=xl/ctrlProps/ctrlProp10.xml><?xml version="1.0" encoding="utf-8"?>
<formControlPr xmlns="http://schemas.microsoft.com/office/spreadsheetml/2009/9/main" objectType="CheckBox" checked="Checked" fmlaLink="C2" lockText="1" noThreeD="1"/>
</file>

<file path=xl/ctrlProps/ctrlProp11.xml><?xml version="1.0" encoding="utf-8"?>
<formControlPr xmlns="http://schemas.microsoft.com/office/spreadsheetml/2009/9/main" objectType="CheckBox" checked="Checked" fmlaLink="$C$5" lockText="1" noThreeD="1"/>
</file>

<file path=xl/ctrlProps/ctrlProp12.xml><?xml version="1.0" encoding="utf-8"?>
<formControlPr xmlns="http://schemas.microsoft.com/office/spreadsheetml/2009/9/main" objectType="CheckBox" checked="Checked" fmlaLink="$C$4" lockText="1" noThreeD="1"/>
</file>

<file path=xl/ctrlProps/ctrlProp13.xml><?xml version="1.0" encoding="utf-8"?>
<formControlPr xmlns="http://schemas.microsoft.com/office/spreadsheetml/2009/9/main" objectType="CheckBox" checked="Checked" fmlaLink="$C$3" lockText="1" noThreeD="1"/>
</file>

<file path=xl/ctrlProps/ctrlProp14.xml><?xml version="1.0" encoding="utf-8"?>
<formControlPr xmlns="http://schemas.microsoft.com/office/spreadsheetml/2009/9/main" objectType="CheckBox" fmlaLink="$C$2" lockText="1" noThreeD="1"/>
</file>

<file path=xl/ctrlProps/ctrlProp15.xml><?xml version="1.0" encoding="utf-8"?>
<formControlPr xmlns="http://schemas.microsoft.com/office/spreadsheetml/2009/9/main" objectType="CheckBox" fmlaLink="$C$5" lockText="1" noThreeD="1"/>
</file>

<file path=xl/ctrlProps/ctrlProp16.xml><?xml version="1.0" encoding="utf-8"?>
<formControlPr xmlns="http://schemas.microsoft.com/office/spreadsheetml/2009/9/main" objectType="CheckBox" checked="Checked" fmlaLink="$C$6" lockText="1" noThreeD="1"/>
</file>

<file path=xl/ctrlProps/ctrlProp17.xml><?xml version="1.0" encoding="utf-8"?>
<formControlPr xmlns="http://schemas.microsoft.com/office/spreadsheetml/2009/9/main" objectType="CheckBox" checked="Checked" fmlaLink="$C$7" lockText="1" noThreeD="1"/>
</file>

<file path=xl/ctrlProps/ctrlProp18.xml><?xml version="1.0" encoding="utf-8"?>
<formControlPr xmlns="http://schemas.microsoft.com/office/spreadsheetml/2009/9/main" objectType="CheckBox" checked="Checked" fmlaLink="$C$8" lockText="1" noThreeD="1"/>
</file>

<file path=xl/ctrlProps/ctrlProp19.xml><?xml version="1.0" encoding="utf-8"?>
<formControlPr xmlns="http://schemas.microsoft.com/office/spreadsheetml/2009/9/main" objectType="CheckBox" checked="Checked" fmlaLink="$C$9" lockText="1" noThreeD="1"/>
</file>

<file path=xl/ctrlProps/ctrlProp20.xml><?xml version="1.0" encoding="utf-8"?>
<formControlPr xmlns="http://schemas.microsoft.com/office/spreadsheetml/2009/9/main" objectType="CheckBox" fmlaLink="$C$10" lockText="1" noThreeD="1"/>
</file>

<file path=xl/ctrlProps/ctrlProp21.xml><?xml version="1.0" encoding="utf-8"?>
<formControlPr xmlns="http://schemas.microsoft.com/office/spreadsheetml/2009/9/main" objectType="CheckBox" fmlaLink="$C$12" lockText="1" noThreeD="1"/>
</file>

<file path=xl/ctrlProps/ctrlProp22.xml><?xml version="1.0" encoding="utf-8"?>
<formControlPr xmlns="http://schemas.microsoft.com/office/spreadsheetml/2009/9/main" objectType="CheckBox" fmlaLink="$C$13" lockText="1" noThreeD="1"/>
</file>

<file path=xl/ctrlProps/ctrlProp23.xml><?xml version="1.0" encoding="utf-8"?>
<formControlPr xmlns="http://schemas.microsoft.com/office/spreadsheetml/2009/9/main" objectType="CheckBox" fmlaLink="$C$14" lockText="1" noThreeD="1"/>
</file>

<file path=xl/ctrlProps/ctrlProp24.xml><?xml version="1.0" encoding="utf-8"?>
<formControlPr xmlns="http://schemas.microsoft.com/office/spreadsheetml/2009/9/main" objectType="CheckBox" checked="Checked" fmlaLink="$C$16" lockText="1" noThreeD="1"/>
</file>

<file path=xl/ctrlProps/ctrlProp25.xml><?xml version="1.0" encoding="utf-8"?>
<formControlPr xmlns="http://schemas.microsoft.com/office/spreadsheetml/2009/9/main" objectType="CheckBox" fmlaLink="$C$23" lockText="1" noThreeD="1"/>
</file>

<file path=xl/ctrlProps/ctrlProp26.xml><?xml version="1.0" encoding="utf-8"?>
<formControlPr xmlns="http://schemas.microsoft.com/office/spreadsheetml/2009/9/main" objectType="CheckBox" fmlaLink="$C$24" lockText="1" noThreeD="1"/>
</file>

<file path=xl/ctrlProps/ctrlProp27.xml><?xml version="1.0" encoding="utf-8"?>
<formControlPr xmlns="http://schemas.microsoft.com/office/spreadsheetml/2009/9/main" objectType="CheckBox" fmlaLink="$C$25" lockText="1" noThreeD="1"/>
</file>

<file path=xl/ctrlProps/ctrlProp28.xml><?xml version="1.0" encoding="utf-8"?>
<formControlPr xmlns="http://schemas.microsoft.com/office/spreadsheetml/2009/9/main" objectType="CheckBox" fmlaLink="$C$11" lockText="1" noThreeD="1"/>
</file>

<file path=xl/ctrlProps/ctrlProp29.xml><?xml version="1.0" encoding="utf-8"?>
<formControlPr xmlns="http://schemas.microsoft.com/office/spreadsheetml/2009/9/main" objectType="CheckBox" fmlaLink="$C$17" lockText="1" noThreeD="1"/>
</file>

<file path=xl/ctrlProps/ctrlProp30.xml><?xml version="1.0" encoding="utf-8"?>
<formControlPr xmlns="http://schemas.microsoft.com/office/spreadsheetml/2009/9/main" objectType="CheckBox" fmlaLink="$C$20" lockText="1" noThreeD="1"/>
</file>

<file path=xl/ctrlProps/ctrlProp31.xml><?xml version="1.0" encoding="utf-8"?>
<formControlPr xmlns="http://schemas.microsoft.com/office/spreadsheetml/2009/9/main" objectType="CheckBox" checked="Checked" fmlaLink="$C$22" lockText="1" noThreeD="1"/>
</file>

<file path=xl/ctrlProps/ctrlProp32.xml><?xml version="1.0" encoding="utf-8"?>
<formControlPr xmlns="http://schemas.microsoft.com/office/spreadsheetml/2009/9/main" objectType="CheckBox" fmlaLink="$C$19" lockText="1" noThreeD="1"/>
</file>

<file path=xl/ctrlProps/ctrlProp33.xml><?xml version="1.0" encoding="utf-8"?>
<formControlPr xmlns="http://schemas.microsoft.com/office/spreadsheetml/2009/9/main" objectType="CheckBox" fmlaLink="$C$18" lockText="1" noThreeD="1"/>
</file>

<file path=xl/ctrlProps/ctrlProp34.xml><?xml version="1.0" encoding="utf-8"?>
<formControlPr xmlns="http://schemas.microsoft.com/office/spreadsheetml/2009/9/main" objectType="CheckBox" fmlaLink="$C$3" lockText="1" noThreeD="1"/>
</file>

<file path=xl/ctrlProps/ctrlProp35.xml><?xml version="1.0" encoding="utf-8"?>
<formControlPr xmlns="http://schemas.microsoft.com/office/spreadsheetml/2009/9/main" objectType="CheckBox" fmlaLink="$C$4" lockText="1" noThreeD="1"/>
</file>

<file path=xl/ctrlProps/ctrlProp36.xml><?xml version="1.0" encoding="utf-8"?>
<formControlPr xmlns="http://schemas.microsoft.com/office/spreadsheetml/2009/9/main" objectType="CheckBox" checked="Checked" fmlaLink="$C$15" lockText="1" noThreeD="1"/>
</file>

<file path=xl/ctrlProps/ctrlProp37.xml><?xml version="1.0" encoding="utf-8"?>
<formControlPr xmlns="http://schemas.microsoft.com/office/spreadsheetml/2009/9/main" objectType="CheckBox" checked="Checked" fmlaLink="$C$21" lockText="1" noThreeD="1"/>
</file>

<file path=xl/ctrlProps/ctrlProp38.xml><?xml version="1.0" encoding="utf-8"?>
<formControlPr xmlns="http://schemas.microsoft.com/office/spreadsheetml/2009/9/main" objectType="CheckBox" fmlaLink="$C$26" lockText="1" noThreeD="1"/>
</file>

<file path=xl/ctrlProps/ctrlProp39.xml><?xml version="1.0" encoding="utf-8"?>
<formControlPr xmlns="http://schemas.microsoft.com/office/spreadsheetml/2009/9/main" objectType="CheckBox" fmlaLink="$C$5" lockText="1" noThreeD="1"/>
</file>

<file path=xl/ctrlProps/ctrlProp40.xml><?xml version="1.0" encoding="utf-8"?>
<formControlPr xmlns="http://schemas.microsoft.com/office/spreadsheetml/2009/9/main" objectType="CheckBox" fmlaLink="$C$2" lockText="1" noThreeD="1"/>
</file>

<file path=xl/ctrlProps/ctrlProp41.xml><?xml version="1.0" encoding="utf-8"?>
<formControlPr xmlns="http://schemas.microsoft.com/office/spreadsheetml/2009/9/main" objectType="CheckBox" fmlaLink="$C$3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0</xdr:rowOff>
        </xdr:from>
        <xdr:to>
          <xdr:col>1</xdr:col>
          <xdr:colOff>1143000</xdr:colOff>
          <xdr:row>3</xdr:row>
          <xdr:rowOff>19050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</xdr:row>
          <xdr:rowOff>0</xdr:rowOff>
        </xdr:from>
        <xdr:to>
          <xdr:col>1</xdr:col>
          <xdr:colOff>1143000</xdr:colOff>
          <xdr:row>4</xdr:row>
          <xdr:rowOff>19050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</xdr:row>
          <xdr:rowOff>0</xdr:rowOff>
        </xdr:from>
        <xdr:to>
          <xdr:col>1</xdr:col>
          <xdr:colOff>1143000</xdr:colOff>
          <xdr:row>5</xdr:row>
          <xdr:rowOff>19050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5</xdr:row>
          <xdr:rowOff>0</xdr:rowOff>
        </xdr:from>
        <xdr:to>
          <xdr:col>1</xdr:col>
          <xdr:colOff>1143000</xdr:colOff>
          <xdr:row>6</xdr:row>
          <xdr:rowOff>19050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6</xdr:row>
          <xdr:rowOff>0</xdr:rowOff>
        </xdr:from>
        <xdr:to>
          <xdr:col>1</xdr:col>
          <xdr:colOff>1143000</xdr:colOff>
          <xdr:row>7</xdr:row>
          <xdr:rowOff>19050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7</xdr:row>
          <xdr:rowOff>0</xdr:rowOff>
        </xdr:from>
        <xdr:to>
          <xdr:col>1</xdr:col>
          <xdr:colOff>1143000</xdr:colOff>
          <xdr:row>8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8</xdr:row>
          <xdr:rowOff>0</xdr:rowOff>
        </xdr:from>
        <xdr:to>
          <xdr:col>1</xdr:col>
          <xdr:colOff>1143000</xdr:colOff>
          <xdr:row>9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10</xdr:row>
          <xdr:rowOff>0</xdr:rowOff>
        </xdr:from>
        <xdr:to>
          <xdr:col>1</xdr:col>
          <xdr:colOff>1143000</xdr:colOff>
          <xdr:row>11</xdr:row>
          <xdr:rowOff>19050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11</xdr:row>
          <xdr:rowOff>0</xdr:rowOff>
        </xdr:from>
        <xdr:to>
          <xdr:col>1</xdr:col>
          <xdr:colOff>1143000</xdr:colOff>
          <xdr:row>12</xdr:row>
          <xdr:rowOff>19050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9525</xdr:rowOff>
        </xdr:from>
        <xdr:to>
          <xdr:col>1</xdr:col>
          <xdr:colOff>781050</xdr:colOff>
          <xdr:row>2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</xdr:row>
          <xdr:rowOff>0</xdr:rowOff>
        </xdr:from>
        <xdr:to>
          <xdr:col>1</xdr:col>
          <xdr:colOff>733425</xdr:colOff>
          <xdr:row>5</xdr:row>
          <xdr:rowOff>47625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171450</xdr:rowOff>
        </xdr:from>
        <xdr:to>
          <xdr:col>1</xdr:col>
          <xdr:colOff>733425</xdr:colOff>
          <xdr:row>4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0</xdr:rowOff>
        </xdr:from>
        <xdr:to>
          <xdr:col>1</xdr:col>
          <xdr:colOff>733425</xdr:colOff>
          <xdr:row>3</xdr:row>
          <xdr:rowOff>47625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561975</xdr:rowOff>
        </xdr:from>
        <xdr:to>
          <xdr:col>1</xdr:col>
          <xdr:colOff>733425</xdr:colOff>
          <xdr:row>2</xdr:row>
          <xdr:rowOff>38100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3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161925</xdr:rowOff>
        </xdr:from>
        <xdr:to>
          <xdr:col>1</xdr:col>
          <xdr:colOff>742950</xdr:colOff>
          <xdr:row>5</xdr:row>
          <xdr:rowOff>19050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3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</xdr:row>
          <xdr:rowOff>161925</xdr:rowOff>
        </xdr:from>
        <xdr:to>
          <xdr:col>1</xdr:col>
          <xdr:colOff>742950</xdr:colOff>
          <xdr:row>6</xdr:row>
          <xdr:rowOff>19050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3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</xdr:row>
          <xdr:rowOff>161925</xdr:rowOff>
        </xdr:from>
        <xdr:to>
          <xdr:col>1</xdr:col>
          <xdr:colOff>742950</xdr:colOff>
          <xdr:row>7</xdr:row>
          <xdr:rowOff>19050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3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</xdr:row>
          <xdr:rowOff>161925</xdr:rowOff>
        </xdr:from>
        <xdr:to>
          <xdr:col>1</xdr:col>
          <xdr:colOff>742950</xdr:colOff>
          <xdr:row>8</xdr:row>
          <xdr:rowOff>19050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3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161925</xdr:rowOff>
        </xdr:from>
        <xdr:to>
          <xdr:col>1</xdr:col>
          <xdr:colOff>742950</xdr:colOff>
          <xdr:row>9</xdr:row>
          <xdr:rowOff>19050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3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</xdr:row>
          <xdr:rowOff>9525</xdr:rowOff>
        </xdr:from>
        <xdr:to>
          <xdr:col>1</xdr:col>
          <xdr:colOff>742950</xdr:colOff>
          <xdr:row>9</xdr:row>
          <xdr:rowOff>180975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3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0</xdr:rowOff>
        </xdr:from>
        <xdr:to>
          <xdr:col>1</xdr:col>
          <xdr:colOff>742950</xdr:colOff>
          <xdr:row>11</xdr:row>
          <xdr:rowOff>171450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3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161925</xdr:rowOff>
        </xdr:from>
        <xdr:to>
          <xdr:col>1</xdr:col>
          <xdr:colOff>742950</xdr:colOff>
          <xdr:row>13</xdr:row>
          <xdr:rowOff>19050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3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</xdr:row>
          <xdr:rowOff>161925</xdr:rowOff>
        </xdr:from>
        <xdr:to>
          <xdr:col>1</xdr:col>
          <xdr:colOff>742950</xdr:colOff>
          <xdr:row>14</xdr:row>
          <xdr:rowOff>19050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3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</xdr:row>
          <xdr:rowOff>180975</xdr:rowOff>
        </xdr:from>
        <xdr:to>
          <xdr:col>1</xdr:col>
          <xdr:colOff>742950</xdr:colOff>
          <xdr:row>16</xdr:row>
          <xdr:rowOff>38100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3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</xdr:row>
          <xdr:rowOff>161925</xdr:rowOff>
        </xdr:from>
        <xdr:to>
          <xdr:col>1</xdr:col>
          <xdr:colOff>742950</xdr:colOff>
          <xdr:row>23</xdr:row>
          <xdr:rowOff>19050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3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</xdr:row>
          <xdr:rowOff>161925</xdr:rowOff>
        </xdr:from>
        <xdr:to>
          <xdr:col>1</xdr:col>
          <xdr:colOff>742950</xdr:colOff>
          <xdr:row>24</xdr:row>
          <xdr:rowOff>19050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3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</xdr:row>
          <xdr:rowOff>0</xdr:rowOff>
        </xdr:from>
        <xdr:to>
          <xdr:col>1</xdr:col>
          <xdr:colOff>742950</xdr:colOff>
          <xdr:row>25</xdr:row>
          <xdr:rowOff>47625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3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</xdr:row>
          <xdr:rowOff>161925</xdr:rowOff>
        </xdr:from>
        <xdr:to>
          <xdr:col>1</xdr:col>
          <xdr:colOff>742950</xdr:colOff>
          <xdr:row>11</xdr:row>
          <xdr:rowOff>19050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3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</xdr:row>
          <xdr:rowOff>161925</xdr:rowOff>
        </xdr:from>
        <xdr:to>
          <xdr:col>1</xdr:col>
          <xdr:colOff>742950</xdr:colOff>
          <xdr:row>17</xdr:row>
          <xdr:rowOff>19050</xdr:rowOff>
        </xdr:to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3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</xdr:row>
          <xdr:rowOff>161925</xdr:rowOff>
        </xdr:from>
        <xdr:to>
          <xdr:col>1</xdr:col>
          <xdr:colOff>742950</xdr:colOff>
          <xdr:row>20</xdr:row>
          <xdr:rowOff>19050</xdr:rowOff>
        </xdr:to>
        <xdr:sp macro="" textlink=""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3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</xdr:row>
          <xdr:rowOff>161925</xdr:rowOff>
        </xdr:from>
        <xdr:to>
          <xdr:col>1</xdr:col>
          <xdr:colOff>742950</xdr:colOff>
          <xdr:row>22</xdr:row>
          <xdr:rowOff>19050</xdr:rowOff>
        </xdr:to>
        <xdr:sp macro="" textlink=""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3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</xdr:row>
          <xdr:rowOff>161925</xdr:rowOff>
        </xdr:from>
        <xdr:to>
          <xdr:col>1</xdr:col>
          <xdr:colOff>742950</xdr:colOff>
          <xdr:row>19</xdr:row>
          <xdr:rowOff>19050</xdr:rowOff>
        </xdr:to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3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</xdr:row>
          <xdr:rowOff>161925</xdr:rowOff>
        </xdr:from>
        <xdr:to>
          <xdr:col>1</xdr:col>
          <xdr:colOff>742950</xdr:colOff>
          <xdr:row>18</xdr:row>
          <xdr:rowOff>19050</xdr:rowOff>
        </xdr:to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3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</xdr:row>
          <xdr:rowOff>161925</xdr:rowOff>
        </xdr:from>
        <xdr:to>
          <xdr:col>1</xdr:col>
          <xdr:colOff>742950</xdr:colOff>
          <xdr:row>3</xdr:row>
          <xdr:rowOff>19050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3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</xdr:row>
          <xdr:rowOff>161925</xdr:rowOff>
        </xdr:from>
        <xdr:to>
          <xdr:col>1</xdr:col>
          <xdr:colOff>742950</xdr:colOff>
          <xdr:row>4</xdr:row>
          <xdr:rowOff>19050</xdr:rowOff>
        </xdr:to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3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13</xdr:row>
          <xdr:rowOff>161925</xdr:rowOff>
        </xdr:from>
        <xdr:to>
          <xdr:col>1</xdr:col>
          <xdr:colOff>733425</xdr:colOff>
          <xdr:row>15</xdr:row>
          <xdr:rowOff>19050</xdr:rowOff>
        </xdr:to>
        <xdr:sp macro="" textlink="">
          <xdr:nvSpPr>
            <xdr:cNvPr id="11307" name="Check Box 43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3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</xdr:row>
          <xdr:rowOff>171450</xdr:rowOff>
        </xdr:from>
        <xdr:to>
          <xdr:col>1</xdr:col>
          <xdr:colOff>742950</xdr:colOff>
          <xdr:row>21</xdr:row>
          <xdr:rowOff>28575</xdr:rowOff>
        </xdr:to>
        <xdr:sp macro="" textlink="">
          <xdr:nvSpPr>
            <xdr:cNvPr id="11308" name="Check Box 44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3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</xdr:row>
          <xdr:rowOff>0</xdr:rowOff>
        </xdr:from>
        <xdr:to>
          <xdr:col>1</xdr:col>
          <xdr:colOff>742950</xdr:colOff>
          <xdr:row>26</xdr:row>
          <xdr:rowOff>38100</xdr:rowOff>
        </xdr:to>
        <xdr:sp macro="" textlink="">
          <xdr:nvSpPr>
            <xdr:cNvPr id="11309" name="Check Box 45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3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</xdr:col>
          <xdr:colOff>771525</xdr:colOff>
          <xdr:row>4</xdr:row>
          <xdr:rowOff>180975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171450</xdr:rowOff>
        </xdr:from>
        <xdr:to>
          <xdr:col>1</xdr:col>
          <xdr:colOff>733425</xdr:colOff>
          <xdr:row>2</xdr:row>
          <xdr:rowOff>28575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171450</xdr:rowOff>
        </xdr:from>
        <xdr:to>
          <xdr:col>1</xdr:col>
          <xdr:colOff>733425</xdr:colOff>
          <xdr:row>3</xdr:row>
          <xdr:rowOff>28575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erekes, Andelka" id="{6523A47B-7243-45B1-A3B3-F4224A79676A}" userId="Kerekes, Andelka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3-03-14T10:31:02.24" personId="{6523A47B-7243-45B1-A3B3-F4224A79676A}" id="{04D4C06B-8268-4FCD-9269-B3F03D9D6D63}">
    <text>Refers to the sum of primary and secondary steel. If "steel" is activated, steel_prim and steel_sec should not be additionally activated and the other way round.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18" Type="http://schemas.openxmlformats.org/officeDocument/2006/relationships/ctrlProp" Target="../ctrlProps/ctrlProp28.xml"/><Relationship Id="rId26" Type="http://schemas.openxmlformats.org/officeDocument/2006/relationships/ctrlProp" Target="../ctrlProps/ctrlProp36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31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7" Type="http://schemas.openxmlformats.org/officeDocument/2006/relationships/ctrlProp" Target="../ctrlProps/ctrlProp27.xml"/><Relationship Id="rId25" Type="http://schemas.openxmlformats.org/officeDocument/2006/relationships/ctrlProp" Target="../ctrlProps/ctrlProp3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6.xml"/><Relationship Id="rId20" Type="http://schemas.openxmlformats.org/officeDocument/2006/relationships/ctrlProp" Target="../ctrlProps/ctrlProp30.xml"/><Relationship Id="rId29" Type="http://schemas.openxmlformats.org/officeDocument/2006/relationships/comments" Target="../comments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24" Type="http://schemas.openxmlformats.org/officeDocument/2006/relationships/ctrlProp" Target="../ctrlProps/ctrlProp34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23" Type="http://schemas.openxmlformats.org/officeDocument/2006/relationships/ctrlProp" Target="../ctrlProps/ctrlProp33.xml"/><Relationship Id="rId28" Type="http://schemas.openxmlformats.org/officeDocument/2006/relationships/ctrlProp" Target="../ctrlProps/ctrlProp38.xml"/><Relationship Id="rId10" Type="http://schemas.openxmlformats.org/officeDocument/2006/relationships/ctrlProp" Target="../ctrlProps/ctrlProp20.xml"/><Relationship Id="rId19" Type="http://schemas.openxmlformats.org/officeDocument/2006/relationships/ctrlProp" Target="../ctrlProps/ctrlProp29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22" Type="http://schemas.openxmlformats.org/officeDocument/2006/relationships/ctrlProp" Target="../ctrlProps/ctrlProp32.xml"/><Relationship Id="rId27" Type="http://schemas.openxmlformats.org/officeDocument/2006/relationships/ctrlProp" Target="../ctrlProps/ctrlProp37.xml"/><Relationship Id="rId30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41.xml"/><Relationship Id="rId4" Type="http://schemas.openxmlformats.org/officeDocument/2006/relationships/ctrlProp" Target="../ctrlProps/ctrlProp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zoomScaleNormal="100" workbookViewId="0">
      <selection activeCell="A20" sqref="A20"/>
    </sheetView>
  </sheetViews>
  <sheetFormatPr baseColWidth="10" defaultRowHeight="15" x14ac:dyDescent="0.25"/>
  <cols>
    <col min="1" max="1" width="30.7109375" customWidth="1"/>
    <col min="2" max="2" width="22.42578125" customWidth="1"/>
    <col min="3" max="3" width="21.140625" customWidth="1"/>
    <col min="4" max="4" width="90.7109375" customWidth="1"/>
    <col min="5" max="5" width="17.28515625" customWidth="1"/>
    <col min="6" max="6" width="7" bestFit="1" customWidth="1"/>
    <col min="8" max="8" width="10.5703125" bestFit="1" customWidth="1"/>
    <col min="10" max="10" width="6.140625" bestFit="1" customWidth="1"/>
    <col min="12" max="12" width="27" bestFit="1" customWidth="1"/>
  </cols>
  <sheetData>
    <row r="1" spans="1:5" x14ac:dyDescent="0.25">
      <c r="A1" s="1" t="s">
        <v>2</v>
      </c>
      <c r="B1" s="1" t="s">
        <v>5</v>
      </c>
      <c r="C1" s="1" t="s">
        <v>3</v>
      </c>
      <c r="D1" s="1" t="s">
        <v>6</v>
      </c>
      <c r="E1" s="1" t="s">
        <v>18</v>
      </c>
    </row>
    <row r="2" spans="1:5" x14ac:dyDescent="0.25">
      <c r="A2" t="s">
        <v>1</v>
      </c>
      <c r="B2" t="s">
        <v>7</v>
      </c>
      <c r="C2" s="5">
        <v>2050</v>
      </c>
      <c r="D2" t="s">
        <v>27</v>
      </c>
      <c r="E2" s="5">
        <v>2050</v>
      </c>
    </row>
    <row r="3" spans="1:5" x14ac:dyDescent="0.25">
      <c r="A3" t="s">
        <v>8</v>
      </c>
      <c r="C3" s="5" t="b">
        <v>1</v>
      </c>
      <c r="D3" t="s">
        <v>21</v>
      </c>
      <c r="E3" s="5" t="s">
        <v>19</v>
      </c>
    </row>
    <row r="4" spans="1:5" x14ac:dyDescent="0.25">
      <c r="A4" t="s">
        <v>9</v>
      </c>
      <c r="C4" s="5" t="b">
        <v>0</v>
      </c>
      <c r="D4" t="s">
        <v>22</v>
      </c>
      <c r="E4" s="5" t="s">
        <v>19</v>
      </c>
    </row>
    <row r="5" spans="1:5" x14ac:dyDescent="0.25">
      <c r="A5" t="s">
        <v>10</v>
      </c>
      <c r="C5" s="5" t="b">
        <v>0</v>
      </c>
      <c r="D5" t="s">
        <v>23</v>
      </c>
      <c r="E5" s="5" t="s">
        <v>19</v>
      </c>
    </row>
    <row r="6" spans="1:5" x14ac:dyDescent="0.25">
      <c r="A6" t="s">
        <v>11</v>
      </c>
      <c r="C6" s="5" t="b">
        <v>0</v>
      </c>
      <c r="D6" t="s">
        <v>24</v>
      </c>
      <c r="E6" s="5" t="s">
        <v>19</v>
      </c>
    </row>
    <row r="7" spans="1:5" x14ac:dyDescent="0.25">
      <c r="A7" t="s">
        <v>12</v>
      </c>
      <c r="C7" s="5" t="b">
        <v>0</v>
      </c>
      <c r="D7" t="s">
        <v>106</v>
      </c>
      <c r="E7" s="5" t="s">
        <v>19</v>
      </c>
    </row>
    <row r="8" spans="1:5" x14ac:dyDescent="0.25">
      <c r="A8" t="s">
        <v>13</v>
      </c>
      <c r="C8" s="5" t="b">
        <v>1</v>
      </c>
      <c r="D8" t="s">
        <v>25</v>
      </c>
      <c r="E8" s="5" t="s">
        <v>34</v>
      </c>
    </row>
    <row r="9" spans="1:5" x14ac:dyDescent="0.25">
      <c r="A9" t="s">
        <v>14</v>
      </c>
      <c r="C9" s="5" t="b">
        <v>0</v>
      </c>
      <c r="D9" t="s">
        <v>26</v>
      </c>
      <c r="E9" s="5" t="s">
        <v>34</v>
      </c>
    </row>
    <row r="10" spans="1:5" x14ac:dyDescent="0.25">
      <c r="A10" t="s">
        <v>15</v>
      </c>
      <c r="B10" t="s">
        <v>7</v>
      </c>
      <c r="C10" s="5">
        <v>2016</v>
      </c>
      <c r="D10" t="s">
        <v>20</v>
      </c>
      <c r="E10" s="5">
        <v>2016</v>
      </c>
    </row>
    <row r="11" spans="1:5" x14ac:dyDescent="0.25">
      <c r="A11" s="11" t="s">
        <v>16</v>
      </c>
      <c r="B11" s="11"/>
      <c r="C11" s="11" t="b">
        <v>0</v>
      </c>
      <c r="D11" s="11" t="s">
        <v>37</v>
      </c>
      <c r="E11" s="15" t="s">
        <v>19</v>
      </c>
    </row>
    <row r="12" spans="1:5" x14ac:dyDescent="0.25">
      <c r="A12" t="s">
        <v>89</v>
      </c>
      <c r="C12" t="b">
        <v>0</v>
      </c>
      <c r="D12" t="s">
        <v>90</v>
      </c>
      <c r="E12" s="5" t="s">
        <v>34</v>
      </c>
    </row>
  </sheetData>
  <dataValidations count="1">
    <dataValidation type="list" allowBlank="1" showInputMessage="1" showErrorMessage="1" sqref="C10" xr:uid="{84BA2A67-2FC3-451D-BC2B-A22C158F230C}">
      <formula1>"2016, 2021"</formula1>
    </dataValidation>
  </dataValidations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0</xdr:rowOff>
                  </from>
                  <to>
                    <xdr:col>1</xdr:col>
                    <xdr:colOff>1143000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9525</xdr:colOff>
                    <xdr:row>3</xdr:row>
                    <xdr:rowOff>0</xdr:rowOff>
                  </from>
                  <to>
                    <xdr:col>1</xdr:col>
                    <xdr:colOff>1143000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9525</xdr:colOff>
                    <xdr:row>4</xdr:row>
                    <xdr:rowOff>0</xdr:rowOff>
                  </from>
                  <to>
                    <xdr:col>1</xdr:col>
                    <xdr:colOff>1143000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9525</xdr:colOff>
                    <xdr:row>5</xdr:row>
                    <xdr:rowOff>0</xdr:rowOff>
                  </from>
                  <to>
                    <xdr:col>1</xdr:col>
                    <xdr:colOff>1143000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</xdr:col>
                    <xdr:colOff>9525</xdr:colOff>
                    <xdr:row>6</xdr:row>
                    <xdr:rowOff>0</xdr:rowOff>
                  </from>
                  <to>
                    <xdr:col>1</xdr:col>
                    <xdr:colOff>1143000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</xdr:col>
                    <xdr:colOff>9525</xdr:colOff>
                    <xdr:row>7</xdr:row>
                    <xdr:rowOff>0</xdr:rowOff>
                  </from>
                  <to>
                    <xdr:col>1</xdr:col>
                    <xdr:colOff>1143000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</xdr:col>
                    <xdr:colOff>9525</xdr:colOff>
                    <xdr:row>8</xdr:row>
                    <xdr:rowOff>0</xdr:rowOff>
                  </from>
                  <to>
                    <xdr:col>1</xdr:col>
                    <xdr:colOff>1143000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1" name="Check Box 10">
              <controlPr defaultSize="0" autoFill="0" autoLine="0" autoPict="0">
                <anchor moveWithCells="1">
                  <from>
                    <xdr:col>1</xdr:col>
                    <xdr:colOff>9525</xdr:colOff>
                    <xdr:row>10</xdr:row>
                    <xdr:rowOff>0</xdr:rowOff>
                  </from>
                  <to>
                    <xdr:col>1</xdr:col>
                    <xdr:colOff>1143000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Check Box 13">
              <controlPr defaultSize="0" autoFill="0" autoLine="0" autoPict="0">
                <anchor moveWithCells="1">
                  <from>
                    <xdr:col>1</xdr:col>
                    <xdr:colOff>9525</xdr:colOff>
                    <xdr:row>11</xdr:row>
                    <xdr:rowOff>0</xdr:rowOff>
                  </from>
                  <to>
                    <xdr:col>1</xdr:col>
                    <xdr:colOff>1143000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zoomScaleNormal="100" workbookViewId="0">
      <selection activeCell="D1" sqref="D1"/>
    </sheetView>
  </sheetViews>
  <sheetFormatPr baseColWidth="10" defaultRowHeight="15" x14ac:dyDescent="0.25"/>
  <cols>
    <col min="1" max="1" width="22.140625" customWidth="1"/>
    <col min="2" max="2" width="13.42578125" customWidth="1"/>
  </cols>
  <sheetData>
    <row r="1" spans="1:5" x14ac:dyDescent="0.25">
      <c r="A1" t="s">
        <v>0</v>
      </c>
      <c r="B1" s="2" t="s">
        <v>5</v>
      </c>
      <c r="C1" t="s">
        <v>4</v>
      </c>
      <c r="D1" t="s">
        <v>6</v>
      </c>
      <c r="E1" s="2"/>
    </row>
    <row r="2" spans="1:5" x14ac:dyDescent="0.25">
      <c r="A2" t="s">
        <v>126</v>
      </c>
      <c r="C2" t="b">
        <v>1</v>
      </c>
    </row>
  </sheetData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9525</xdr:rowOff>
                  </from>
                  <to>
                    <xdr:col>1</xdr:col>
                    <xdr:colOff>781050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A7" sqref="A7"/>
    </sheetView>
  </sheetViews>
  <sheetFormatPr baseColWidth="10" defaultRowHeight="15" x14ac:dyDescent="0.25"/>
  <cols>
    <col min="1" max="1" width="52.28515625" customWidth="1"/>
    <col min="2" max="2" width="18.140625" customWidth="1"/>
    <col min="3" max="3" width="16.42578125" bestFit="1" customWidth="1"/>
    <col min="4" max="4" width="104" bestFit="1" customWidth="1"/>
  </cols>
  <sheetData>
    <row r="1" spans="1:5" x14ac:dyDescent="0.25">
      <c r="A1" s="1" t="s">
        <v>2</v>
      </c>
      <c r="B1" s="1" t="s">
        <v>5</v>
      </c>
      <c r="C1" s="1" t="s">
        <v>3</v>
      </c>
      <c r="D1" s="1" t="s">
        <v>6</v>
      </c>
      <c r="E1" s="1" t="s">
        <v>17</v>
      </c>
    </row>
    <row r="2" spans="1:5" x14ac:dyDescent="0.25">
      <c r="A2" t="s">
        <v>38</v>
      </c>
      <c r="B2" t="s">
        <v>7</v>
      </c>
      <c r="C2" t="s">
        <v>129</v>
      </c>
      <c r="D2" t="s">
        <v>82</v>
      </c>
      <c r="E2" t="s">
        <v>116</v>
      </c>
    </row>
    <row r="3" spans="1:5" x14ac:dyDescent="0.25">
      <c r="A3" t="s">
        <v>29</v>
      </c>
      <c r="C3" t="b">
        <v>1</v>
      </c>
      <c r="D3" t="s">
        <v>28</v>
      </c>
      <c r="E3" t="s">
        <v>19</v>
      </c>
    </row>
    <row r="4" spans="1:5" x14ac:dyDescent="0.25">
      <c r="A4" t="s">
        <v>31</v>
      </c>
      <c r="C4" t="b">
        <v>1</v>
      </c>
      <c r="D4" t="s">
        <v>111</v>
      </c>
      <c r="E4" t="s">
        <v>19</v>
      </c>
    </row>
    <row r="5" spans="1:5" x14ac:dyDescent="0.25">
      <c r="A5" t="s">
        <v>30</v>
      </c>
      <c r="C5" t="b">
        <v>1</v>
      </c>
      <c r="D5" t="s">
        <v>35</v>
      </c>
      <c r="E5" t="s">
        <v>19</v>
      </c>
    </row>
    <row r="6" spans="1:5" x14ac:dyDescent="0.25">
      <c r="A6" t="s">
        <v>92</v>
      </c>
      <c r="B6" t="s">
        <v>7</v>
      </c>
      <c r="D6" t="s">
        <v>36</v>
      </c>
      <c r="E6">
        <v>2009</v>
      </c>
    </row>
    <row r="7" spans="1:5" x14ac:dyDescent="0.25">
      <c r="A7" t="s">
        <v>131</v>
      </c>
      <c r="B7" t="s">
        <v>7</v>
      </c>
      <c r="D7" t="s">
        <v>130</v>
      </c>
      <c r="E7">
        <v>2020</v>
      </c>
    </row>
    <row r="8" spans="1:5" x14ac:dyDescent="0.25">
      <c r="A8" s="11" t="s">
        <v>121</v>
      </c>
      <c r="C8" s="11" t="s">
        <v>120</v>
      </c>
      <c r="D8" s="11" t="s">
        <v>119</v>
      </c>
      <c r="E8" s="11" t="s">
        <v>120</v>
      </c>
    </row>
    <row r="9" spans="1:5" x14ac:dyDescent="0.25">
      <c r="A9" s="12" t="s">
        <v>98</v>
      </c>
      <c r="B9" s="14" t="s">
        <v>7</v>
      </c>
      <c r="C9">
        <v>0</v>
      </c>
      <c r="D9" s="13" t="s">
        <v>117</v>
      </c>
      <c r="E9" s="12">
        <v>0</v>
      </c>
    </row>
    <row r="10" spans="1:5" x14ac:dyDescent="0.25">
      <c r="A10" t="s">
        <v>99</v>
      </c>
      <c r="B10" s="9" t="s">
        <v>7</v>
      </c>
      <c r="C10">
        <v>0</v>
      </c>
      <c r="D10" s="2" t="s">
        <v>118</v>
      </c>
      <c r="E10">
        <v>0</v>
      </c>
    </row>
    <row r="11" spans="1:5" x14ac:dyDescent="0.25">
      <c r="A11" t="s">
        <v>100</v>
      </c>
      <c r="B11" s="9" t="s">
        <v>7</v>
      </c>
      <c r="C11">
        <v>0</v>
      </c>
      <c r="D11" s="2" t="s">
        <v>117</v>
      </c>
      <c r="E11">
        <v>0</v>
      </c>
    </row>
    <row r="12" spans="1:5" x14ac:dyDescent="0.25">
      <c r="A12" t="s">
        <v>101</v>
      </c>
      <c r="B12" s="9" t="s">
        <v>7</v>
      </c>
      <c r="C12">
        <v>0</v>
      </c>
      <c r="D12" s="2" t="s">
        <v>118</v>
      </c>
      <c r="E12">
        <v>0</v>
      </c>
    </row>
    <row r="13" spans="1:5" x14ac:dyDescent="0.25">
      <c r="A13" t="s">
        <v>102</v>
      </c>
      <c r="B13" s="9" t="s">
        <v>7</v>
      </c>
      <c r="C13">
        <v>0</v>
      </c>
      <c r="D13" s="2" t="s">
        <v>117</v>
      </c>
      <c r="E13">
        <v>0</v>
      </c>
    </row>
    <row r="14" spans="1:5" x14ac:dyDescent="0.25">
      <c r="A14" t="s">
        <v>103</v>
      </c>
      <c r="B14" s="9" t="s">
        <v>7</v>
      </c>
      <c r="C14">
        <v>0</v>
      </c>
      <c r="D14" s="2" t="s">
        <v>118</v>
      </c>
      <c r="E14">
        <v>0</v>
      </c>
    </row>
    <row r="15" spans="1:5" x14ac:dyDescent="0.25">
      <c r="A15" t="s">
        <v>104</v>
      </c>
      <c r="B15" s="9" t="s">
        <v>7</v>
      </c>
      <c r="C15">
        <v>0</v>
      </c>
      <c r="D15" s="2" t="s">
        <v>117</v>
      </c>
      <c r="E15">
        <v>0</v>
      </c>
    </row>
    <row r="16" spans="1:5" x14ac:dyDescent="0.25">
      <c r="A16" t="s">
        <v>105</v>
      </c>
      <c r="B16" s="9" t="s">
        <v>7</v>
      </c>
      <c r="C16">
        <v>0</v>
      </c>
      <c r="D16" s="2" t="s">
        <v>118</v>
      </c>
      <c r="E16">
        <v>0</v>
      </c>
    </row>
  </sheetData>
  <dataValidations count="2">
    <dataValidation type="list" allowBlank="1" showInputMessage="1" showErrorMessage="1" sqref="C2" xr:uid="{CAA19930-77F1-4227-B636-30E57F3F0A2A}">
      <formula1>"Linear time trend, Linear GDP function, Ln GDP function, Quadratic GDP function, Exponential"</formula1>
    </dataValidation>
    <dataValidation type="list" allowBlank="1" showInputMessage="1" showErrorMessage="1" sqref="C8" xr:uid="{54E12EE0-E020-41B3-A703-D02829F27DF0}">
      <formula1>"exp, lin"</formula1>
    </dataValidation>
  </dataValidations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0" r:id="rId4" name="Check Box 4">
              <controlPr defaultSize="0" autoFill="0" autoLine="0" autoPict="0">
                <anchor moveWithCells="1">
                  <from>
                    <xdr:col>1</xdr:col>
                    <xdr:colOff>9525</xdr:colOff>
                    <xdr:row>4</xdr:row>
                    <xdr:rowOff>0</xdr:rowOff>
                  </from>
                  <to>
                    <xdr:col>1</xdr:col>
                    <xdr:colOff>733425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5" name="Check Box 5">
              <controlPr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171450</xdr:rowOff>
                  </from>
                  <to>
                    <xdr:col>1</xdr:col>
                    <xdr:colOff>733425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6" name="Check Box 6">
              <controlPr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0</xdr:rowOff>
                  </from>
                  <to>
                    <xdr:col>1</xdr:col>
                    <xdr:colOff>733425</xdr:colOff>
                    <xdr:row>3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C615-F815-41AB-BEEF-C7C927BFC703}">
  <dimension ref="A1:J26"/>
  <sheetViews>
    <sheetView tabSelected="1" workbookViewId="0">
      <selection activeCell="E21" sqref="E21:E22"/>
    </sheetView>
  </sheetViews>
  <sheetFormatPr baseColWidth="10" defaultRowHeight="15" x14ac:dyDescent="0.25"/>
  <cols>
    <col min="1" max="1" width="19.28515625" bestFit="1" customWidth="1"/>
    <col min="2" max="2" width="18.28515625" bestFit="1" customWidth="1"/>
    <col min="3" max="3" width="16.5703125" bestFit="1" customWidth="1"/>
    <col min="4" max="4" width="25.7109375" customWidth="1"/>
    <col min="5" max="5" width="21.7109375" customWidth="1"/>
    <col min="6" max="6" width="22.28515625" customWidth="1"/>
    <col min="7" max="7" width="56.5703125" bestFit="1" customWidth="1"/>
    <col min="8" max="8" width="12.85546875" bestFit="1" customWidth="1"/>
    <col min="9" max="9" width="22.42578125" bestFit="1" customWidth="1"/>
    <col min="10" max="10" width="12.85546875" bestFit="1" customWidth="1"/>
  </cols>
  <sheetData>
    <row r="1" spans="1:10" s="1" customFormat="1" ht="45" x14ac:dyDescent="0.25">
      <c r="A1" s="1" t="s">
        <v>74</v>
      </c>
      <c r="B1" s="1" t="s">
        <v>76</v>
      </c>
      <c r="C1" s="3" t="s">
        <v>75</v>
      </c>
      <c r="D1" s="7" t="s">
        <v>73</v>
      </c>
      <c r="E1" s="16" t="s">
        <v>132</v>
      </c>
      <c r="F1" s="7" t="s">
        <v>77</v>
      </c>
      <c r="G1" s="1" t="s">
        <v>78</v>
      </c>
      <c r="H1" s="3" t="s">
        <v>49</v>
      </c>
      <c r="I1" s="7" t="s">
        <v>80</v>
      </c>
      <c r="J1" s="3" t="s">
        <v>49</v>
      </c>
    </row>
    <row r="2" spans="1:10" x14ac:dyDescent="0.25">
      <c r="A2" t="s">
        <v>68</v>
      </c>
      <c r="B2" s="1"/>
      <c r="C2" s="4" t="b">
        <v>0</v>
      </c>
      <c r="D2">
        <v>0</v>
      </c>
      <c r="E2" s="4"/>
      <c r="F2" s="9" t="s">
        <v>7</v>
      </c>
      <c r="G2" t="s">
        <v>81</v>
      </c>
      <c r="H2" s="4" t="s">
        <v>7</v>
      </c>
      <c r="I2">
        <v>0</v>
      </c>
      <c r="J2" s="4">
        <v>0</v>
      </c>
    </row>
    <row r="3" spans="1:10" x14ac:dyDescent="0.25">
      <c r="A3" t="s">
        <v>69</v>
      </c>
      <c r="B3" s="1"/>
      <c r="C3" s="4" t="b">
        <v>0</v>
      </c>
      <c r="D3">
        <v>0</v>
      </c>
      <c r="E3" s="4"/>
      <c r="F3" s="9">
        <f>100-F5</f>
        <v>0</v>
      </c>
      <c r="G3" t="s">
        <v>110</v>
      </c>
      <c r="H3" s="4">
        <v>0</v>
      </c>
      <c r="I3">
        <v>0</v>
      </c>
      <c r="J3" s="4">
        <v>0</v>
      </c>
    </row>
    <row r="4" spans="1:10" x14ac:dyDescent="0.25">
      <c r="A4" t="s">
        <v>67</v>
      </c>
      <c r="C4" s="4" t="b">
        <v>0</v>
      </c>
      <c r="D4">
        <v>0</v>
      </c>
      <c r="E4" s="4"/>
      <c r="F4" s="9" t="s">
        <v>7</v>
      </c>
      <c r="G4" t="s">
        <v>81</v>
      </c>
      <c r="H4" s="4" t="s">
        <v>7</v>
      </c>
      <c r="I4">
        <v>0</v>
      </c>
      <c r="J4" s="4">
        <v>0</v>
      </c>
    </row>
    <row r="5" spans="1:10" x14ac:dyDescent="0.25">
      <c r="A5" t="s">
        <v>48</v>
      </c>
      <c r="C5" s="4" t="b">
        <v>0</v>
      </c>
      <c r="D5">
        <v>0</v>
      </c>
      <c r="E5" s="4"/>
      <c r="F5">
        <v>100</v>
      </c>
      <c r="G5" t="s">
        <v>109</v>
      </c>
      <c r="H5" s="4">
        <v>100</v>
      </c>
      <c r="I5">
        <v>0</v>
      </c>
      <c r="J5" s="4">
        <v>0</v>
      </c>
    </row>
    <row r="6" spans="1:10" x14ac:dyDescent="0.25">
      <c r="A6" t="s">
        <v>39</v>
      </c>
      <c r="C6" s="4" t="b">
        <v>1</v>
      </c>
      <c r="D6">
        <v>0</v>
      </c>
      <c r="E6" s="4"/>
      <c r="F6" s="9" t="s">
        <v>7</v>
      </c>
      <c r="G6" t="s">
        <v>81</v>
      </c>
      <c r="H6" s="4" t="s">
        <v>7</v>
      </c>
      <c r="I6">
        <v>2</v>
      </c>
      <c r="J6" s="4">
        <v>0</v>
      </c>
    </row>
    <row r="7" spans="1:10" x14ac:dyDescent="0.25">
      <c r="A7" t="s">
        <v>40</v>
      </c>
      <c r="C7" s="4" t="b">
        <v>1</v>
      </c>
      <c r="D7">
        <v>0</v>
      </c>
      <c r="E7" s="4"/>
      <c r="F7" s="9" t="s">
        <v>7</v>
      </c>
      <c r="G7" t="s">
        <v>81</v>
      </c>
      <c r="H7" s="4" t="s">
        <v>7</v>
      </c>
      <c r="I7">
        <v>4.2</v>
      </c>
      <c r="J7" s="4">
        <v>0</v>
      </c>
    </row>
    <row r="8" spans="1:10" x14ac:dyDescent="0.25">
      <c r="A8" t="s">
        <v>71</v>
      </c>
      <c r="C8" s="4" t="b">
        <v>1</v>
      </c>
      <c r="D8">
        <v>0</v>
      </c>
      <c r="E8" s="4"/>
      <c r="F8" s="9">
        <v>70</v>
      </c>
      <c r="H8" s="4" t="s">
        <v>7</v>
      </c>
      <c r="I8">
        <v>3.5</v>
      </c>
      <c r="J8" s="4">
        <v>0</v>
      </c>
    </row>
    <row r="9" spans="1:10" x14ac:dyDescent="0.25">
      <c r="A9" t="s">
        <v>72</v>
      </c>
      <c r="C9" s="4" t="b">
        <v>1</v>
      </c>
      <c r="D9">
        <v>0</v>
      </c>
      <c r="E9" s="4"/>
      <c r="F9" s="9">
        <f>100-F8</f>
        <v>30</v>
      </c>
      <c r="H9" s="4" t="s">
        <v>7</v>
      </c>
      <c r="I9">
        <v>2.85</v>
      </c>
      <c r="J9" s="4">
        <v>0</v>
      </c>
    </row>
    <row r="10" spans="1:10" x14ac:dyDescent="0.25">
      <c r="A10" t="s">
        <v>70</v>
      </c>
      <c r="C10" s="4" t="b">
        <v>0</v>
      </c>
      <c r="D10">
        <v>0</v>
      </c>
      <c r="E10" s="4"/>
      <c r="F10" s="9" t="s">
        <v>7</v>
      </c>
      <c r="G10" t="s">
        <v>81</v>
      </c>
      <c r="H10" s="4" t="s">
        <v>7</v>
      </c>
      <c r="I10">
        <v>0</v>
      </c>
      <c r="J10" s="4">
        <v>0</v>
      </c>
    </row>
    <row r="11" spans="1:10" x14ac:dyDescent="0.25">
      <c r="A11" t="s">
        <v>46</v>
      </c>
      <c r="C11" s="4" t="b">
        <v>0</v>
      </c>
      <c r="D11">
        <v>0</v>
      </c>
      <c r="E11" s="4"/>
      <c r="F11">
        <v>100</v>
      </c>
      <c r="G11" t="s">
        <v>79</v>
      </c>
      <c r="H11" s="4">
        <v>100</v>
      </c>
      <c r="I11">
        <v>0</v>
      </c>
      <c r="J11" s="4">
        <v>0</v>
      </c>
    </row>
    <row r="12" spans="1:10" x14ac:dyDescent="0.25">
      <c r="A12" t="s">
        <v>41</v>
      </c>
      <c r="C12" s="4" t="b">
        <v>0</v>
      </c>
      <c r="D12">
        <v>0</v>
      </c>
      <c r="E12" s="4"/>
      <c r="F12">
        <v>100</v>
      </c>
      <c r="G12" t="s">
        <v>79</v>
      </c>
      <c r="H12" s="4">
        <v>100</v>
      </c>
      <c r="I12">
        <v>0</v>
      </c>
      <c r="J12" s="4">
        <v>0</v>
      </c>
    </row>
    <row r="13" spans="1:10" x14ac:dyDescent="0.25">
      <c r="A13" t="s">
        <v>42</v>
      </c>
      <c r="C13" s="4" t="b">
        <v>0</v>
      </c>
      <c r="D13">
        <v>0</v>
      </c>
      <c r="E13" s="4"/>
      <c r="F13">
        <v>100</v>
      </c>
      <c r="G13" t="s">
        <v>79</v>
      </c>
      <c r="H13" s="4">
        <v>100</v>
      </c>
      <c r="I13">
        <v>0</v>
      </c>
      <c r="J13" s="4">
        <v>0</v>
      </c>
    </row>
    <row r="14" spans="1:10" x14ac:dyDescent="0.25">
      <c r="A14" t="s">
        <v>43</v>
      </c>
      <c r="C14" s="4" t="b">
        <v>0</v>
      </c>
      <c r="D14">
        <v>0</v>
      </c>
      <c r="E14" s="4"/>
      <c r="F14">
        <v>100</v>
      </c>
      <c r="G14" t="s">
        <v>79</v>
      </c>
      <c r="H14" s="4">
        <v>100</v>
      </c>
      <c r="I14">
        <v>0</v>
      </c>
      <c r="J14" s="4">
        <v>0</v>
      </c>
    </row>
    <row r="15" spans="1:10" x14ac:dyDescent="0.25">
      <c r="A15" t="s">
        <v>127</v>
      </c>
      <c r="C15" s="4" t="b">
        <v>1</v>
      </c>
      <c r="D15">
        <v>0</v>
      </c>
      <c r="E15" s="4">
        <v>6.4399999999999999E-2</v>
      </c>
      <c r="F15">
        <v>100</v>
      </c>
      <c r="G15" t="s">
        <v>79</v>
      </c>
      <c r="H15" s="4">
        <v>100</v>
      </c>
      <c r="I15">
        <v>0.3</v>
      </c>
      <c r="J15" s="4">
        <v>0</v>
      </c>
    </row>
    <row r="16" spans="1:10" x14ac:dyDescent="0.25">
      <c r="A16" t="s">
        <v>107</v>
      </c>
      <c r="C16" s="4" t="b">
        <v>1</v>
      </c>
      <c r="D16">
        <v>0</v>
      </c>
      <c r="E16" s="4">
        <v>2.9000000000000001E-2</v>
      </c>
      <c r="F16">
        <v>100</v>
      </c>
      <c r="G16" t="s">
        <v>79</v>
      </c>
      <c r="H16" s="4">
        <v>100</v>
      </c>
      <c r="I16">
        <v>0.3</v>
      </c>
      <c r="J16" s="4">
        <v>0</v>
      </c>
    </row>
    <row r="17" spans="1:10" x14ac:dyDescent="0.25">
      <c r="A17" t="s">
        <v>63</v>
      </c>
      <c r="C17" s="4" t="b">
        <v>0</v>
      </c>
      <c r="D17">
        <v>0</v>
      </c>
      <c r="E17" s="4"/>
      <c r="F17" s="9">
        <f>100-F11</f>
        <v>0</v>
      </c>
      <c r="G17" t="s">
        <v>91</v>
      </c>
      <c r="H17" s="4">
        <v>0</v>
      </c>
      <c r="I17">
        <v>0</v>
      </c>
      <c r="J17" s="4">
        <v>0</v>
      </c>
    </row>
    <row r="18" spans="1:10" x14ac:dyDescent="0.25">
      <c r="A18" t="s">
        <v>64</v>
      </c>
      <c r="C18" s="4" t="b">
        <v>0</v>
      </c>
      <c r="D18">
        <v>0</v>
      </c>
      <c r="E18" s="4"/>
      <c r="F18" s="9">
        <f>100-F12</f>
        <v>0</v>
      </c>
      <c r="G18" t="s">
        <v>91</v>
      </c>
      <c r="H18" s="4">
        <v>0</v>
      </c>
      <c r="I18">
        <v>0</v>
      </c>
      <c r="J18" s="4">
        <v>0</v>
      </c>
    </row>
    <row r="19" spans="1:10" x14ac:dyDescent="0.25">
      <c r="A19" t="s">
        <v>65</v>
      </c>
      <c r="C19" s="4" t="b">
        <v>0</v>
      </c>
      <c r="D19">
        <v>0</v>
      </c>
      <c r="E19" s="4"/>
      <c r="F19" s="9">
        <f>100-F13</f>
        <v>0</v>
      </c>
      <c r="G19" t="s">
        <v>91</v>
      </c>
      <c r="H19" s="4">
        <v>0</v>
      </c>
      <c r="I19">
        <v>0</v>
      </c>
      <c r="J19" s="4">
        <v>0</v>
      </c>
    </row>
    <row r="20" spans="1:10" x14ac:dyDescent="0.25">
      <c r="A20" t="s">
        <v>66</v>
      </c>
      <c r="C20" s="4" t="b">
        <v>0</v>
      </c>
      <c r="D20">
        <v>0</v>
      </c>
      <c r="E20" s="4"/>
      <c r="F20" s="9">
        <f>100-F14</f>
        <v>0</v>
      </c>
      <c r="G20" t="s">
        <v>91</v>
      </c>
      <c r="H20" s="4">
        <v>0</v>
      </c>
      <c r="I20">
        <v>0</v>
      </c>
      <c r="J20" s="4">
        <v>0</v>
      </c>
    </row>
    <row r="21" spans="1:10" x14ac:dyDescent="0.25">
      <c r="A21" t="s">
        <v>128</v>
      </c>
      <c r="C21" s="4" t="b">
        <v>1</v>
      </c>
      <c r="D21">
        <v>0</v>
      </c>
      <c r="E21" s="4">
        <f>E15</f>
        <v>6.4399999999999999E-2</v>
      </c>
      <c r="F21" s="9">
        <f>100-F15</f>
        <v>0</v>
      </c>
      <c r="G21" t="s">
        <v>91</v>
      </c>
      <c r="H21" s="4">
        <v>0</v>
      </c>
      <c r="I21">
        <v>0.3</v>
      </c>
      <c r="J21" s="4">
        <v>0</v>
      </c>
    </row>
    <row r="22" spans="1:10" x14ac:dyDescent="0.25">
      <c r="A22" t="s">
        <v>108</v>
      </c>
      <c r="C22" s="4" t="b">
        <v>1</v>
      </c>
      <c r="D22">
        <f t="shared" ref="D22" si="0">D16</f>
        <v>0</v>
      </c>
      <c r="E22" s="4">
        <f>E16</f>
        <v>2.9000000000000001E-2</v>
      </c>
      <c r="F22" s="9">
        <f t="shared" ref="F22" si="1">100-F16</f>
        <v>0</v>
      </c>
      <c r="G22" t="s">
        <v>91</v>
      </c>
      <c r="H22" s="4">
        <v>0</v>
      </c>
      <c r="I22">
        <v>0.3</v>
      </c>
      <c r="J22" s="4">
        <v>0</v>
      </c>
    </row>
    <row r="23" spans="1:10" x14ac:dyDescent="0.25">
      <c r="A23" t="s">
        <v>44</v>
      </c>
      <c r="C23" s="4" t="b">
        <v>0</v>
      </c>
      <c r="D23">
        <v>0</v>
      </c>
      <c r="E23" s="4"/>
      <c r="F23" s="9" t="s">
        <v>7</v>
      </c>
      <c r="G23" t="s">
        <v>81</v>
      </c>
      <c r="H23" s="4" t="s">
        <v>7</v>
      </c>
      <c r="I23">
        <v>0</v>
      </c>
      <c r="J23" s="4">
        <v>0</v>
      </c>
    </row>
    <row r="24" spans="1:10" x14ac:dyDescent="0.25">
      <c r="A24" t="s">
        <v>45</v>
      </c>
      <c r="C24" s="4" t="b">
        <v>0</v>
      </c>
      <c r="D24">
        <v>0</v>
      </c>
      <c r="E24" s="4"/>
      <c r="F24" s="9" t="s">
        <v>7</v>
      </c>
      <c r="G24" t="s">
        <v>81</v>
      </c>
      <c r="H24" s="4" t="s">
        <v>7</v>
      </c>
      <c r="I24">
        <v>0</v>
      </c>
      <c r="J24" s="4">
        <v>0</v>
      </c>
    </row>
    <row r="25" spans="1:10" x14ac:dyDescent="0.25">
      <c r="A25" t="s">
        <v>47</v>
      </c>
      <c r="C25" s="4" t="b">
        <v>0</v>
      </c>
      <c r="D25">
        <v>0</v>
      </c>
      <c r="E25" s="4"/>
      <c r="F25" s="9" t="s">
        <v>7</v>
      </c>
      <c r="G25" t="s">
        <v>81</v>
      </c>
      <c r="H25" s="4" t="s">
        <v>7</v>
      </c>
      <c r="I25">
        <v>0</v>
      </c>
      <c r="J25" s="4">
        <v>0</v>
      </c>
    </row>
    <row r="26" spans="1:10" ht="15.75" thickBot="1" x14ac:dyDescent="0.3">
      <c r="A26" s="6" t="s">
        <v>83</v>
      </c>
      <c r="B26" s="6"/>
      <c r="C26" s="8" t="b">
        <v>0</v>
      </c>
      <c r="D26" s="6">
        <v>0.7</v>
      </c>
      <c r="E26" s="8"/>
      <c r="F26" s="10" t="s">
        <v>7</v>
      </c>
      <c r="G26" s="6" t="s">
        <v>81</v>
      </c>
      <c r="H26" s="8" t="s">
        <v>7</v>
      </c>
      <c r="I26" s="6">
        <v>0</v>
      </c>
      <c r="J26" s="8">
        <v>0</v>
      </c>
    </row>
  </sheetData>
  <protectedRanges>
    <protectedRange sqref="F17:F22" name="Linked values"/>
  </protectedRanges>
  <dataValidations count="6">
    <dataValidation allowBlank="1" showInputMessage="1" showErrorMessage="1" promptTitle="Activate subsectors" prompt="Activate calculation and forecast of industrial subsectors._x000a_Unspecified subsector is automaticaly activated." sqref="B1" xr:uid="{949AC99B-8518-4C69-BDE9-CBF83CDC4BE9}"/>
    <dataValidation allowBlank="1" showInputMessage="1" showErrorMessage="1" promptTitle="Show status" prompt="Shows status of industrial subsector activation" sqref="C1" xr:uid="{D39270FC-1E17-4BF1-A784-B322B986174F}"/>
    <dataValidation allowBlank="1" showInputMessage="1" showErrorMessage="1" promptTitle="Production quantity development" prompt="User defined expectation for the yearly development from last available historical year or pregiven value till the forecasted year._x000a_To be applied with exponential function of production quantity extrapolation or if not enough data are available." sqref="D1" xr:uid="{B759DEDC-FFC7-4AED-960F-A7EC37EB9FCC}"/>
    <dataValidation allowBlank="1" showInputMessage="1" showErrorMessage="1" promptTitle="Technology substitution" prompt="User defined expectation for the forecasted year" sqref="F1" xr:uid="{5BCC82F2-3048-4B59-9F52-5232CB2E59D7}"/>
    <dataValidation allowBlank="1" showInputMessage="1" showErrorMessage="1" promptTitle="Prod. efficiency development" prompt="User defined expectation for the yearly change of the efficiency (applied on the pregiven value)_x000a_Applies only if the Trend calculation for specific energy requirements is disactivated." sqref="I1" xr:uid="{EA236F94-8106-431A-8B80-F2F9E2C16CB9}"/>
    <dataValidation allowBlank="1" showInputMessage="1" showErrorMessage="1" promptTitle="Unit:" prompt="If calculation of the production quantity per capita is selected (see IND_general), then the unit is ton per capita._x000a_Otherwise, the unit is ton." sqref="E1" xr:uid="{C2BCDC4E-2C12-4FC3-BF03-7951C5B34506}"/>
  </dataValidations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561975</xdr:rowOff>
                  </from>
                  <to>
                    <xdr:col>1</xdr:col>
                    <xdr:colOff>733425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1</xdr:col>
                    <xdr:colOff>19050</xdr:colOff>
                    <xdr:row>3</xdr:row>
                    <xdr:rowOff>161925</xdr:rowOff>
                  </from>
                  <to>
                    <xdr:col>1</xdr:col>
                    <xdr:colOff>742950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1</xdr:col>
                    <xdr:colOff>19050</xdr:colOff>
                    <xdr:row>4</xdr:row>
                    <xdr:rowOff>161925</xdr:rowOff>
                  </from>
                  <to>
                    <xdr:col>1</xdr:col>
                    <xdr:colOff>742950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1</xdr:col>
                    <xdr:colOff>19050</xdr:colOff>
                    <xdr:row>5</xdr:row>
                    <xdr:rowOff>161925</xdr:rowOff>
                  </from>
                  <to>
                    <xdr:col>1</xdr:col>
                    <xdr:colOff>742950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1</xdr:col>
                    <xdr:colOff>19050</xdr:colOff>
                    <xdr:row>6</xdr:row>
                    <xdr:rowOff>161925</xdr:rowOff>
                  </from>
                  <to>
                    <xdr:col>1</xdr:col>
                    <xdr:colOff>742950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161925</xdr:rowOff>
                  </from>
                  <to>
                    <xdr:col>1</xdr:col>
                    <xdr:colOff>742950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9</xdr:row>
                    <xdr:rowOff>9525</xdr:rowOff>
                  </from>
                  <to>
                    <xdr:col>1</xdr:col>
                    <xdr:colOff>742950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0</xdr:rowOff>
                  </from>
                  <to>
                    <xdr:col>1</xdr:col>
                    <xdr:colOff>742950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161925</xdr:rowOff>
                  </from>
                  <to>
                    <xdr:col>1</xdr:col>
                    <xdr:colOff>742950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>
                  <from>
                    <xdr:col>1</xdr:col>
                    <xdr:colOff>19050</xdr:colOff>
                    <xdr:row>12</xdr:row>
                    <xdr:rowOff>161925</xdr:rowOff>
                  </from>
                  <to>
                    <xdr:col>1</xdr:col>
                    <xdr:colOff>742950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>
                  <from>
                    <xdr:col>1</xdr:col>
                    <xdr:colOff>19050</xdr:colOff>
                    <xdr:row>14</xdr:row>
                    <xdr:rowOff>180975</xdr:rowOff>
                  </from>
                  <to>
                    <xdr:col>1</xdr:col>
                    <xdr:colOff>742950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>
                  <from>
                    <xdr:col>1</xdr:col>
                    <xdr:colOff>19050</xdr:colOff>
                    <xdr:row>21</xdr:row>
                    <xdr:rowOff>161925</xdr:rowOff>
                  </from>
                  <to>
                    <xdr:col>1</xdr:col>
                    <xdr:colOff>742950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>
                  <from>
                    <xdr:col>1</xdr:col>
                    <xdr:colOff>19050</xdr:colOff>
                    <xdr:row>22</xdr:row>
                    <xdr:rowOff>161925</xdr:rowOff>
                  </from>
                  <to>
                    <xdr:col>1</xdr:col>
                    <xdr:colOff>742950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17" name="Check Box 30">
              <controlPr defaultSize="0" autoFill="0" autoLine="0" autoPict="0">
                <anchor moveWithCells="1">
                  <from>
                    <xdr:col>1</xdr:col>
                    <xdr:colOff>19050</xdr:colOff>
                    <xdr:row>24</xdr:row>
                    <xdr:rowOff>0</xdr:rowOff>
                  </from>
                  <to>
                    <xdr:col>1</xdr:col>
                    <xdr:colOff>742950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18" name="Check Box 31">
              <controlPr defaultSize="0" autoFill="0" autoLine="0" autoPict="0">
                <anchor moveWithCells="1">
                  <from>
                    <xdr:col>1</xdr:col>
                    <xdr:colOff>19050</xdr:colOff>
                    <xdr:row>9</xdr:row>
                    <xdr:rowOff>161925</xdr:rowOff>
                  </from>
                  <to>
                    <xdr:col>1</xdr:col>
                    <xdr:colOff>742950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19" name="Check Box 32">
              <controlPr defaultSize="0" autoFill="0" autoLine="0" autoPict="0">
                <anchor moveWithCells="1">
                  <from>
                    <xdr:col>1</xdr:col>
                    <xdr:colOff>19050</xdr:colOff>
                    <xdr:row>15</xdr:row>
                    <xdr:rowOff>161925</xdr:rowOff>
                  </from>
                  <to>
                    <xdr:col>1</xdr:col>
                    <xdr:colOff>742950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20" name="Check Box 33">
              <controlPr defaultSize="0" autoFill="0" autoLine="0" autoPict="0">
                <anchor moveWithCells="1">
                  <from>
                    <xdr:col>1</xdr:col>
                    <xdr:colOff>19050</xdr:colOff>
                    <xdr:row>18</xdr:row>
                    <xdr:rowOff>161925</xdr:rowOff>
                  </from>
                  <to>
                    <xdr:col>1</xdr:col>
                    <xdr:colOff>742950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21" name="Check Box 34">
              <controlPr defaultSize="0" autoFill="0" autoLine="0" autoPict="0">
                <anchor moveWithCells="1">
                  <from>
                    <xdr:col>1</xdr:col>
                    <xdr:colOff>19050</xdr:colOff>
                    <xdr:row>20</xdr:row>
                    <xdr:rowOff>161925</xdr:rowOff>
                  </from>
                  <to>
                    <xdr:col>1</xdr:col>
                    <xdr:colOff>742950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22" name="Check Box 35">
              <controlPr defaultSize="0" autoFill="0" autoLine="0" autoPict="0">
                <anchor moveWithCells="1">
                  <from>
                    <xdr:col>1</xdr:col>
                    <xdr:colOff>19050</xdr:colOff>
                    <xdr:row>17</xdr:row>
                    <xdr:rowOff>161925</xdr:rowOff>
                  </from>
                  <to>
                    <xdr:col>1</xdr:col>
                    <xdr:colOff>742950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23" name="Check Box 36">
              <controlPr defaultSize="0" autoFill="0" autoLine="0" autoPict="0">
                <anchor moveWithCells="1">
                  <from>
                    <xdr:col>1</xdr:col>
                    <xdr:colOff>19050</xdr:colOff>
                    <xdr:row>16</xdr:row>
                    <xdr:rowOff>161925</xdr:rowOff>
                  </from>
                  <to>
                    <xdr:col>1</xdr:col>
                    <xdr:colOff>742950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24" name="Check Box 39">
              <controlPr defaultSize="0" autoFill="0" autoLine="0" autoPict="0">
                <anchor moveWithCells="1">
                  <from>
                    <xdr:col>1</xdr:col>
                    <xdr:colOff>19050</xdr:colOff>
                    <xdr:row>1</xdr:row>
                    <xdr:rowOff>161925</xdr:rowOff>
                  </from>
                  <to>
                    <xdr:col>1</xdr:col>
                    <xdr:colOff>742950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25" name="Check Box 41">
              <controlPr defaultSize="0" autoFill="0" autoLine="0" autoPict="0">
                <anchor moveWithCells="1">
                  <from>
                    <xdr:col>1</xdr:col>
                    <xdr:colOff>19050</xdr:colOff>
                    <xdr:row>2</xdr:row>
                    <xdr:rowOff>161925</xdr:rowOff>
                  </from>
                  <to>
                    <xdr:col>1</xdr:col>
                    <xdr:colOff>742950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26" name="Check Box 43">
              <controlPr defaultSize="0" autoFill="0" autoLine="0" autoPict="0">
                <anchor moveWithCells="1">
                  <from>
                    <xdr:col>1</xdr:col>
                    <xdr:colOff>9525</xdr:colOff>
                    <xdr:row>13</xdr:row>
                    <xdr:rowOff>161925</xdr:rowOff>
                  </from>
                  <to>
                    <xdr:col>1</xdr:col>
                    <xdr:colOff>733425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8" r:id="rId27" name="Check Box 44">
              <controlPr defaultSize="0" autoFill="0" autoLine="0" autoPict="0">
                <anchor moveWithCells="1">
                  <from>
                    <xdr:col>1</xdr:col>
                    <xdr:colOff>19050</xdr:colOff>
                    <xdr:row>19</xdr:row>
                    <xdr:rowOff>171450</xdr:rowOff>
                  </from>
                  <to>
                    <xdr:col>1</xdr:col>
                    <xdr:colOff>742950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9" r:id="rId28" name="Check Box 45">
              <controlPr defaultSize="0" autoFill="0" autoLine="0" autoPict="0">
                <anchor moveWithCells="1">
                  <from>
                    <xdr:col>1</xdr:col>
                    <xdr:colOff>19050</xdr:colOff>
                    <xdr:row>25</xdr:row>
                    <xdr:rowOff>0</xdr:rowOff>
                  </from>
                  <to>
                    <xdr:col>1</xdr:col>
                    <xdr:colOff>742950</xdr:colOff>
                    <xdr:row>26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D6" sqref="D6"/>
    </sheetView>
  </sheetViews>
  <sheetFormatPr baseColWidth="10" defaultRowHeight="15" x14ac:dyDescent="0.25"/>
  <cols>
    <col min="1" max="1" width="53.85546875" bestFit="1" customWidth="1"/>
    <col min="3" max="3" width="43.85546875" bestFit="1" customWidth="1"/>
  </cols>
  <sheetData>
    <row r="1" spans="1:4" s="1" customFormat="1" x14ac:dyDescent="0.25">
      <c r="A1" s="1" t="s">
        <v>2</v>
      </c>
      <c r="B1" s="1" t="s">
        <v>3</v>
      </c>
      <c r="C1" s="1" t="s">
        <v>6</v>
      </c>
      <c r="D1" s="1" t="s">
        <v>17</v>
      </c>
    </row>
    <row r="2" spans="1:4" x14ac:dyDescent="0.25">
      <c r="A2" t="s">
        <v>52</v>
      </c>
      <c r="B2">
        <v>0.45</v>
      </c>
      <c r="C2" t="s">
        <v>115</v>
      </c>
      <c r="D2">
        <v>0.45</v>
      </c>
    </row>
    <row r="3" spans="1:4" x14ac:dyDescent="0.25">
      <c r="A3" t="s">
        <v>51</v>
      </c>
      <c r="B3">
        <v>0.83115000000000006</v>
      </c>
      <c r="C3" t="s">
        <v>114</v>
      </c>
      <c r="D3">
        <v>0.83115000000000006</v>
      </c>
    </row>
    <row r="4" spans="1:4" x14ac:dyDescent="0.25">
      <c r="A4" t="s">
        <v>122</v>
      </c>
      <c r="B4" t="s">
        <v>120</v>
      </c>
      <c r="C4" t="s">
        <v>119</v>
      </c>
      <c r="D4" t="s">
        <v>120</v>
      </c>
    </row>
    <row r="5" spans="1:4" x14ac:dyDescent="0.25">
      <c r="A5" t="s">
        <v>124</v>
      </c>
      <c r="B5" t="s">
        <v>120</v>
      </c>
      <c r="C5" t="s">
        <v>119</v>
      </c>
      <c r="D5" t="s">
        <v>120</v>
      </c>
    </row>
    <row r="6" spans="1:4" x14ac:dyDescent="0.25">
      <c r="A6" t="s">
        <v>123</v>
      </c>
      <c r="B6" t="s">
        <v>125</v>
      </c>
      <c r="C6" t="s">
        <v>119</v>
      </c>
      <c r="D6" t="s">
        <v>125</v>
      </c>
    </row>
    <row r="7" spans="1:4" ht="60" x14ac:dyDescent="0.25">
      <c r="A7" s="12" t="s">
        <v>93</v>
      </c>
      <c r="B7" s="12">
        <v>0</v>
      </c>
      <c r="C7" s="13" t="s">
        <v>112</v>
      </c>
      <c r="D7" s="12">
        <v>0</v>
      </c>
    </row>
    <row r="8" spans="1:4" ht="60" x14ac:dyDescent="0.25">
      <c r="A8" t="s">
        <v>94</v>
      </c>
      <c r="B8">
        <v>0</v>
      </c>
      <c r="C8" s="2" t="s">
        <v>113</v>
      </c>
      <c r="D8">
        <v>0</v>
      </c>
    </row>
    <row r="9" spans="1:4" ht="60" x14ac:dyDescent="0.25">
      <c r="A9" t="s">
        <v>95</v>
      </c>
      <c r="B9">
        <v>0</v>
      </c>
      <c r="C9" s="2" t="s">
        <v>113</v>
      </c>
      <c r="D9">
        <v>0</v>
      </c>
    </row>
  </sheetData>
  <dataValidations count="1">
    <dataValidation type="list" allowBlank="1" showInputMessage="1" showErrorMessage="1" sqref="B4:B6" xr:uid="{9DF83229-76D4-446C-86A2-45EFE3C801CF}">
      <formula1>"exp, lin"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C4" sqref="C4"/>
    </sheetView>
  </sheetViews>
  <sheetFormatPr baseColWidth="10" defaultRowHeight="15" x14ac:dyDescent="0.25"/>
  <cols>
    <col min="1" max="1" width="40" bestFit="1" customWidth="1"/>
    <col min="2" max="2" width="13.5703125" customWidth="1"/>
    <col min="4" max="4" width="66.5703125" customWidth="1"/>
  </cols>
  <sheetData>
    <row r="1" spans="1:5" x14ac:dyDescent="0.25">
      <c r="A1" s="1" t="s">
        <v>2</v>
      </c>
      <c r="B1" s="1" t="s">
        <v>5</v>
      </c>
      <c r="C1" s="1" t="s">
        <v>3</v>
      </c>
      <c r="D1" s="1" t="s">
        <v>6</v>
      </c>
      <c r="E1" s="1" t="s">
        <v>17</v>
      </c>
    </row>
    <row r="2" spans="1:5" x14ac:dyDescent="0.25">
      <c r="A2" t="s">
        <v>56</v>
      </c>
      <c r="B2" t="s">
        <v>7</v>
      </c>
      <c r="C2" t="s">
        <v>57</v>
      </c>
      <c r="D2" t="s">
        <v>58</v>
      </c>
      <c r="E2" t="s">
        <v>57</v>
      </c>
    </row>
    <row r="3" spans="1:5" ht="30" x14ac:dyDescent="0.25">
      <c r="A3" t="s">
        <v>54</v>
      </c>
      <c r="B3" t="s">
        <v>7</v>
      </c>
      <c r="C3" t="s">
        <v>50</v>
      </c>
      <c r="D3" s="2" t="s">
        <v>85</v>
      </c>
      <c r="E3" t="s">
        <v>50</v>
      </c>
    </row>
    <row r="4" spans="1:5" ht="30" x14ac:dyDescent="0.25">
      <c r="A4" t="s">
        <v>88</v>
      </c>
      <c r="B4" t="s">
        <v>7</v>
      </c>
      <c r="C4" t="s">
        <v>87</v>
      </c>
      <c r="D4" s="2" t="s">
        <v>86</v>
      </c>
      <c r="E4" t="s">
        <v>87</v>
      </c>
    </row>
    <row r="5" spans="1:5" x14ac:dyDescent="0.25">
      <c r="A5" t="s">
        <v>55</v>
      </c>
      <c r="C5" t="b">
        <v>0</v>
      </c>
      <c r="D5" t="s">
        <v>84</v>
      </c>
      <c r="E5" t="s">
        <v>34</v>
      </c>
    </row>
    <row r="6" spans="1:5" x14ac:dyDescent="0.25">
      <c r="A6" t="s">
        <v>61</v>
      </c>
      <c r="B6" t="s">
        <v>7</v>
      </c>
      <c r="C6">
        <v>2018</v>
      </c>
      <c r="D6" t="s">
        <v>62</v>
      </c>
      <c r="E6">
        <v>2018</v>
      </c>
    </row>
  </sheetData>
  <dataValidations count="3">
    <dataValidation type="list" allowBlank="1" showInputMessage="1" showErrorMessage="1" sqref="C3" xr:uid="{5DD9D0F3-63B8-4578-A879-BF425D592E0D}">
      <formula1>"Constant, Trend"</formula1>
    </dataValidation>
    <dataValidation type="list" allowBlank="1" showInputMessage="1" showErrorMessage="1" sqref="C2" xr:uid="{0747A8CC-F8D0-40A7-B6AB-CCB851968FCE}">
      <formula1>"Historical, User-defined"</formula1>
    </dataValidation>
    <dataValidation type="list" allowBlank="1" showInputMessage="1" showErrorMessage="1" sqref="C4" xr:uid="{3B862B64-2C45-41A7-9DA2-4B8CC62B5B98}">
      <formula1>"Reference, User-defined"</formula1>
    </dataValidation>
  </dataValidations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3" name="Check Box 2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1</xdr:col>
                    <xdr:colOff>771525</xdr:colOff>
                    <xdr:row>4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D9" sqref="D9"/>
    </sheetView>
  </sheetViews>
  <sheetFormatPr baseColWidth="10" defaultRowHeight="15" x14ac:dyDescent="0.25"/>
  <cols>
    <col min="1" max="1" width="46.28515625" bestFit="1" customWidth="1"/>
    <col min="4" max="4" width="70.7109375" customWidth="1"/>
  </cols>
  <sheetData>
    <row r="1" spans="1:5" x14ac:dyDescent="0.25">
      <c r="A1" s="1" t="s">
        <v>2</v>
      </c>
      <c r="B1" s="1" t="s">
        <v>5</v>
      </c>
      <c r="C1" s="1" t="s">
        <v>3</v>
      </c>
      <c r="D1" s="1" t="s">
        <v>6</v>
      </c>
      <c r="E1" s="1" t="s">
        <v>17</v>
      </c>
    </row>
    <row r="2" spans="1:5" x14ac:dyDescent="0.25">
      <c r="A2" t="s">
        <v>31</v>
      </c>
      <c r="C2" t="b">
        <v>0</v>
      </c>
      <c r="E2" t="s">
        <v>34</v>
      </c>
    </row>
    <row r="3" spans="1:5" x14ac:dyDescent="0.25">
      <c r="A3" t="s">
        <v>59</v>
      </c>
      <c r="C3" t="b">
        <v>0</v>
      </c>
      <c r="D3" t="s">
        <v>60</v>
      </c>
      <c r="E3" t="s">
        <v>34</v>
      </c>
    </row>
    <row r="4" spans="1:5" x14ac:dyDescent="0.25">
      <c r="A4" t="s">
        <v>92</v>
      </c>
      <c r="B4" t="s">
        <v>7</v>
      </c>
      <c r="D4" t="s">
        <v>36</v>
      </c>
    </row>
    <row r="5" spans="1:5" x14ac:dyDescent="0.25">
      <c r="A5" t="s">
        <v>32</v>
      </c>
      <c r="B5" t="s">
        <v>7</v>
      </c>
      <c r="C5">
        <v>2019</v>
      </c>
      <c r="D5" t="s">
        <v>33</v>
      </c>
      <c r="E5">
        <v>2019</v>
      </c>
    </row>
    <row r="6" spans="1:5" x14ac:dyDescent="0.25">
      <c r="A6" t="s">
        <v>52</v>
      </c>
      <c r="B6" s="11" t="s">
        <v>7</v>
      </c>
      <c r="C6">
        <v>0.5</v>
      </c>
      <c r="D6" t="s">
        <v>53</v>
      </c>
      <c r="E6">
        <v>0.5</v>
      </c>
    </row>
    <row r="7" spans="1:5" ht="30" x14ac:dyDescent="0.25">
      <c r="A7" s="12" t="s">
        <v>96</v>
      </c>
      <c r="B7" t="s">
        <v>7</v>
      </c>
      <c r="C7" s="14">
        <v>0</v>
      </c>
      <c r="D7" s="13" t="s">
        <v>112</v>
      </c>
      <c r="E7" s="12">
        <v>0</v>
      </c>
    </row>
    <row r="8" spans="1:5" ht="30" x14ac:dyDescent="0.25">
      <c r="A8" t="s">
        <v>97</v>
      </c>
      <c r="B8" t="s">
        <v>7</v>
      </c>
      <c r="C8" s="9">
        <v>0</v>
      </c>
      <c r="D8" s="2" t="s">
        <v>113</v>
      </c>
      <c r="E8">
        <v>0</v>
      </c>
    </row>
  </sheetData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171450</xdr:rowOff>
                  </from>
                  <to>
                    <xdr:col>1</xdr:col>
                    <xdr:colOff>733425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171450</xdr:rowOff>
                  </from>
                  <to>
                    <xdr:col>1</xdr:col>
                    <xdr:colOff>733425</xdr:colOff>
                    <xdr:row>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GeneralSettings</vt:lpstr>
      <vt:lpstr>Countries</vt:lpstr>
      <vt:lpstr>IND_general</vt:lpstr>
      <vt:lpstr>IND_subsectors</vt:lpstr>
      <vt:lpstr>HH</vt:lpstr>
      <vt:lpstr>TRA</vt:lpstr>
      <vt:lpstr>CTS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Breuning, Larissa</dc:creator>
  <cp:lastModifiedBy>Kerekes, Andelka</cp:lastModifiedBy>
  <dcterms:created xsi:type="dcterms:W3CDTF">2020-07-27T11:51:23Z</dcterms:created>
  <dcterms:modified xsi:type="dcterms:W3CDTF">2025-02-06T12:26:52Z</dcterms:modified>
</cp:coreProperties>
</file>