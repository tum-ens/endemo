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filterPrivacy="1"/>
  <xr:revisionPtr revIDLastSave="0" documentId="13_ncr:1_{9E260696-9596-4B80-821D-7D94B41F2E97}" xr6:coauthVersionLast="47" xr6:coauthVersionMax="47" xr10:uidLastSave="{00000000-0000-0000-0000-000000000000}"/>
  <bookViews>
    <workbookView xWindow="-120" yWindow="-120" windowWidth="29040" windowHeight="17640" xr2:uid="{00000000-000D-0000-FFFF-FFFF00000000}"/>
  </bookViews>
  <sheets>
    <sheet name="Data" sheetId="1" r:id="rId1"/>
    <sheet name="Inf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4" i="1" l="1"/>
  <c r="D4" i="1"/>
  <c r="E4" i="1"/>
  <c r="F4" i="1"/>
  <c r="G4" i="1"/>
  <c r="H4" i="1"/>
  <c r="I4" i="1"/>
  <c r="J4" i="1"/>
  <c r="K4" i="1"/>
  <c r="L4" i="1"/>
  <c r="M4" i="1"/>
  <c r="N4" i="1"/>
  <c r="O4" i="1"/>
  <c r="P4" i="1"/>
  <c r="Q4" i="1"/>
  <c r="R4" i="1"/>
  <c r="B4" i="1"/>
</calcChain>
</file>

<file path=xl/sharedStrings.xml><?xml version="1.0" encoding="utf-8"?>
<sst xmlns="http://schemas.openxmlformats.org/spreadsheetml/2006/main" count="21" uniqueCount="21">
  <si>
    <t>Country</t>
  </si>
  <si>
    <t>[1]</t>
  </si>
  <si>
    <t>A1</t>
  </si>
  <si>
    <t>Unit:</t>
  </si>
  <si>
    <t>Description:</t>
  </si>
  <si>
    <t>World</t>
  </si>
  <si>
    <t>World-comparably</t>
  </si>
  <si>
    <t>World-const 2015 USD</t>
  </si>
  <si>
    <t>GDP per capita in constant 2015 USD</t>
  </si>
  <si>
    <t>constant 2015 USD</t>
  </si>
  <si>
    <t>SSP Database (Shared Socioeconomic Pathways)</t>
  </si>
  <si>
    <t>https://tntcat.iiasa.ac.at/SspDb/dsd?Action=htmlpage&amp;page=10</t>
  </si>
  <si>
    <t>23.11.2023</t>
  </si>
  <si>
    <t>Keywan Riahi, Detlef P. van Vuuren, Elmar Kriegler, Jae Edmonds, Brian C. O’Neill, Shinichiro Fujimori, Nico Bauer, Katherine Calvin, Rob Dellink, Oliver Fricko, Wolfgang Lutz, Alexander Popp, Jesus Crespo Cuaresma, Samir KC, Marian Leimbach, Leiwen Jiang, Tom Kram, Shilpa Rao, Johannes Emmerling, Kristie Ebi, Tomoko Hasegawa, Petr Havlík, Florian Humpenöder, Lara Aleluia Da Silva, Steve Smith, Elke Stehfest, Valentina Bosetti, Jiyong Eom, David Gernaat, Toshihiko Masui, Joeri Rogelj, Jessica Strefler, Laurent Drouet, Volker Krey, Gunnar Luderer, Mathijs Harmsen, Kiyoshi Takahashi, Lavinia Baumstark, Jonathan C. Doelman, Mikiko Kainuma, Zbigniew Klimont, Giacomo Marangoni, Hermann Lotze-Campen, Michael Obersteiner, Andrzej Tabeau, Massimo Tavoni.</t>
  </si>
  <si>
    <r>
      <t>The Shared Socioeconomic Pathways and their energy, land use, and greenhouse gas emissions implications: An overview</t>
    </r>
    <r>
      <rPr>
        <sz val="11"/>
        <color theme="1"/>
        <rFont val="Calibri"/>
        <family val="2"/>
        <scheme val="minor"/>
      </rPr>
      <t>, Global Environmental Change, Volume 42, Pages 153-168, 2017,</t>
    </r>
  </si>
  <si>
    <t>ISSN 0959-3780, DOI:110.1016/j.gloenvcha.2016.05.009</t>
  </si>
  <si>
    <r>
      <t>SSP2:</t>
    </r>
    <r>
      <rPr>
        <sz val="11"/>
        <color theme="1"/>
        <rFont val="Calibri"/>
        <family val="2"/>
        <scheme val="minor"/>
      </rPr>
      <t xml:space="preserve"> Oliver Fricko, Petr Havlik, Joeri Rogelj, Zbigniew Klimont, Mykola Gusti, Nils Johnson, Peter Kolp, Manfred Strubegger, Hugo Valin, Markus Amann, Tatiana Ermolieva, Nicklas Forsell, Mario Herrero, Chris Heyes, Georg Kindermann, Volker Krey, David L. McCollum, Michael Obersteiner, Shonali Pachauri, Shilpa Rao, Erwin Schmid, Wolfgang Schoepp, Keywan Riahi, </t>
    </r>
    <r>
      <rPr>
        <b/>
        <sz val="11"/>
        <color theme="1"/>
        <rFont val="Calibri"/>
        <family val="2"/>
        <scheme val="minor"/>
      </rPr>
      <t>The marker quantification of the Shared Socioeconomic Pathway 2: A middle-of-the-road scenario for the 21st century</t>
    </r>
    <r>
      <rPr>
        <sz val="11"/>
        <color theme="1"/>
        <rFont val="Calibri"/>
        <family val="2"/>
        <scheme val="minor"/>
      </rPr>
      <t>, Global Environmental Change, Volume 42, 2017, Pages 251-267,</t>
    </r>
  </si>
  <si>
    <t>ISSN 0959-3780, DOI:10.1016/j.gloenvcha.2016.06.004</t>
  </si>
  <si>
    <t>Source/ Assumptions:</t>
  </si>
  <si>
    <t>own estimation based on [1]</t>
  </si>
  <si>
    <t>Disclaimer: modification of the data, see Assumptions, result in non-responsibility of the Publisher/Authors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</si>
</sst>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u/>
      <sz val="11"/>
      <color theme="10"/>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indexed="44"/>
        <bgColor indexed="64"/>
      </patternFill>
    </fill>
    <fill>
      <patternFill patternType="solid">
        <fgColor theme="7" tint="0.79998168889431442"/>
        <bgColor indexed="64"/>
      </patternFill>
    </fill>
  </fills>
  <borders count="2">
    <border>
      <left/>
      <right/>
      <top/>
      <bottom/>
      <diagonal/>
    </border>
    <border>
      <left style="thin">
        <color indexed="8"/>
      </left>
      <right style="thin">
        <color indexed="8"/>
      </right>
      <top style="thin">
        <color indexed="8"/>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2" fillId="0" borderId="0" xfId="1"/>
    <xf numFmtId="0" fontId="0" fillId="3" borderId="0" xfId="0" applyFill="1"/>
    <xf numFmtId="0" fontId="1" fillId="2" borderId="1" xfId="0" applyFont="1" applyFill="1" applyBorder="1"/>
    <xf numFmtId="0" fontId="1" fillId="0" borderId="0" xfId="0" applyFont="1"/>
    <xf numFmtId="0" fontId="4"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doi.org/10.1016/j.gloenvcha.2016.06.004" TargetMode="External"/><Relationship Id="rId1" Type="http://schemas.openxmlformats.org/officeDocument/2006/relationships/hyperlink" Target="https://doi.org/10.1016/j.gloenvcha.2016.05.0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
  <sheetViews>
    <sheetView tabSelected="1" workbookViewId="0">
      <selection activeCell="C12" sqref="C12"/>
    </sheetView>
  </sheetViews>
  <sheetFormatPr baseColWidth="10" defaultColWidth="9.140625" defaultRowHeight="15" x14ac:dyDescent="0.25"/>
  <cols>
    <col min="1" max="1" width="25.42578125" customWidth="1"/>
    <col min="2" max="4" width="9.7109375" bestFit="1" customWidth="1"/>
    <col min="5" max="5" width="12" bestFit="1" customWidth="1"/>
  </cols>
  <sheetData>
    <row r="1" spans="1:18" x14ac:dyDescent="0.25">
      <c r="A1" s="3" t="s">
        <v>0</v>
      </c>
      <c r="B1" s="2">
        <v>2020</v>
      </c>
      <c r="C1">
        <v>2025</v>
      </c>
      <c r="D1">
        <v>2030</v>
      </c>
      <c r="E1">
        <v>2035</v>
      </c>
      <c r="F1">
        <v>2040</v>
      </c>
      <c r="G1">
        <v>2045</v>
      </c>
      <c r="H1">
        <v>2050</v>
      </c>
      <c r="I1">
        <v>2055</v>
      </c>
      <c r="J1">
        <v>2060</v>
      </c>
      <c r="K1">
        <v>2065</v>
      </c>
      <c r="L1">
        <v>2070</v>
      </c>
      <c r="M1">
        <v>2075</v>
      </c>
      <c r="N1">
        <v>2080</v>
      </c>
      <c r="O1">
        <v>2085</v>
      </c>
      <c r="P1">
        <v>2090</v>
      </c>
      <c r="Q1">
        <v>2095</v>
      </c>
      <c r="R1">
        <v>2100</v>
      </c>
    </row>
    <row r="2" spans="1:18" x14ac:dyDescent="0.25">
      <c r="A2" s="4" t="s">
        <v>6</v>
      </c>
      <c r="B2">
        <v>1</v>
      </c>
      <c r="C2">
        <v>1.1527323116727206</v>
      </c>
      <c r="D2">
        <v>1.3017520123520829</v>
      </c>
      <c r="E2">
        <v>1.4444236377103865</v>
      </c>
      <c r="F2">
        <v>1.5906429916060569</v>
      </c>
      <c r="G2">
        <v>1.7415202602327295</v>
      </c>
      <c r="H2">
        <v>1.8960026587007608</v>
      </c>
      <c r="I2">
        <v>2.0612796184818758</v>
      </c>
      <c r="J2">
        <v>2.2467078170689239</v>
      </c>
      <c r="K2">
        <v>2.4527287671178835</v>
      </c>
      <c r="L2">
        <v>2.6772278549009951</v>
      </c>
      <c r="M2">
        <v>2.9195465539463967</v>
      </c>
      <c r="N2">
        <v>3.1843217142252498</v>
      </c>
      <c r="O2">
        <v>3.4716523567317412</v>
      </c>
      <c r="P2">
        <v>3.7843066512625945</v>
      </c>
      <c r="Q2">
        <v>4.1232970472747104</v>
      </c>
      <c r="R2">
        <v>4.4872218847753276</v>
      </c>
    </row>
    <row r="3" spans="1:18" x14ac:dyDescent="0.25">
      <c r="A3" t="s">
        <v>7</v>
      </c>
      <c r="B3">
        <v>10548.90422341098</v>
      </c>
    </row>
    <row r="4" spans="1:18" x14ac:dyDescent="0.25">
      <c r="A4" t="s">
        <v>5</v>
      </c>
      <c r="B4">
        <f>$B$3*B2</f>
        <v>10548.90422341098</v>
      </c>
      <c r="C4">
        <f t="shared" ref="C4:R4" si="0">$B$3*C2</f>
        <v>12160.062751066665</v>
      </c>
      <c r="D4">
        <f t="shared" si="0"/>
        <v>13732.05730093463</v>
      </c>
      <c r="E4">
        <f t="shared" si="0"/>
        <v>15237.086612237748</v>
      </c>
      <c r="F4">
        <f t="shared" si="0"/>
        <v>16779.54057209221</v>
      </c>
      <c r="G4">
        <f t="shared" si="0"/>
        <v>18371.130428324828</v>
      </c>
      <c r="H4">
        <f t="shared" si="0"/>
        <v>20000.750453966903</v>
      </c>
      <c r="I4">
        <f t="shared" si="0"/>
        <v>21744.241273034433</v>
      </c>
      <c r="J4">
        <f t="shared" si="0"/>
        <v>23700.305580248834</v>
      </c>
      <c r="K4">
        <f t="shared" si="0"/>
        <v>25873.600850331448</v>
      </c>
      <c r="L4">
        <f t="shared" si="0"/>
        <v>28241.820225598625</v>
      </c>
      <c r="M4">
        <f t="shared" si="0"/>
        <v>30798.016973370119</v>
      </c>
      <c r="N4">
        <f t="shared" si="0"/>
        <v>33591.104779890033</v>
      </c>
      <c r="O4">
        <f t="shared" si="0"/>
        <v>36622.128208142145</v>
      </c>
      <c r="P4">
        <f t="shared" si="0"/>
        <v>39920.288416186246</v>
      </c>
      <c r="Q4">
        <f t="shared" si="0"/>
        <v>43496.265636374213</v>
      </c>
      <c r="R4">
        <f t="shared" si="0"/>
        <v>47335.27389168863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selection activeCell="E7" sqref="E7"/>
    </sheetView>
  </sheetViews>
  <sheetFormatPr baseColWidth="10" defaultRowHeight="15" x14ac:dyDescent="0.25"/>
  <cols>
    <col min="1" max="1" width="21.5703125" bestFit="1" customWidth="1"/>
    <col min="2" max="2" width="17.7109375" customWidth="1"/>
    <col min="3" max="3" width="60.5703125" bestFit="1" customWidth="1"/>
    <col min="4" max="4" width="30" customWidth="1"/>
    <col min="5" max="5" width="51" customWidth="1"/>
    <col min="6" max="6" width="25.42578125" customWidth="1"/>
    <col min="8" max="8" width="9.28515625" bestFit="1" customWidth="1"/>
  </cols>
  <sheetData>
    <row r="1" spans="1:5" x14ac:dyDescent="0.25">
      <c r="A1" t="s">
        <v>4</v>
      </c>
      <c r="B1" t="s">
        <v>8</v>
      </c>
    </row>
    <row r="3" spans="1:5" x14ac:dyDescent="0.25">
      <c r="A3" t="s">
        <v>3</v>
      </c>
      <c r="B3" t="s">
        <v>9</v>
      </c>
    </row>
    <row r="5" spans="1:5" x14ac:dyDescent="0.25">
      <c r="A5" t="s">
        <v>18</v>
      </c>
      <c r="B5" t="s">
        <v>2</v>
      </c>
      <c r="C5" t="s">
        <v>19</v>
      </c>
    </row>
    <row r="7" spans="1:5" x14ac:dyDescent="0.25">
      <c r="B7" t="s">
        <v>1</v>
      </c>
      <c r="C7" t="s">
        <v>10</v>
      </c>
      <c r="D7" t="s">
        <v>11</v>
      </c>
      <c r="E7" t="s">
        <v>12</v>
      </c>
    </row>
    <row r="8" spans="1:5" x14ac:dyDescent="0.25">
      <c r="C8" t="s">
        <v>13</v>
      </c>
    </row>
    <row r="9" spans="1:5" x14ac:dyDescent="0.25">
      <c r="C9" s="5" t="s">
        <v>14</v>
      </c>
    </row>
    <row r="10" spans="1:5" x14ac:dyDescent="0.25">
      <c r="C10" s="1" t="s">
        <v>15</v>
      </c>
    </row>
    <row r="12" spans="1:5" x14ac:dyDescent="0.25">
      <c r="C12" s="5" t="s">
        <v>16</v>
      </c>
    </row>
    <row r="13" spans="1:5" x14ac:dyDescent="0.25">
      <c r="C13" s="1" t="s">
        <v>17</v>
      </c>
    </row>
    <row r="15" spans="1:5" x14ac:dyDescent="0.25">
      <c r="A15" t="s">
        <v>20</v>
      </c>
    </row>
  </sheetData>
  <phoneticPr fontId="3" type="noConversion"/>
  <hyperlinks>
    <hyperlink ref="C10" r:id="rId1" display="https://doi.org/10.1016/j.gloenvcha.2016.05.009" xr:uid="{68C338DE-61D9-48F8-BA51-98D51EBC76D0}"/>
    <hyperlink ref="C13" r:id="rId2" display="https://doi.org/10.1016/j.gloenvcha.2016.06.004" xr:uid="{B0EAD1C3-B96E-4F82-8868-61C00BA19C15}"/>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Data</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2025-02-05T10:06:29Z</dcterms:modified>
</cp:coreProperties>
</file>