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N:\Projekte\IPP\08 Daten\Nachfrage\Nachfragemodell\endemo\input\traffic\"/>
    </mc:Choice>
  </mc:AlternateContent>
  <bookViews>
    <workbookView xWindow="-15" yWindow="6180" windowWidth="25230" windowHeight="6240" tabRatio="702" activeTab="3"/>
  </bookViews>
  <sheets>
    <sheet name="Abbildung 1" sheetId="93" r:id="rId1"/>
    <sheet name="Tabelle 1" sheetId="97" r:id="rId2"/>
    <sheet name="Abbildung 2" sheetId="91" r:id="rId3"/>
    <sheet name="Abbildung 3" sheetId="101" r:id="rId4"/>
    <sheet name="Abbildung 4" sheetId="80" r:id="rId5"/>
    <sheet name="Karte 1" sheetId="102" r:id="rId6"/>
    <sheet name="Abbildung 5" sheetId="99" r:id="rId7"/>
    <sheet name="Tabelle 2" sheetId="100" r:id="rId8"/>
  </sheets>
  <definedNames>
    <definedName name="_xlnm.Print_Area" localSheetId="6">'Abbildung 5'!$C$9:$S$63</definedName>
    <definedName name="_xlnm.Print_Area" localSheetId="7">'Tabelle 2'!$C$6:$L$40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5" i="80" l="1"/>
  <c r="F24" i="80"/>
  <c r="F23" i="80"/>
  <c r="F22" i="80"/>
  <c r="F21" i="80"/>
  <c r="F20" i="80"/>
  <c r="F19" i="80"/>
  <c r="F18" i="80"/>
  <c r="F17" i="80"/>
  <c r="F16" i="80"/>
  <c r="F15" i="80"/>
  <c r="F14" i="80"/>
  <c r="F13" i="80"/>
  <c r="F12" i="80"/>
  <c r="F11" i="80"/>
</calcChain>
</file>

<file path=xl/sharedStrings.xml><?xml version="1.0" encoding="utf-8"?>
<sst xmlns="http://schemas.openxmlformats.org/spreadsheetml/2006/main" count="331" uniqueCount="144">
  <si>
    <t>Verkehr</t>
  </si>
  <si>
    <t>Personenverkehr</t>
  </si>
  <si>
    <t>Abbildung 1: Aufteilung des Personenbinnenverkehrs auf die verschiedenen Verkehrsträger („Modal Split“), 2016</t>
  </si>
  <si>
    <t>(in % der gesamten pkm im Binnenverkehr)</t>
  </si>
  <si>
    <t>EU-28 (¹)</t>
  </si>
  <si>
    <t>Portugal (¹)</t>
  </si>
  <si>
    <t>Malta (¹)</t>
  </si>
  <si>
    <t>:</t>
  </si>
  <si>
    <t>Hinweis: ohne motorisierte Zweiräder. Zypern, Malta und Island: Züge nicht zutreffend.</t>
  </si>
  <si>
    <t>(¹) Enthält Schätzwerte oder vorläufige Daten.</t>
  </si>
  <si>
    <r>
      <rPr>
        <i/>
        <sz val="9"/>
        <color indexed="62"/>
        <rFont val="Arial"/>
        <family val="2"/>
      </rPr>
      <t>Quelle:</t>
    </r>
    <r>
      <rPr>
        <sz val="9"/>
        <color indexed="62"/>
        <rFont val="Arial"/>
        <family val="2"/>
      </rPr>
      <t xml:space="preserve"> </t>
    </r>
    <r>
      <rPr>
        <sz val="9"/>
        <color indexed="62"/>
        <rFont val="Arial"/>
        <family val="2"/>
      </rPr>
      <t>Eurostat (Online-Datencode:</t>
    </r>
    <r>
      <rPr>
        <sz val="9"/>
        <color indexed="62"/>
        <rFont val="Arial"/>
        <family val="2"/>
      </rPr>
      <t xml:space="preserve"> </t>
    </r>
    <r>
      <rPr>
        <sz val="9"/>
        <color indexed="62"/>
        <rFont val="Arial"/>
        <family val="2"/>
      </rPr>
      <t>tran_hv_psmod)</t>
    </r>
  </si>
  <si>
    <t>Bookmark:</t>
  </si>
  <si>
    <t>http://appsso.eurostat.ec.europa.eu/nui/show.do?query=BOOKMARK_DS-060946_QID_7D40D119_UID_-3F171EB0&amp;layout=TIME,C,X,0;VEHICLE,L,X,1;GEO,L,Y,0;UNIT,L,Z,0;INDICATORS,C,Z,1;&amp;zSelection=DS-060946INDICATORS,OBS_FLAG;DS-060946UNIT,PC;&amp;rankName1=UNIT_1_2_-1_2&amp;rankName2=INDICATORS_1_2_-1_2&amp;rankName3=TIME_1_0_0_0&amp;rankName4=VEHICLE_1_2_1_0&amp;rankName5=GEO_1_2_0_1&amp;sortC=ASC_-1_FIRST&amp;rStp=&amp;cStp=&amp;rDCh=&amp;cDCh=&amp;rDM=true&amp;cDM=true&amp;footnes=false&amp;empty=false&amp;wai=false&amp;time_mode=ROLLING&amp;time_most_recent=true&amp;lang=EN&amp;cfo=%23%23%23%2C%23%23%23.%23%23%23</t>
  </si>
  <si>
    <t xml:space="preserve">Personenverkehr </t>
  </si>
  <si>
    <t>Tabelle 1: Eisenbahnpersonenverkehr nach Verkehrsmittel, 2016 und 2017</t>
  </si>
  <si>
    <t>EU-28</t>
  </si>
  <si>
    <t>:c</t>
  </si>
  <si>
    <t>–</t>
  </si>
  <si>
    <t>Malta</t>
  </si>
  <si>
    <t>Portugal</t>
  </si>
  <si>
    <t>Montenegro (¹)</t>
  </si>
  <si>
    <t>(¹) Gesamtwerte sind die Summe der vierteljährlichen Daten.</t>
  </si>
  <si>
    <t>Innerstaatlich</t>
  </si>
  <si>
    <t>Grenzüberschreitend</t>
  </si>
  <si>
    <t>Insgesamt</t>
  </si>
  <si>
    <t>Figure 3: Rail passenger transport, 2014 (¹)</t>
  </si>
  <si>
    <t>(passenger-km per inhabitant)</t>
  </si>
  <si>
    <t>Abbildung 2: Eisenbahnpersonenverkehr nach Verkehrsmittel, 2017</t>
  </si>
  <si>
    <t>(in pkm pro Einwohner)</t>
  </si>
  <si>
    <t>START</t>
  </si>
  <si>
    <t>http://appsso.eurostat.ec.europa.eu/nui/show.do?query=BOOKMARK_DS-054722_QID_FD41F20_UID_-3F171EB0&amp;layout=INDIC_DE,L,X,0;TIME,C,X,1;GEO,L,Y,0;INDICATORS,C,Z,0;&amp;zSelection=DS-054722INDICATORS,OBS_FLAG;&amp;rankName1=INDICATORS_1_2_-1_2&amp;rankName2=INDIC-DE_1_2_0_0&amp;rankName3=TIME_1_0_1_0&amp;rankName4=GEO_1_2_0_1&amp;rStp=&amp;cStp=&amp;rDCh=&amp;cDCh=&amp;rDM=true&amp;cDM=true&amp;footnes=false&amp;empty=false&amp;wai=false&amp;time_mode=ROLLING&amp;time_most_recent=true&amp;lang=EN&amp;cfo=%23%23%23%2C%23%23%23.%23%23%23</t>
  </si>
  <si>
    <t>Abbildung 3: Personenluftverkehr nach Verkehrsmittel, 2017</t>
  </si>
  <si>
    <t>(in Mio. Fluggästen)</t>
  </si>
  <si>
    <r>
      <rPr>
        <i/>
        <sz val="9"/>
        <color indexed="62"/>
        <rFont val="Arial"/>
        <family val="2"/>
      </rPr>
      <t>Quelle:</t>
    </r>
    <r>
      <rPr>
        <sz val="9"/>
        <color indexed="62"/>
        <rFont val="Arial"/>
        <family val="2"/>
      </rPr>
      <t xml:space="preserve"> </t>
    </r>
    <r>
      <rPr>
        <sz val="9"/>
        <color indexed="62"/>
        <rFont val="Arial"/>
        <family val="2"/>
      </rPr>
      <t>Eurostat (Online-Datencode:</t>
    </r>
    <r>
      <rPr>
        <sz val="9"/>
        <color indexed="62"/>
        <rFont val="Arial"/>
        <family val="2"/>
      </rPr>
      <t xml:space="preserve"> </t>
    </r>
    <r>
      <rPr>
        <sz val="9"/>
        <color indexed="62"/>
        <rFont val="Arial"/>
        <family val="2"/>
      </rPr>
      <t>avia_paoc)</t>
    </r>
  </si>
  <si>
    <t>Binnenverkehr</t>
  </si>
  <si>
    <t>internationaler Verkehr Intra-EU-28</t>
  </si>
  <si>
    <t>internationaler Verkehr Extra-EU-28</t>
  </si>
  <si>
    <t>Abbildung 4: Die 15 größten Flughäfen, EU-28, 2017</t>
  </si>
  <si>
    <t>London Heathrow (UK)</t>
  </si>
  <si>
    <t>Paris Charles-de-Gaulle (FR)</t>
  </si>
  <si>
    <t>Amsterdam Schiphol (NL)</t>
  </si>
  <si>
    <t>Frankfurt (DE)</t>
  </si>
  <si>
    <t>Adolfo Suárez Madrid-Barajas (ES)</t>
  </si>
  <si>
    <t>Barcelona (ES)</t>
  </si>
  <si>
    <t>London Gatwick (UK)</t>
  </si>
  <si>
    <t>München F.J. Strauss (DE)</t>
  </si>
  <si>
    <t>Roma Fiumicino (IT)</t>
  </si>
  <si>
    <t>Paris Orly (FR)</t>
  </si>
  <si>
    <t>Dublin (IE)</t>
  </si>
  <si>
    <t>København Kastrup (DK)</t>
  </si>
  <si>
    <t>Palma de Mallorca (ES)</t>
  </si>
  <si>
    <t>Manchester (UK)</t>
  </si>
  <si>
    <t>Lisboa (PT)</t>
  </si>
  <si>
    <r>
      <rPr>
        <i/>
        <sz val="9"/>
        <color indexed="62"/>
        <rFont val="Arial"/>
        <family val="2"/>
      </rPr>
      <t>Quelle:</t>
    </r>
    <r>
      <rPr>
        <sz val="9"/>
        <color indexed="62"/>
        <rFont val="Arial"/>
        <family val="2"/>
      </rPr>
      <t xml:space="preserve"> </t>
    </r>
    <r>
      <rPr>
        <sz val="9"/>
        <color indexed="62"/>
        <rFont val="Arial"/>
        <family val="2"/>
      </rPr>
      <t>Eurostat (Online-Datencode:</t>
    </r>
    <r>
      <rPr>
        <sz val="9"/>
        <color indexed="62"/>
        <rFont val="Arial"/>
        <family val="2"/>
      </rPr>
      <t xml:space="preserve"> </t>
    </r>
    <r>
      <rPr>
        <sz val="9"/>
        <color indexed="62"/>
        <rFont val="Arial"/>
        <family val="2"/>
      </rPr>
      <t>avia_paoa)</t>
    </r>
  </si>
  <si>
    <t>http://appsso.eurostat.ec.europa.eu/nui/show.do?query=BOOKMARK_DS-054016_QID_-2DB5335C_UID_-3F171EB0&amp;layout=TIME,C,X,0;TRA_COV,L,X,1;REP_AIRP,L,Y,0;UNIT,C,Z,0;SCHEDULE,L,Z,1;TRA_MEAS,C,Z,2;INDICATORS,C,Z,3;&amp;zSelection=DS-054016SCHEDULE,TOT;DS-054016TRA_MEAS,PAS_CRD;DS-054016UNIT,PAS;DS-054016INDICATORS,OBS_FLAG;&amp;rankName1=UNIT_1_2_-1_2&amp;rankName2=INDICATORS_1_2_-1_2&amp;rankName3=SCHEDULE_1_2_-1_2&amp;rankName4=TRA-MEAS_1_2_-1_2&amp;rankName5=TIME_1_0_0_0&amp;rankName6=TRA-COV_1_2_1_0&amp;rankName7=REP-AIRP_1_0_0_1&amp;sortR=ASC_-1_FIRST&amp;sortC=ASC_-1_FIRST&amp;rStp=&amp;cStp=&amp;rDCh=&amp;cDCh=&amp;rDM=true&amp;cDM=true&amp;footnes=false&amp;empty=false&amp;wai=false&amp;time_mode=NONE&amp;time_most_recent=false&amp;lang=EN&amp;cfo=%23%23%23.%23%23%23%2C%23%23%23</t>
  </si>
  <si>
    <t>Karte 1: Personenluftverkehr, außerhalb der EU-28, 2017</t>
  </si>
  <si>
    <t>Legende</t>
  </si>
  <si>
    <t>Anteil der Weltregion am Luftverkehr außerhalb der EU</t>
  </si>
  <si>
    <t>Beförderte Fluggäste (in 1000 Starts und Landungen)</t>
  </si>
  <si>
    <t>Jährliches Wachstum, 2016-2017</t>
  </si>
  <si>
    <t>Nordamerika</t>
  </si>
  <si>
    <t>Zentralamerika und Karibik</t>
  </si>
  <si>
    <t>Südamerika</t>
  </si>
  <si>
    <t>Sonstiges europäisches Drittland (nicht-EU-Land)</t>
  </si>
  <si>
    <t>Nordafrika</t>
  </si>
  <si>
    <t>Restliches Afrika</t>
  </si>
  <si>
    <t>Asiatische Republiken der früheren UdSSR</t>
  </si>
  <si>
    <t>Naher und mittlerer Osten</t>
  </si>
  <si>
    <t>Indischer Subkontinent</t>
  </si>
  <si>
    <t>Ferner Osten</t>
  </si>
  <si>
    <t>Australasien, Südsee und Antarktis</t>
  </si>
  <si>
    <r>
      <rPr>
        <i/>
        <sz val="9"/>
        <rFont val="Arial"/>
        <family val="2"/>
      </rPr>
      <t>Quelle: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Eurostat (Online Datencode: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avia_paexcc)</t>
    </r>
  </si>
  <si>
    <t>Abbildung 5: Ein- und ausgeschiffte Fahrgäste im Seeverkehr, alle Häfen in der EU-28, 2002-2017</t>
  </si>
  <si>
    <t>(Millionen Fluggäste)</t>
  </si>
  <si>
    <t>Tabelle 2: Ein- und ausgeschiffte Fahrgäste im Seeverkehr, alle Häfen, 2014-2017</t>
  </si>
  <si>
    <t>(in tausend Fahrgästen)</t>
  </si>
  <si>
    <t/>
  </si>
  <si>
    <t>Montenegro</t>
  </si>
  <si>
    <t>(¹) Ohne Kreuzfahrtpassagiere.</t>
  </si>
  <si>
    <t>(²) Nur internationaler Personenseeverkehr.</t>
  </si>
  <si>
    <t>Nach innen</t>
  </si>
  <si>
    <t>Nach außen</t>
  </si>
  <si>
    <t>Kreuzfahrt</t>
  </si>
  <si>
    <t>Keine Kreuzfahrt</t>
  </si>
  <si>
    <t>Hinweis: In Zypern und Malta gibt es keine Eisenbahnen (:) keine Angaben. (c) Vertrauliche Angaben. [–] Entfällt.</t>
  </si>
  <si>
    <t>Hinweis: In Zypern und Malta gibt es keine Eisenbahnen Belgien, Ungarn und Niederlande: keine Angaben.</t>
  </si>
  <si>
    <t>Hinweis: Ordinatenachse abgeschnitten.</t>
  </si>
  <si>
    <t>Hinweis: Tschechien, Luxemburg, Ungarn, Österreich und Slowakei sind Binnenstaaten ohne Seeverkehr.</t>
  </si>
  <si>
    <t>Litauen</t>
  </si>
  <si>
    <t>Ver. Königreich (¹)</t>
  </si>
  <si>
    <t>Slowenien (¹)</t>
  </si>
  <si>
    <t>Niederlande (¹)</t>
  </si>
  <si>
    <t>Deutschland</t>
  </si>
  <si>
    <t>Kroatien</t>
  </si>
  <si>
    <t>Bulgarien</t>
  </si>
  <si>
    <t>Schweden</t>
  </si>
  <si>
    <t>Luxemburg (¹)</t>
  </si>
  <si>
    <t>Finnland</t>
  </si>
  <si>
    <t>Griechenland (¹)</t>
  </si>
  <si>
    <t>Italien (¹)</t>
  </si>
  <si>
    <t>Belgien (¹)</t>
  </si>
  <si>
    <t>Dänemark</t>
  </si>
  <si>
    <t>Spanien</t>
  </si>
  <si>
    <t>Frankreich</t>
  </si>
  <si>
    <t>Lettland</t>
  </si>
  <si>
    <t>Zypern (¹)</t>
  </si>
  <si>
    <t>Estland (¹)</t>
  </si>
  <si>
    <t>Rumänien (¹)</t>
  </si>
  <si>
    <t>Irland (¹)</t>
  </si>
  <si>
    <t>Polen</t>
  </si>
  <si>
    <t>Österreich (¹)</t>
  </si>
  <si>
    <t>Slowakei (¹)</t>
  </si>
  <si>
    <t>Tschechien</t>
  </si>
  <si>
    <t>Ungarn</t>
  </si>
  <si>
    <t>Norwegen</t>
  </si>
  <si>
    <t>Island</t>
  </si>
  <si>
    <t>Schweiz</t>
  </si>
  <si>
    <t>Nordmazedonien</t>
  </si>
  <si>
    <t>Türkei</t>
  </si>
  <si>
    <t>Belgien</t>
  </si>
  <si>
    <t>Estland</t>
  </si>
  <si>
    <t>Irland</t>
  </si>
  <si>
    <t>Griechenland</t>
  </si>
  <si>
    <t>Italien</t>
  </si>
  <si>
    <t>Zypern</t>
  </si>
  <si>
    <t>Luxemburg</t>
  </si>
  <si>
    <t>Niederlande</t>
  </si>
  <si>
    <t>Österreich</t>
  </si>
  <si>
    <t>Rumänien</t>
  </si>
  <si>
    <t>Slowenien</t>
  </si>
  <si>
    <t>Slowakei</t>
  </si>
  <si>
    <t>Ver. Königreich</t>
  </si>
  <si>
    <r>
      <t>Quelle:</t>
    </r>
    <r>
      <rPr>
        <sz val="9"/>
        <rFont val="Arial"/>
        <family val="2"/>
      </rPr>
      <t xml:space="preserve"> Eurostat (Online Datencodes: mar_mp_aa und mar_mp_aa_cphd)</t>
    </r>
  </si>
  <si>
    <t>2016-2017
(in %)</t>
  </si>
  <si>
    <r>
      <t>Quelle:</t>
    </r>
    <r>
      <rPr>
        <sz val="9"/>
        <rFont val="Arial"/>
        <family val="2"/>
      </rPr>
      <t xml:space="preserve"> Eurostat (Online Datencodes: rail_pa_typepas und demo_gind)</t>
    </r>
  </si>
  <si>
    <r>
      <t>Quelle:</t>
    </r>
    <r>
      <rPr>
        <sz val="9"/>
        <rFont val="Arial"/>
        <family val="2"/>
      </rPr>
      <t xml:space="preserve"> Eurostat (Online-Datencodes: rail_pa_typepas und rail_pa_quartal)</t>
    </r>
  </si>
  <si>
    <t>2016-2017 (in %)</t>
  </si>
  <si>
    <t>Personenkraftwagen</t>
  </si>
  <si>
    <t>Busse, Reisebusse und Oberleitungsbusse</t>
  </si>
  <si>
    <t>Züge</t>
  </si>
  <si>
    <t>Norwegen (²)</t>
  </si>
  <si>
    <r>
      <t>Quelle:</t>
    </r>
    <r>
      <rPr>
        <sz val="9"/>
        <rFont val="Arial"/>
        <family val="2"/>
      </rPr>
      <t xml:space="preserve"> Eurostat (Online Datencode: mar_mp_aa_cph)</t>
    </r>
  </si>
  <si>
    <t>Innerstaatlich (linke Achse)</t>
  </si>
  <si>
    <t>Grenzüberschreitend (rechte Achse)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</si>
</sst>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0.0"/>
    <numFmt numFmtId="165" formatCode="#,##0.0"/>
    <numFmt numFmtId="166" formatCode="#,##0.0_i"/>
    <numFmt numFmtId="167" formatCode="@_i"/>
    <numFmt numFmtId="168" formatCode="#,##0_i"/>
    <numFmt numFmtId="169" formatCode="0.0%"/>
    <numFmt numFmtId="170" formatCode="#,##0[$   ]"/>
    <numFmt numFmtId="171" formatCode="###\ ###\ ##0"/>
    <numFmt numFmtId="172" formatCode="###0"/>
    <numFmt numFmtId="173" formatCode="0.0_i;\-0.0_i"/>
  </numFmts>
  <fonts count="34">
    <font>
      <sz val="9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color indexed="18"/>
      <name val="Arial"/>
      <family val="2"/>
    </font>
    <font>
      <sz val="9"/>
      <color indexed="62"/>
      <name val="Arial"/>
      <family val="2"/>
    </font>
    <font>
      <b/>
      <sz val="9"/>
      <color indexed="62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i/>
      <sz val="9"/>
      <color indexed="62"/>
      <name val="Arial"/>
      <family val="2"/>
    </font>
    <font>
      <b/>
      <i/>
      <sz val="9"/>
      <color indexed="62"/>
      <name val="Arial"/>
      <family val="2"/>
    </font>
    <font>
      <sz val="9"/>
      <color theme="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9"/>
      <color indexed="8"/>
      <name val="Arial"/>
      <family val="2"/>
    </font>
    <font>
      <b/>
      <sz val="11"/>
      <name val="Arial"/>
      <family val="2"/>
    </font>
    <font>
      <sz val="10"/>
      <color indexed="62"/>
      <name val="Arial"/>
      <family val="2"/>
    </font>
    <font>
      <sz val="10"/>
      <name val="Arial "/>
    </font>
    <font>
      <b/>
      <i/>
      <sz val="10"/>
      <name val="Arial "/>
    </font>
    <font>
      <i/>
      <sz val="9"/>
      <color theme="1"/>
      <name val="Arial"/>
      <family val="2"/>
    </font>
    <font>
      <sz val="9"/>
      <color rgb="FFFF0000"/>
      <name val="Arial"/>
      <family val="2"/>
    </font>
    <font>
      <b/>
      <sz val="12"/>
      <name val="Arial"/>
      <family val="2"/>
    </font>
    <font>
      <b/>
      <sz val="12"/>
      <color indexed="62"/>
      <name val="Arial"/>
      <family val="2"/>
    </font>
    <font>
      <sz val="9"/>
      <color theme="0" tint="-0.249977111117893"/>
      <name val="Arial"/>
      <family val="2"/>
    </font>
    <font>
      <sz val="9"/>
      <color indexed="8"/>
      <name val="Arial"/>
      <family val="2"/>
    </font>
    <font>
      <b/>
      <sz val="11"/>
      <color indexed="62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63"/>
      <name val="Arial"/>
      <family val="2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65"/>
        <bgColor indexed="11"/>
      </patternFill>
    </fill>
    <fill>
      <patternFill patternType="solid">
        <fgColor indexed="65"/>
        <bgColor indexed="12"/>
      </patternFill>
    </fill>
  </fills>
  <borders count="5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 style="thin">
        <color indexed="64"/>
      </bottom>
      <diagonal/>
    </border>
    <border>
      <left/>
      <right/>
      <top style="thin">
        <color rgb="FF000000"/>
      </top>
      <bottom style="hair">
        <color rgb="FFC0C0C0"/>
      </bottom>
      <diagonal/>
    </border>
    <border>
      <left/>
      <right/>
      <top style="hair">
        <color rgb="FFC0C0C0"/>
      </top>
      <bottom/>
      <diagonal/>
    </border>
    <border>
      <left/>
      <right/>
      <top style="hair">
        <color rgb="FFC0C0C0"/>
      </top>
      <bottom style="thin">
        <color rgb="FF000000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thin">
        <color indexed="64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rgb="FFA6A6A6"/>
      </left>
      <right/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theme="0" tint="-0.24994659260841701"/>
      </left>
      <right/>
      <top/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rgb="FFA6A6A6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rgb="FFA6A6A6"/>
      </left>
      <right/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/>
      <right/>
      <top style="thin">
        <color indexed="64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thin">
        <color indexed="64"/>
      </bottom>
      <diagonal/>
    </border>
    <border>
      <left/>
      <right/>
      <top/>
      <bottom style="hair">
        <color theme="0" tint="-0.24994659260841701"/>
      </bottom>
      <diagonal/>
    </border>
    <border>
      <left/>
      <right style="hair">
        <color rgb="FFA6A6A6"/>
      </right>
      <top style="hair">
        <color theme="0" tint="-0.24994659260841701"/>
      </top>
      <bottom style="thin">
        <color indexed="64"/>
      </bottom>
      <diagonal/>
    </border>
    <border>
      <left style="hair">
        <color rgb="FFA6A6A6"/>
      </left>
      <right/>
      <top style="thin">
        <color rgb="FF000000"/>
      </top>
      <bottom style="hair">
        <color theme="0" tint="-0.24994659260841701"/>
      </bottom>
      <diagonal/>
    </border>
    <border>
      <left style="hair">
        <color rgb="FFA6A6A6"/>
      </left>
      <right/>
      <top style="hair">
        <color rgb="FFC0C0C0"/>
      </top>
      <bottom style="thin">
        <color rgb="FF000000"/>
      </bottom>
      <diagonal/>
    </border>
    <border>
      <left style="hair">
        <color theme="0" tint="-0.24994659260841701"/>
      </left>
      <right/>
      <top style="thin">
        <color rgb="FF000000"/>
      </top>
      <bottom style="thin">
        <color rgb="FF000000"/>
      </bottom>
      <diagonal/>
    </border>
    <border>
      <left/>
      <right style="hair">
        <color theme="0" tint="-0.24994659260841701"/>
      </right>
      <top style="thin">
        <color rgb="FF000000"/>
      </top>
      <bottom style="thin">
        <color rgb="FF000000"/>
      </bottom>
      <diagonal/>
    </border>
    <border>
      <left style="hair">
        <color rgb="FFA6A6A6"/>
      </left>
      <right/>
      <top style="thin">
        <color rgb="FF000000"/>
      </top>
      <bottom style="thin">
        <color rgb="FF000000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thin">
        <color rgb="FF000000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thin">
        <color rgb="FF000000"/>
      </bottom>
      <diagonal/>
    </border>
    <border>
      <left style="hair">
        <color rgb="FFA6A6A6"/>
      </left>
      <right/>
      <top style="hair">
        <color theme="0" tint="-0.24994659260841701"/>
      </top>
      <bottom style="thin">
        <color rgb="FF000000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rgb="FFA6A6A6"/>
      </left>
      <right/>
      <top style="hair">
        <color rgb="FFC0C0C0"/>
      </top>
      <bottom style="thin">
        <color indexed="64"/>
      </bottom>
      <diagonal/>
    </border>
    <border>
      <left style="hair">
        <color rgb="FFA6A6A6"/>
      </left>
      <right style="hair">
        <color rgb="FFA6A6A6"/>
      </right>
      <top style="hair">
        <color rgb="FFC0C0C0"/>
      </top>
      <bottom style="thin">
        <color indexed="64"/>
      </bottom>
      <diagonal/>
    </border>
    <border>
      <left style="hair">
        <color rgb="FFA6A6A6"/>
      </left>
      <right/>
      <top style="hair">
        <color rgb="FFC0C0C0"/>
      </top>
      <bottom style="hair">
        <color rgb="FFC0C0C0"/>
      </bottom>
      <diagonal/>
    </border>
    <border>
      <left style="hair">
        <color rgb="FFA6A6A6"/>
      </left>
      <right style="hair">
        <color rgb="FFA6A6A6"/>
      </right>
      <top style="hair">
        <color rgb="FFC0C0C0"/>
      </top>
      <bottom style="hair">
        <color rgb="FFC0C0C0"/>
      </bottom>
      <diagonal/>
    </border>
    <border>
      <left style="hair">
        <color rgb="FFA6A6A6"/>
      </left>
      <right/>
      <top style="thin">
        <color rgb="FF000000"/>
      </top>
      <bottom style="hair">
        <color rgb="FFC0C0C0"/>
      </bottom>
      <diagonal/>
    </border>
    <border>
      <left style="hair">
        <color rgb="FFA6A6A6"/>
      </left>
      <right style="hair">
        <color rgb="FFA6A6A6"/>
      </right>
      <top style="thin">
        <color rgb="FF000000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/>
      <diagonal/>
    </border>
    <border>
      <left/>
      <right style="hair">
        <color rgb="FFA6A6A6"/>
      </right>
      <top style="thin">
        <color rgb="FF000000"/>
      </top>
      <bottom/>
      <diagonal/>
    </border>
    <border>
      <left style="hair">
        <color rgb="FFA6A6A6"/>
      </left>
      <right/>
      <top/>
      <bottom/>
      <diagonal/>
    </border>
    <border>
      <left/>
      <right/>
      <top style="thin">
        <color rgb="FF000000"/>
      </top>
      <bottom style="hair">
        <color indexed="22"/>
      </bottom>
      <diagonal/>
    </border>
    <border>
      <left/>
      <right/>
      <top style="hair">
        <color indexed="22"/>
      </top>
      <bottom/>
      <diagonal/>
    </border>
    <border>
      <left/>
      <right/>
      <top style="thin">
        <color indexed="64"/>
      </top>
      <bottom style="hair">
        <color rgb="FFC0C0C0"/>
      </bottom>
      <diagonal/>
    </border>
    <border>
      <left style="hair">
        <color rgb="FFA6A6A6"/>
      </left>
      <right/>
      <top style="thin">
        <color indexed="64"/>
      </top>
      <bottom style="hair">
        <color rgb="FFC0C0C0"/>
      </bottom>
      <diagonal/>
    </border>
    <border>
      <left style="hair">
        <color rgb="FFA6A6A6"/>
      </left>
      <right style="hair">
        <color rgb="FFA6A6A6"/>
      </right>
      <top style="hair">
        <color rgb="FFC0C0C0"/>
      </top>
      <bottom style="thin">
        <color rgb="FF000000"/>
      </bottom>
      <diagonal/>
    </border>
    <border>
      <left style="hair">
        <color rgb="FFA6A6A6"/>
      </left>
      <right style="hair">
        <color rgb="FFA6A6A6"/>
      </right>
      <top/>
      <bottom/>
      <diagonal/>
    </border>
    <border>
      <left style="hair">
        <color rgb="FFA6A6A6"/>
      </left>
      <right style="hair">
        <color rgb="FFA6A6A6"/>
      </right>
      <top style="hair">
        <color rgb="FFC0C0C0"/>
      </top>
      <bottom/>
      <diagonal/>
    </border>
    <border>
      <left style="hair">
        <color rgb="FFA6A6A6"/>
      </left>
      <right style="hair">
        <color rgb="FFA6A6A6"/>
      </right>
      <top style="thin">
        <color indexed="64"/>
      </top>
      <bottom style="hair">
        <color rgb="FFC0C0C0"/>
      </bottom>
      <diagonal/>
    </border>
    <border>
      <left style="hair">
        <color rgb="FFA6A6A6"/>
      </left>
      <right/>
      <top style="thin">
        <color rgb="FF000000"/>
      </top>
      <bottom/>
      <diagonal/>
    </border>
    <border>
      <left style="hair">
        <color rgb="FFA6A6A6"/>
      </left>
      <right style="hair">
        <color theme="0" tint="-0.24994659260841701"/>
      </right>
      <top style="thin">
        <color rgb="FF000000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thin">
        <color rgb="FF000000"/>
      </top>
      <bottom/>
      <diagonal/>
    </border>
    <border>
      <left style="hair">
        <color theme="0" tint="-0.24994659260841701"/>
      </left>
      <right/>
      <top style="thin">
        <color rgb="FF000000"/>
      </top>
      <bottom/>
      <diagonal/>
    </border>
    <border>
      <left/>
      <right style="hair">
        <color rgb="FFA6A6A6"/>
      </right>
      <top/>
      <bottom style="thin">
        <color rgb="FF000000"/>
      </bottom>
      <diagonal/>
    </border>
  </borders>
  <cellStyleXfs count="10">
    <xf numFmtId="0" fontId="0" fillId="0" borderId="0" applyNumberFormat="0" applyFill="0" applyBorder="0" applyProtection="0">
      <alignment vertical="center"/>
    </xf>
    <xf numFmtId="9" fontId="11" fillId="0" borderId="0" applyFont="0" applyFill="0" applyBorder="0" applyAlignment="0" applyProtection="0"/>
    <xf numFmtId="0" fontId="1" fillId="0" borderId="0"/>
    <xf numFmtId="0" fontId="13" fillId="0" borderId="0"/>
    <xf numFmtId="9" fontId="14" fillId="0" borderId="0" applyFont="0" applyFill="0" applyBorder="0" applyAlignment="0" applyProtection="0"/>
    <xf numFmtId="170" fontId="20" fillId="0" borderId="0"/>
    <xf numFmtId="9" fontId="21" fillId="0" borderId="0" applyFont="0" applyFill="0" applyBorder="0" applyAlignment="0" applyProtection="0"/>
    <xf numFmtId="9" fontId="13" fillId="0" borderId="0" applyFont="0" applyFill="0" applyBorder="0" applyAlignment="0" applyProtection="0"/>
    <xf numFmtId="166" fontId="11" fillId="0" borderId="0" applyFill="0" applyBorder="0" applyProtection="0">
      <alignment horizontal="right"/>
    </xf>
    <xf numFmtId="0" fontId="20" fillId="0" borderId="0"/>
  </cellStyleXfs>
  <cellXfs count="264"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4" fillId="0" borderId="0" xfId="0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vertical="center"/>
    </xf>
    <xf numFmtId="165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 wrapText="1"/>
    </xf>
    <xf numFmtId="0" fontId="7" fillId="0" borderId="0" xfId="0" applyFont="1" applyFill="1" applyBorder="1">
      <alignment vertical="center"/>
    </xf>
    <xf numFmtId="0" fontId="4" fillId="0" borderId="0" xfId="0" applyNumberFormat="1" applyFont="1" applyFill="1" applyBorder="1">
      <alignment vertical="center"/>
    </xf>
    <xf numFmtId="165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horizontal="right" wrapText="1"/>
    </xf>
    <xf numFmtId="3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left"/>
    </xf>
    <xf numFmtId="164" fontId="4" fillId="0" borderId="0" xfId="0" applyNumberFormat="1" applyFont="1" applyFill="1" applyBorder="1">
      <alignment vertical="center"/>
    </xf>
    <xf numFmtId="0" fontId="9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center"/>
    </xf>
    <xf numFmtId="0" fontId="8" fillId="0" borderId="0" xfId="0" applyFont="1" applyFill="1" applyBorder="1">
      <alignment vertical="center"/>
    </xf>
    <xf numFmtId="0" fontId="0" fillId="0" borderId="0" xfId="0" applyFont="1">
      <alignment vertical="center"/>
    </xf>
    <xf numFmtId="166" fontId="4" fillId="0" borderId="0" xfId="0" applyNumberFormat="1" applyFont="1" applyFill="1" applyBorder="1" applyAlignment="1">
      <alignment horizontal="right" vertical="center"/>
    </xf>
    <xf numFmtId="0" fontId="0" fillId="0" borderId="0" xfId="0" applyFont="1" applyFill="1">
      <alignment vertical="center"/>
    </xf>
    <xf numFmtId="0" fontId="0" fillId="0" borderId="0" xfId="0" applyFont="1" applyFill="1" applyBorder="1">
      <alignment vertical="center"/>
    </xf>
    <xf numFmtId="166" fontId="0" fillId="0" borderId="0" xfId="0" applyNumberFormat="1" applyFont="1" applyFill="1" applyBorder="1" applyAlignment="1">
      <alignment horizontal="right"/>
    </xf>
    <xf numFmtId="166" fontId="6" fillId="0" borderId="0" xfId="0" applyNumberFormat="1" applyFont="1" applyFill="1" applyBorder="1" applyAlignment="1">
      <alignment horizontal="right"/>
    </xf>
    <xf numFmtId="167" fontId="0" fillId="0" borderId="0" xfId="0" applyNumberFormat="1" applyFont="1" applyFill="1" applyBorder="1" applyAlignment="1">
      <alignment horizontal="right"/>
    </xf>
    <xf numFmtId="0" fontId="4" fillId="3" borderId="0" xfId="0" applyFont="1" applyFill="1" applyBorder="1">
      <alignment vertical="center"/>
    </xf>
    <xf numFmtId="3" fontId="4" fillId="3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/>
    </xf>
    <xf numFmtId="166" fontId="4" fillId="0" borderId="0" xfId="0" applyNumberFormat="1" applyFont="1" applyFill="1" applyBorder="1" applyAlignment="1">
      <alignment vertical="center"/>
    </xf>
    <xf numFmtId="0" fontId="10" fillId="0" borderId="0" xfId="0" applyFont="1" applyFill="1" applyBorder="1">
      <alignment vertical="center"/>
    </xf>
    <xf numFmtId="164" fontId="4" fillId="0" borderId="0" xfId="0" applyNumberFormat="1" applyFont="1" applyFill="1" applyBorder="1" applyAlignment="1">
      <alignment horizontal="left" vertical="top"/>
    </xf>
    <xf numFmtId="1" fontId="4" fillId="0" borderId="0" xfId="0" applyNumberFormat="1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vertical="center" wrapText="1"/>
    </xf>
    <xf numFmtId="169" fontId="4" fillId="0" borderId="0" xfId="1" applyNumberFormat="1" applyFont="1" applyFill="1" applyBorder="1" applyAlignment="1">
      <alignment horizontal="right"/>
    </xf>
    <xf numFmtId="0" fontId="11" fillId="0" borderId="0" xfId="2" applyFont="1"/>
    <xf numFmtId="0" fontId="11" fillId="3" borderId="0" xfId="2" applyFont="1" applyFill="1"/>
    <xf numFmtId="0" fontId="11" fillId="0" borderId="0" xfId="2" applyFont="1" applyFill="1"/>
    <xf numFmtId="0" fontId="7" fillId="3" borderId="0" xfId="2" applyFont="1" applyFill="1"/>
    <xf numFmtId="0" fontId="12" fillId="0" borderId="0" xfId="2" applyFont="1"/>
    <xf numFmtId="0" fontId="11" fillId="0" borderId="0" xfId="3" applyFont="1" applyAlignment="1">
      <alignment horizontal="left"/>
    </xf>
    <xf numFmtId="0" fontId="17" fillId="0" borderId="0" xfId="2" applyFont="1"/>
    <xf numFmtId="0" fontId="12" fillId="3" borderId="0" xfId="2" applyFont="1" applyFill="1"/>
    <xf numFmtId="0" fontId="12" fillId="0" borderId="0" xfId="2" applyFont="1" applyFill="1"/>
    <xf numFmtId="0" fontId="11" fillId="3" borderId="0" xfId="2" applyFont="1" applyFill="1" applyBorder="1"/>
    <xf numFmtId="0" fontId="7" fillId="2" borderId="33" xfId="2" applyFont="1" applyFill="1" applyBorder="1" applyAlignment="1">
      <alignment horizontal="center" vertical="center" wrapText="1"/>
    </xf>
    <xf numFmtId="0" fontId="7" fillId="2" borderId="32" xfId="2" applyFont="1" applyFill="1" applyBorder="1" applyAlignment="1">
      <alignment horizontal="center" vertical="center" wrapText="1"/>
    </xf>
    <xf numFmtId="0" fontId="7" fillId="2" borderId="34" xfId="2" applyFont="1" applyFill="1" applyBorder="1" applyAlignment="1">
      <alignment horizontal="center" vertical="center" wrapText="1"/>
    </xf>
    <xf numFmtId="0" fontId="7" fillId="2" borderId="31" xfId="2" applyFont="1" applyFill="1" applyBorder="1" applyAlignment="1">
      <alignment horizontal="center" vertical="center" wrapText="1"/>
    </xf>
    <xf numFmtId="0" fontId="7" fillId="5" borderId="30" xfId="2" applyFont="1" applyFill="1" applyBorder="1" applyAlignment="1">
      <alignment horizontal="left"/>
    </xf>
    <xf numFmtId="0" fontId="19" fillId="0" borderId="0" xfId="0" applyFont="1" applyFill="1" applyBorder="1" applyAlignment="1">
      <alignment horizontal="left"/>
    </xf>
    <xf numFmtId="0" fontId="0" fillId="0" borderId="0" xfId="3" applyFont="1" applyAlignment="1">
      <alignment horizontal="left"/>
    </xf>
    <xf numFmtId="170" fontId="11" fillId="0" borderId="0" xfId="5" applyFont="1" applyFill="1" applyBorder="1" applyAlignment="1"/>
    <xf numFmtId="170" fontId="11" fillId="0" borderId="0" xfId="5" applyFont="1" applyFill="1" applyBorder="1"/>
    <xf numFmtId="170" fontId="11" fillId="0" borderId="0" xfId="5" quotePrefix="1" applyNumberFormat="1" applyFont="1" applyFill="1" applyBorder="1" applyAlignment="1">
      <alignment horizontal="right" vertical="center"/>
    </xf>
    <xf numFmtId="3" fontId="11" fillId="0" borderId="0" xfId="5" applyNumberFormat="1" applyFont="1" applyFill="1" applyBorder="1" applyAlignment="1">
      <alignment horizontal="right" vertical="center"/>
    </xf>
    <xf numFmtId="170" fontId="18" fillId="0" borderId="0" xfId="5" applyFont="1" applyFill="1" applyBorder="1" applyAlignment="1">
      <alignment vertical="center"/>
    </xf>
    <xf numFmtId="0" fontId="11" fillId="0" borderId="0" xfId="3" applyFont="1" applyBorder="1"/>
    <xf numFmtId="0" fontId="22" fillId="0" borderId="0" xfId="3" applyFont="1" applyBorder="1"/>
    <xf numFmtId="0" fontId="11" fillId="0" borderId="0" xfId="3" applyFont="1" applyFill="1" applyBorder="1"/>
    <xf numFmtId="164" fontId="7" fillId="0" borderId="0" xfId="3" applyNumberFormat="1" applyFont="1" applyFill="1" applyBorder="1" applyAlignment="1">
      <alignment horizontal="right" vertical="center"/>
    </xf>
    <xf numFmtId="164" fontId="11" fillId="0" borderId="0" xfId="3" applyNumberFormat="1" applyFont="1" applyFill="1" applyBorder="1" applyAlignment="1">
      <alignment horizontal="right" vertical="center"/>
    </xf>
    <xf numFmtId="0" fontId="17" fillId="0" borderId="0" xfId="3" applyNumberFormat="1" applyFont="1" applyFill="1" applyBorder="1" applyAlignment="1">
      <alignment horizontal="left" vertical="center"/>
    </xf>
    <xf numFmtId="164" fontId="11" fillId="0" borderId="0" xfId="3" applyNumberFormat="1" applyFont="1" applyBorder="1"/>
    <xf numFmtId="0" fontId="11" fillId="0" borderId="0" xfId="3" applyNumberFormat="1" applyFont="1" applyFill="1" applyBorder="1" applyAlignment="1"/>
    <xf numFmtId="3" fontId="11" fillId="0" borderId="0" xfId="3" applyNumberFormat="1" applyFont="1" applyBorder="1"/>
    <xf numFmtId="0" fontId="7" fillId="0" borderId="0" xfId="3" applyNumberFormat="1" applyFont="1" applyFill="1" applyBorder="1" applyAlignment="1">
      <alignment horizontal="center" vertical="center"/>
    </xf>
    <xf numFmtId="0" fontId="11" fillId="0" borderId="0" xfId="3" applyNumberFormat="1" applyFont="1" applyFill="1" applyBorder="1" applyAlignment="1">
      <alignment vertical="center"/>
    </xf>
    <xf numFmtId="0" fontId="11" fillId="0" borderId="0" xfId="3" applyNumberFormat="1" applyFont="1" applyFill="1" applyBorder="1" applyAlignment="1">
      <alignment horizontal="left"/>
    </xf>
    <xf numFmtId="0" fontId="7" fillId="0" borderId="0" xfId="3" applyNumberFormat="1" applyFont="1" applyFill="1" applyBorder="1" applyAlignment="1">
      <alignment horizontal="center" vertical="center" wrapText="1"/>
    </xf>
    <xf numFmtId="0" fontId="7" fillId="0" borderId="0" xfId="3" applyFont="1" applyFill="1" applyAlignment="1">
      <alignment horizontal="left"/>
    </xf>
    <xf numFmtId="0" fontId="7" fillId="0" borderId="0" xfId="3" applyFont="1" applyAlignment="1">
      <alignment horizontal="left"/>
    </xf>
    <xf numFmtId="0" fontId="13" fillId="0" borderId="0" xfId="3" applyFont="1" applyFill="1" applyBorder="1"/>
    <xf numFmtId="0" fontId="13" fillId="0" borderId="0" xfId="3" applyFont="1" applyBorder="1"/>
    <xf numFmtId="0" fontId="15" fillId="0" borderId="0" xfId="3" applyNumberFormat="1" applyFont="1" applyFill="1" applyBorder="1" applyAlignment="1">
      <alignment horizontal="left" vertical="center"/>
    </xf>
    <xf numFmtId="164" fontId="13" fillId="0" borderId="0" xfId="3" applyNumberFormat="1" applyFont="1" applyFill="1" applyBorder="1" applyAlignment="1">
      <alignment horizontal="right" vertical="center"/>
    </xf>
    <xf numFmtId="164" fontId="16" fillId="0" borderId="0" xfId="3" applyNumberFormat="1" applyFont="1" applyFill="1" applyBorder="1" applyAlignment="1">
      <alignment horizontal="right" vertical="center"/>
    </xf>
    <xf numFmtId="0" fontId="7" fillId="2" borderId="4" xfId="3" applyNumberFormat="1" applyFont="1" applyFill="1" applyBorder="1" applyAlignment="1">
      <alignment horizontal="center" vertical="center"/>
    </xf>
    <xf numFmtId="1" fontId="7" fillId="2" borderId="39" xfId="3" applyNumberFormat="1" applyFont="1" applyFill="1" applyBorder="1" applyAlignment="1">
      <alignment horizontal="center" vertical="center"/>
    </xf>
    <xf numFmtId="1" fontId="7" fillId="2" borderId="4" xfId="3" applyNumberFormat="1" applyFont="1" applyFill="1" applyBorder="1" applyAlignment="1">
      <alignment horizontal="center" vertical="center"/>
    </xf>
    <xf numFmtId="0" fontId="7" fillId="2" borderId="6" xfId="3" applyNumberFormat="1" applyFont="1" applyFill="1" applyBorder="1" applyAlignment="1">
      <alignment horizontal="center" vertical="center"/>
    </xf>
    <xf numFmtId="0" fontId="7" fillId="2" borderId="25" xfId="3" applyNumberFormat="1" applyFont="1" applyFill="1" applyBorder="1" applyAlignment="1">
      <alignment horizontal="center" vertical="center"/>
    </xf>
    <xf numFmtId="0" fontId="7" fillId="4" borderId="0" xfId="3" applyNumberFormat="1" applyFont="1" applyFill="1" applyBorder="1" applyAlignment="1">
      <alignment horizontal="left" vertical="center"/>
    </xf>
    <xf numFmtId="0" fontId="7" fillId="2" borderId="25" xfId="3" applyNumberFormat="1" applyFont="1" applyFill="1" applyBorder="1" applyAlignment="1">
      <alignment horizontal="center" vertical="center" wrapText="1"/>
    </xf>
    <xf numFmtId="0" fontId="7" fillId="2" borderId="6" xfId="3" applyNumberFormat="1" applyFont="1" applyFill="1" applyBorder="1" applyAlignment="1">
      <alignment horizontal="center" vertical="center" wrapText="1"/>
    </xf>
    <xf numFmtId="0" fontId="7" fillId="2" borderId="48" xfId="3" applyNumberFormat="1" applyFont="1" applyFill="1" applyBorder="1" applyAlignment="1">
      <alignment horizontal="center" vertical="center"/>
    </xf>
    <xf numFmtId="169" fontId="4" fillId="0" borderId="0" xfId="0" applyNumberFormat="1" applyFont="1" applyFill="1" applyBorder="1" applyAlignment="1">
      <alignment horizontal="right"/>
    </xf>
    <xf numFmtId="169" fontId="23" fillId="0" borderId="0" xfId="1" applyNumberFormat="1" applyFont="1" applyFill="1" applyBorder="1" applyAlignment="1">
      <alignment horizontal="right"/>
    </xf>
    <xf numFmtId="169" fontId="4" fillId="0" borderId="0" xfId="0" applyNumberFormat="1" applyFont="1" applyFill="1" applyBorder="1">
      <alignment vertical="center"/>
    </xf>
    <xf numFmtId="0" fontId="24" fillId="3" borderId="0" xfId="2" applyFont="1" applyFill="1" applyAlignment="1">
      <alignment horizontal="left"/>
    </xf>
    <xf numFmtId="0" fontId="13" fillId="0" borderId="0" xfId="3" applyNumberFormat="1" applyFont="1" applyFill="1" applyBorder="1" applyAlignment="1">
      <alignment horizontal="left"/>
    </xf>
    <xf numFmtId="0" fontId="25" fillId="0" borderId="0" xfId="0" applyFont="1" applyFill="1" applyBorder="1" applyAlignment="1">
      <alignment horizontal="left"/>
    </xf>
    <xf numFmtId="0" fontId="13" fillId="0" borderId="0" xfId="2" applyFont="1" applyAlignment="1">
      <alignment horizontal="left"/>
    </xf>
    <xf numFmtId="170" fontId="24" fillId="0" borderId="0" xfId="5" applyFont="1" applyFill="1" applyBorder="1" applyAlignment="1">
      <alignment horizontal="left" vertical="center"/>
    </xf>
    <xf numFmtId="0" fontId="13" fillId="0" borderId="0" xfId="3" applyFont="1" applyFill="1" applyBorder="1" applyAlignment="1">
      <alignment horizontal="left"/>
    </xf>
    <xf numFmtId="0" fontId="7" fillId="3" borderId="16" xfId="2" applyFont="1" applyFill="1" applyBorder="1" applyAlignment="1">
      <alignment horizontal="left"/>
    </xf>
    <xf numFmtId="0" fontId="7" fillId="0" borderId="20" xfId="2" applyFont="1" applyFill="1" applyBorder="1" applyAlignment="1">
      <alignment horizontal="left"/>
    </xf>
    <xf numFmtId="0" fontId="7" fillId="3" borderId="16" xfId="2" applyFont="1" applyFill="1" applyBorder="1" applyAlignment="1">
      <alignment horizontal="left" vertical="center" wrapText="1" shrinkToFit="1"/>
    </xf>
    <xf numFmtId="0" fontId="11" fillId="0" borderId="0" xfId="3" applyFont="1" applyBorder="1" applyAlignment="1">
      <alignment horizontal="left"/>
    </xf>
    <xf numFmtId="0" fontId="7" fillId="0" borderId="4" xfId="9" applyFont="1" applyFill="1" applyBorder="1" applyAlignment="1">
      <alignment horizontal="left" vertical="center"/>
    </xf>
    <xf numFmtId="0" fontId="7" fillId="0" borderId="2" xfId="9" applyFont="1" applyFill="1" applyBorder="1" applyAlignment="1">
      <alignment horizontal="left" vertical="center"/>
    </xf>
    <xf numFmtId="0" fontId="7" fillId="0" borderId="5" xfId="9" applyFont="1" applyFill="1" applyBorder="1" applyAlignment="1">
      <alignment horizontal="left" vertical="center"/>
    </xf>
    <xf numFmtId="0" fontId="7" fillId="0" borderId="46" xfId="3" applyNumberFormat="1" applyFont="1" applyFill="1" applyBorder="1" applyAlignment="1">
      <alignment horizontal="left" vertical="center"/>
    </xf>
    <xf numFmtId="0" fontId="7" fillId="0" borderId="5" xfId="3" applyNumberFormat="1" applyFont="1" applyFill="1" applyBorder="1" applyAlignment="1">
      <alignment horizontal="left" vertical="center"/>
    </xf>
    <xf numFmtId="0" fontId="7" fillId="0" borderId="3" xfId="3" applyNumberFormat="1" applyFont="1" applyFill="1" applyBorder="1" applyAlignment="1">
      <alignment horizontal="left" vertical="center"/>
    </xf>
    <xf numFmtId="0" fontId="24" fillId="0" borderId="0" xfId="3" applyFont="1" applyAlignment="1"/>
    <xf numFmtId="168" fontId="11" fillId="4" borderId="28" xfId="2" applyNumberFormat="1" applyFont="1" applyFill="1" applyBorder="1" applyAlignment="1">
      <alignment horizontal="right" indent="2"/>
    </xf>
    <xf numFmtId="168" fontId="11" fillId="4" borderId="27" xfId="2" applyNumberFormat="1" applyFont="1" applyFill="1" applyBorder="1" applyAlignment="1">
      <alignment horizontal="right" indent="2"/>
    </xf>
    <xf numFmtId="167" fontId="11" fillId="4" borderId="28" xfId="2" applyNumberFormat="1" applyFont="1" applyFill="1" applyBorder="1" applyAlignment="1">
      <alignment horizontal="right" indent="2"/>
    </xf>
    <xf numFmtId="167" fontId="11" fillId="4" borderId="27" xfId="2" applyNumberFormat="1" applyFont="1" applyFill="1" applyBorder="1" applyAlignment="1">
      <alignment horizontal="right" indent="2"/>
    </xf>
    <xf numFmtId="167" fontId="0" fillId="3" borderId="18" xfId="2" applyNumberFormat="1" applyFont="1" applyFill="1" applyBorder="1" applyAlignment="1">
      <alignment horizontal="right" indent="2"/>
    </xf>
    <xf numFmtId="167" fontId="0" fillId="3" borderId="17" xfId="2" applyNumberFormat="1" applyFont="1" applyFill="1" applyBorder="1" applyAlignment="1">
      <alignment horizontal="right" indent="2"/>
    </xf>
    <xf numFmtId="167" fontId="0" fillId="3" borderId="24" xfId="2" applyNumberFormat="1" applyFont="1" applyFill="1" applyBorder="1" applyAlignment="1">
      <alignment horizontal="right" indent="2"/>
    </xf>
    <xf numFmtId="167" fontId="0" fillId="3" borderId="13" xfId="2" applyNumberFormat="1" applyFont="1" applyFill="1" applyBorder="1" applyAlignment="1">
      <alignment horizontal="right" indent="2"/>
    </xf>
    <xf numFmtId="168" fontId="11" fillId="3" borderId="14" xfId="2" applyNumberFormat="1" applyFont="1" applyFill="1" applyBorder="1" applyAlignment="1">
      <alignment horizontal="right" indent="2"/>
    </xf>
    <xf numFmtId="168" fontId="11" fillId="3" borderId="13" xfId="2" applyNumberFormat="1" applyFont="1" applyFill="1" applyBorder="1" applyAlignment="1">
      <alignment horizontal="right" indent="2"/>
    </xf>
    <xf numFmtId="168" fontId="11" fillId="0" borderId="13" xfId="2" applyNumberFormat="1" applyFont="1" applyFill="1" applyBorder="1" applyAlignment="1">
      <alignment horizontal="right" indent="2"/>
    </xf>
    <xf numFmtId="167" fontId="0" fillId="3" borderId="14" xfId="2" applyNumberFormat="1" applyFont="1" applyFill="1" applyBorder="1" applyAlignment="1">
      <alignment horizontal="right" indent="2"/>
    </xf>
    <xf numFmtId="168" fontId="11" fillId="3" borderId="9" xfId="2" applyNumberFormat="1" applyFont="1" applyFill="1" applyBorder="1" applyAlignment="1">
      <alignment horizontal="right" indent="2"/>
    </xf>
    <xf numFmtId="168" fontId="11" fillId="3" borderId="8" xfId="2" applyNumberFormat="1" applyFont="1" applyFill="1" applyBorder="1" applyAlignment="1">
      <alignment horizontal="right" indent="2"/>
    </xf>
    <xf numFmtId="167" fontId="11" fillId="0" borderId="18" xfId="2" applyNumberFormat="1" applyFont="1" applyFill="1" applyBorder="1" applyAlignment="1">
      <alignment horizontal="right" indent="2"/>
    </xf>
    <xf numFmtId="167" fontId="11" fillId="0" borderId="17" xfId="2" applyNumberFormat="1" applyFont="1" applyFill="1" applyBorder="1" applyAlignment="1">
      <alignment horizontal="right" indent="2"/>
    </xf>
    <xf numFmtId="168" fontId="11" fillId="0" borderId="18" xfId="2" applyNumberFormat="1" applyFont="1" applyFill="1" applyBorder="1" applyAlignment="1">
      <alignment horizontal="right" indent="2"/>
    </xf>
    <xf numFmtId="168" fontId="11" fillId="0" borderId="17" xfId="2" applyNumberFormat="1" applyFont="1" applyFill="1" applyBorder="1" applyAlignment="1">
      <alignment horizontal="right" indent="2"/>
    </xf>
    <xf numFmtId="168" fontId="11" fillId="3" borderId="14" xfId="2" applyNumberFormat="1" applyFont="1" applyFill="1" applyBorder="1" applyAlignment="1">
      <alignment horizontal="right" vertical="center" indent="2"/>
    </xf>
    <xf numFmtId="168" fontId="11" fillId="3" borderId="13" xfId="2" applyNumberFormat="1" applyFont="1" applyFill="1" applyBorder="1" applyAlignment="1">
      <alignment horizontal="right" vertical="center" indent="2"/>
    </xf>
    <xf numFmtId="166" fontId="11" fillId="4" borderId="29" xfId="4" applyNumberFormat="1" applyFont="1" applyFill="1" applyBorder="1" applyAlignment="1">
      <alignment horizontal="right" indent="4"/>
    </xf>
    <xf numFmtId="167" fontId="0" fillId="3" borderId="15" xfId="4" applyNumberFormat="1" applyFont="1" applyFill="1" applyBorder="1" applyAlignment="1">
      <alignment horizontal="right" indent="4"/>
    </xf>
    <xf numFmtId="166" fontId="11" fillId="3" borderId="15" xfId="4" applyNumberFormat="1" applyFont="1" applyFill="1" applyBorder="1" applyAlignment="1">
      <alignment horizontal="right" indent="4"/>
    </xf>
    <xf numFmtId="166" fontId="11" fillId="3" borderId="10" xfId="4" applyNumberFormat="1" applyFont="1" applyFill="1" applyBorder="1" applyAlignment="1">
      <alignment horizontal="right" indent="4"/>
    </xf>
    <xf numFmtId="167" fontId="11" fillId="0" borderId="19" xfId="4" applyNumberFormat="1" applyFont="1" applyFill="1" applyBorder="1" applyAlignment="1">
      <alignment horizontal="right" indent="4"/>
    </xf>
    <xf numFmtId="166" fontId="11" fillId="3" borderId="15" xfId="4" applyNumberFormat="1" applyFont="1" applyFill="1" applyBorder="1" applyAlignment="1">
      <alignment horizontal="right" vertical="center" indent="4"/>
    </xf>
    <xf numFmtId="167" fontId="11" fillId="4" borderId="29" xfId="4" applyNumberFormat="1" applyFont="1" applyFill="1" applyBorder="1" applyAlignment="1">
      <alignment horizontal="right" indent="4"/>
    </xf>
    <xf numFmtId="167" fontId="11" fillId="4" borderId="26" xfId="4" applyNumberFormat="1" applyFont="1" applyFill="1" applyBorder="1" applyAlignment="1">
      <alignment horizontal="right" indent="4"/>
    </xf>
    <xf numFmtId="167" fontId="0" fillId="3" borderId="12" xfId="4" applyNumberFormat="1" applyFont="1" applyFill="1" applyBorder="1" applyAlignment="1">
      <alignment horizontal="right" indent="4"/>
    </xf>
    <xf numFmtId="166" fontId="11" fillId="3" borderId="12" xfId="4" applyNumberFormat="1" applyFont="1" applyFill="1" applyBorder="1" applyAlignment="1">
      <alignment horizontal="right" indent="4"/>
    </xf>
    <xf numFmtId="166" fontId="11" fillId="0" borderId="12" xfId="4" applyNumberFormat="1" applyFont="1" applyFill="1" applyBorder="1" applyAlignment="1">
      <alignment horizontal="right" indent="4"/>
    </xf>
    <xf numFmtId="166" fontId="11" fillId="3" borderId="7" xfId="4" applyNumberFormat="1" applyFont="1" applyFill="1" applyBorder="1" applyAlignment="1">
      <alignment horizontal="right" indent="4"/>
    </xf>
    <xf numFmtId="166" fontId="11" fillId="3" borderId="12" xfId="4" applyNumberFormat="1" applyFont="1" applyFill="1" applyBorder="1" applyAlignment="1">
      <alignment horizontal="right" vertical="center" indent="4"/>
    </xf>
    <xf numFmtId="167" fontId="11" fillId="4" borderId="28" xfId="2" applyNumberFormat="1" applyFont="1" applyFill="1" applyBorder="1" applyAlignment="1">
      <alignment horizontal="right" indent="3"/>
    </xf>
    <xf numFmtId="167" fontId="11" fillId="4" borderId="27" xfId="2" applyNumberFormat="1" applyFont="1" applyFill="1" applyBorder="1" applyAlignment="1">
      <alignment horizontal="right" indent="3"/>
    </xf>
    <xf numFmtId="167" fontId="0" fillId="3" borderId="18" xfId="2" applyNumberFormat="1" applyFont="1" applyFill="1" applyBorder="1" applyAlignment="1">
      <alignment horizontal="right" indent="3"/>
    </xf>
    <xf numFmtId="167" fontId="0" fillId="3" borderId="17" xfId="2" applyNumberFormat="1" applyFont="1" applyFill="1" applyBorder="1" applyAlignment="1">
      <alignment horizontal="right" indent="3"/>
    </xf>
    <xf numFmtId="168" fontId="11" fillId="3" borderId="14" xfId="2" applyNumberFormat="1" applyFont="1" applyFill="1" applyBorder="1" applyAlignment="1">
      <alignment horizontal="right" indent="3"/>
    </xf>
    <xf numFmtId="168" fontId="11" fillId="3" borderId="13" xfId="2" applyNumberFormat="1" applyFont="1" applyFill="1" applyBorder="1" applyAlignment="1">
      <alignment horizontal="right" indent="3"/>
    </xf>
    <xf numFmtId="167" fontId="0" fillId="3" borderId="14" xfId="2" applyNumberFormat="1" applyFont="1" applyFill="1" applyBorder="1" applyAlignment="1">
      <alignment horizontal="right" indent="3"/>
    </xf>
    <xf numFmtId="167" fontId="0" fillId="3" borderId="13" xfId="2" applyNumberFormat="1" applyFont="1" applyFill="1" applyBorder="1" applyAlignment="1">
      <alignment horizontal="right" indent="3"/>
    </xf>
    <xf numFmtId="168" fontId="11" fillId="3" borderId="9" xfId="2" applyNumberFormat="1" applyFont="1" applyFill="1" applyBorder="1" applyAlignment="1">
      <alignment horizontal="right" indent="3"/>
    </xf>
    <xf numFmtId="168" fontId="11" fillId="3" borderId="8" xfId="2" applyNumberFormat="1" applyFont="1" applyFill="1" applyBorder="1" applyAlignment="1">
      <alignment horizontal="right" indent="3"/>
    </xf>
    <xf numFmtId="167" fontId="11" fillId="0" borderId="18" xfId="2" applyNumberFormat="1" applyFont="1" applyFill="1" applyBorder="1" applyAlignment="1">
      <alignment horizontal="right" indent="3"/>
    </xf>
    <xf numFmtId="167" fontId="11" fillId="0" borderId="17" xfId="2" applyNumberFormat="1" applyFont="1" applyFill="1" applyBorder="1" applyAlignment="1">
      <alignment horizontal="right" indent="3"/>
    </xf>
    <xf numFmtId="168" fontId="11" fillId="3" borderId="14" xfId="2" applyNumberFormat="1" applyFont="1" applyFill="1" applyBorder="1" applyAlignment="1">
      <alignment horizontal="right" vertical="center" indent="3"/>
    </xf>
    <xf numFmtId="168" fontId="11" fillId="3" borderId="13" xfId="2" applyNumberFormat="1" applyFont="1" applyFill="1" applyBorder="1" applyAlignment="1">
      <alignment horizontal="right" vertical="center" indent="3"/>
    </xf>
    <xf numFmtId="170" fontId="11" fillId="0" borderId="0" xfId="5" applyFont="1" applyFill="1" applyBorder="1" applyAlignment="1">
      <alignment vertical="center"/>
    </xf>
    <xf numFmtId="170" fontId="7" fillId="0" borderId="0" xfId="5" applyFont="1" applyFill="1" applyBorder="1" applyAlignment="1">
      <alignment horizontal="center" vertical="center" wrapText="1"/>
    </xf>
    <xf numFmtId="170" fontId="0" fillId="0" borderId="0" xfId="5" applyFont="1" applyFill="1" applyBorder="1" applyAlignment="1">
      <alignment horizontal="left" vertical="center"/>
    </xf>
    <xf numFmtId="3" fontId="7" fillId="0" borderId="0" xfId="5" applyNumberFormat="1" applyFont="1" applyFill="1" applyBorder="1" applyAlignment="1">
      <alignment horizontal="right" vertical="center"/>
    </xf>
    <xf numFmtId="9" fontId="11" fillId="0" borderId="0" xfId="1" applyFont="1" applyFill="1" applyBorder="1" applyAlignment="1"/>
    <xf numFmtId="171" fontId="11" fillId="0" borderId="0" xfId="5" applyNumberFormat="1" applyFont="1" applyFill="1" applyBorder="1" applyAlignment="1">
      <alignment horizontal="right" vertical="center"/>
    </xf>
    <xf numFmtId="170" fontId="11" fillId="0" borderId="0" xfId="5" applyFont="1" applyFill="1" applyBorder="1" applyAlignment="1">
      <alignment horizontal="left" vertical="center"/>
    </xf>
    <xf numFmtId="164" fontId="26" fillId="0" borderId="0" xfId="0" applyNumberFormat="1" applyFont="1" applyFill="1" applyBorder="1">
      <alignment vertical="center"/>
    </xf>
    <xf numFmtId="0" fontId="11" fillId="0" borderId="0" xfId="3" applyNumberFormat="1" applyFont="1" applyFill="1" applyBorder="1" applyAlignment="1">
      <alignment horizontal="left" vertical="center"/>
    </xf>
    <xf numFmtId="3" fontId="11" fillId="0" borderId="0" xfId="3" applyNumberFormat="1" applyFont="1" applyFill="1" applyBorder="1" applyAlignment="1">
      <alignment horizontal="right" vertical="center"/>
    </xf>
    <xf numFmtId="169" fontId="11" fillId="0" borderId="0" xfId="7" applyNumberFormat="1" applyFont="1" applyFill="1" applyBorder="1" applyAlignment="1">
      <alignment horizontal="right" vertical="center"/>
    </xf>
    <xf numFmtId="0" fontId="27" fillId="0" borderId="0" xfId="3" applyNumberFormat="1" applyFont="1" applyFill="1" applyBorder="1" applyAlignment="1">
      <alignment horizontal="left" vertical="center"/>
    </xf>
    <xf numFmtId="1" fontId="11" fillId="0" borderId="0" xfId="3" applyNumberFormat="1" applyFont="1" applyFill="1" applyBorder="1" applyAlignment="1">
      <alignment horizontal="right" vertical="center"/>
    </xf>
    <xf numFmtId="0" fontId="11" fillId="0" borderId="0" xfId="3" applyNumberFormat="1" applyFont="1" applyFill="1" applyBorder="1" applyAlignment="1">
      <alignment horizontal="right" vertical="center"/>
    </xf>
    <xf numFmtId="0" fontId="11" fillId="0" borderId="0" xfId="3" applyNumberFormat="1" applyFont="1" applyFill="1" applyBorder="1" applyAlignment="1">
      <alignment horizontal="left" vertical="center" wrapText="1"/>
    </xf>
    <xf numFmtId="0" fontId="7" fillId="3" borderId="0" xfId="2" applyFont="1" applyFill="1" applyBorder="1"/>
    <xf numFmtId="0" fontId="7" fillId="3" borderId="0" xfId="2" applyFont="1" applyFill="1" applyBorder="1" applyAlignment="1">
      <alignment horizontal="left"/>
    </xf>
    <xf numFmtId="0" fontId="7" fillId="0" borderId="0" xfId="2" applyFont="1" applyFill="1" applyBorder="1"/>
    <xf numFmtId="0" fontId="11" fillId="0" borderId="0" xfId="3" applyFont="1" applyBorder="1" applyAlignment="1">
      <alignment horizontal="left" vertical="center"/>
    </xf>
    <xf numFmtId="172" fontId="11" fillId="7" borderId="0" xfId="3" applyNumberFormat="1" applyFont="1" applyFill="1" applyBorder="1" applyAlignment="1">
      <alignment horizontal="left" vertical="center"/>
    </xf>
    <xf numFmtId="172" fontId="11" fillId="6" borderId="0" xfId="3" applyNumberFormat="1" applyFont="1" applyFill="1" applyBorder="1" applyAlignment="1">
      <alignment horizontal="left" vertical="center"/>
    </xf>
    <xf numFmtId="172" fontId="11" fillId="0" borderId="0" xfId="3" applyNumberFormat="1" applyFont="1" applyFill="1" applyBorder="1" applyAlignment="1">
      <alignment horizontal="left" vertical="center"/>
    </xf>
    <xf numFmtId="0" fontId="11" fillId="0" borderId="0" xfId="3" applyFont="1" applyFill="1" applyBorder="1" applyAlignment="1">
      <alignment horizontal="left" vertical="center"/>
    </xf>
    <xf numFmtId="0" fontId="22" fillId="0" borderId="0" xfId="3" applyFont="1" applyBorder="1" applyAlignment="1">
      <alignment horizontal="left" vertical="center"/>
    </xf>
    <xf numFmtId="168" fontId="11" fillId="4" borderId="43" xfId="8" applyNumberFormat="1" applyFont="1" applyFill="1" applyBorder="1" applyAlignment="1">
      <alignment horizontal="right" indent="2"/>
    </xf>
    <xf numFmtId="168" fontId="11" fillId="4" borderId="0" xfId="8" applyNumberFormat="1" applyFont="1" applyFill="1" applyBorder="1" applyAlignment="1">
      <alignment horizontal="right" indent="2"/>
    </xf>
    <xf numFmtId="168" fontId="11" fillId="4" borderId="49" xfId="8" applyNumberFormat="1" applyFont="1" applyFill="1" applyBorder="1" applyAlignment="1">
      <alignment horizontal="right" indent="2"/>
    </xf>
    <xf numFmtId="168" fontId="11" fillId="0" borderId="39" xfId="8" applyNumberFormat="1" applyFont="1" applyFill="1" applyBorder="1" applyAlignment="1">
      <alignment horizontal="right" indent="2"/>
    </xf>
    <xf numFmtId="168" fontId="11" fillId="0" borderId="4" xfId="8" applyNumberFormat="1" applyFont="1" applyFill="1" applyBorder="1" applyAlignment="1">
      <alignment horizontal="right" indent="2"/>
    </xf>
    <xf numFmtId="168" fontId="11" fillId="0" borderId="40" xfId="8" applyNumberFormat="1" applyFont="1" applyFill="1" applyBorder="1" applyAlignment="1">
      <alignment horizontal="right" indent="2"/>
    </xf>
    <xf numFmtId="168" fontId="11" fillId="0" borderId="37" xfId="8" applyNumberFormat="1" applyFont="1" applyFill="1" applyBorder="1" applyAlignment="1">
      <alignment horizontal="right" indent="2"/>
    </xf>
    <xf numFmtId="168" fontId="11" fillId="0" borderId="2" xfId="8" applyNumberFormat="1" applyFont="1" applyFill="1" applyBorder="1" applyAlignment="1">
      <alignment horizontal="right" indent="2"/>
    </xf>
    <xf numFmtId="168" fontId="11" fillId="0" borderId="38" xfId="8" applyNumberFormat="1" applyFont="1" applyFill="1" applyBorder="1" applyAlignment="1">
      <alignment horizontal="right" indent="2"/>
    </xf>
    <xf numFmtId="168" fontId="11" fillId="0" borderId="41" xfId="8" applyNumberFormat="1" applyFont="1" applyFill="1" applyBorder="1" applyAlignment="1">
      <alignment horizontal="right" indent="2"/>
    </xf>
    <xf numFmtId="168" fontId="11" fillId="0" borderId="5" xfId="8" applyNumberFormat="1" applyFont="1" applyFill="1" applyBorder="1" applyAlignment="1">
      <alignment horizontal="right" indent="2"/>
    </xf>
    <xf numFmtId="168" fontId="11" fillId="0" borderId="50" xfId="8" applyNumberFormat="1" applyFont="1" applyFill="1" applyBorder="1" applyAlignment="1">
      <alignment horizontal="right" indent="2"/>
    </xf>
    <xf numFmtId="168" fontId="11" fillId="0" borderId="47" xfId="8" applyNumberFormat="1" applyFont="1" applyFill="1" applyBorder="1" applyAlignment="1">
      <alignment horizontal="right" indent="2"/>
    </xf>
    <xf numFmtId="168" fontId="11" fillId="0" borderId="46" xfId="8" applyNumberFormat="1" applyFont="1" applyFill="1" applyBorder="1" applyAlignment="1">
      <alignment horizontal="right" indent="2"/>
    </xf>
    <xf numFmtId="168" fontId="11" fillId="0" borderId="51" xfId="8" applyNumberFormat="1" applyFont="1" applyFill="1" applyBorder="1" applyAlignment="1">
      <alignment horizontal="right" indent="2"/>
    </xf>
    <xf numFmtId="168" fontId="11" fillId="0" borderId="35" xfId="8" applyNumberFormat="1" applyFont="1" applyFill="1" applyBorder="1" applyAlignment="1">
      <alignment horizontal="right" indent="2"/>
    </xf>
    <xf numFmtId="168" fontId="11" fillId="0" borderId="3" xfId="8" applyNumberFormat="1" applyFont="1" applyFill="1" applyBorder="1" applyAlignment="1">
      <alignment horizontal="right" indent="2"/>
    </xf>
    <xf numFmtId="168" fontId="11" fillId="0" borderId="36" xfId="8" applyNumberFormat="1" applyFont="1" applyFill="1" applyBorder="1" applyAlignment="1">
      <alignment horizontal="right" indent="2"/>
    </xf>
    <xf numFmtId="173" fontId="11" fillId="4" borderId="1" xfId="8" applyNumberFormat="1" applyFont="1" applyFill="1" applyBorder="1" applyAlignment="1">
      <alignment horizontal="right" indent="3"/>
    </xf>
    <xf numFmtId="173" fontId="11" fillId="0" borderId="4" xfId="8" applyNumberFormat="1" applyFont="1" applyFill="1" applyBorder="1" applyAlignment="1">
      <alignment horizontal="right" indent="3"/>
    </xf>
    <xf numFmtId="173" fontId="11" fillId="0" borderId="2" xfId="8" applyNumberFormat="1" applyFont="1" applyFill="1" applyBorder="1" applyAlignment="1">
      <alignment horizontal="right" indent="3"/>
    </xf>
    <xf numFmtId="173" fontId="11" fillId="0" borderId="5" xfId="8" applyNumberFormat="1" applyFont="1" applyFill="1" applyBorder="1" applyAlignment="1">
      <alignment horizontal="right" indent="3"/>
    </xf>
    <xf numFmtId="173" fontId="11" fillId="0" borderId="46" xfId="8" applyNumberFormat="1" applyFont="1" applyFill="1" applyBorder="1" applyAlignment="1">
      <alignment horizontal="right" indent="3"/>
    </xf>
    <xf numFmtId="173" fontId="11" fillId="0" borderId="3" xfId="8" applyNumberFormat="1" applyFont="1" applyFill="1" applyBorder="1" applyAlignment="1">
      <alignment horizontal="right" indent="3"/>
    </xf>
    <xf numFmtId="3" fontId="11" fillId="0" borderId="0" xfId="5" quotePrefix="1" applyNumberFormat="1" applyFont="1" applyFill="1" applyBorder="1" applyAlignment="1">
      <alignment horizontal="right" vertical="center"/>
    </xf>
    <xf numFmtId="3" fontId="7" fillId="0" borderId="0" xfId="5" quotePrefix="1" applyNumberFormat="1" applyFont="1" applyFill="1" applyBorder="1" applyAlignment="1">
      <alignment horizontal="right" vertical="center"/>
    </xf>
    <xf numFmtId="0" fontId="6" fillId="0" borderId="0" xfId="0" applyFont="1">
      <alignment vertical="center"/>
    </xf>
    <xf numFmtId="0" fontId="28" fillId="0" borderId="0" xfId="0" applyFont="1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Fill="1" applyBorder="1" applyAlignment="1">
      <alignment horizontal="left" vertical="center"/>
    </xf>
    <xf numFmtId="0" fontId="8" fillId="0" borderId="0" xfId="0" applyFont="1" applyFill="1" applyBorder="1" applyAlignment="1"/>
    <xf numFmtId="0" fontId="4" fillId="0" borderId="0" xfId="0" applyFont="1" applyFill="1" applyBorder="1" applyAlignment="1"/>
    <xf numFmtId="0" fontId="11" fillId="0" borderId="0" xfId="2" applyFont="1" applyAlignment="1"/>
    <xf numFmtId="0" fontId="23" fillId="0" borderId="0" xfId="0" applyFont="1" applyFill="1" applyBorder="1">
      <alignment vertical="center"/>
    </xf>
    <xf numFmtId="0" fontId="31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right" wrapText="1"/>
    </xf>
    <xf numFmtId="170" fontId="23" fillId="0" borderId="0" xfId="5" applyFont="1" applyFill="1" applyBorder="1"/>
    <xf numFmtId="170" fontId="23" fillId="0" borderId="0" xfId="5" applyFont="1" applyFill="1" applyBorder="1" applyAlignment="1">
      <alignment horizontal="center" vertical="center" wrapText="1"/>
    </xf>
    <xf numFmtId="0" fontId="32" fillId="0" borderId="0" xfId="0" applyFont="1" applyFill="1" applyBorder="1">
      <alignment vertical="center"/>
    </xf>
    <xf numFmtId="0" fontId="23" fillId="0" borderId="0" xfId="0" applyFont="1">
      <alignment vertical="center"/>
    </xf>
    <xf numFmtId="0" fontId="29" fillId="0" borderId="0" xfId="3" applyFont="1" applyAlignment="1"/>
    <xf numFmtId="0" fontId="23" fillId="0" borderId="0" xfId="3" applyFont="1" applyBorder="1" applyAlignment="1">
      <alignment horizontal="left"/>
    </xf>
    <xf numFmtId="0" fontId="11" fillId="0" borderId="0" xfId="3" applyFont="1" applyAlignment="1">
      <alignment vertical="center"/>
    </xf>
    <xf numFmtId="0" fontId="23" fillId="3" borderId="0" xfId="2" applyFont="1" applyFill="1" applyBorder="1" applyAlignment="1">
      <alignment horizontal="left" vertical="center"/>
    </xf>
    <xf numFmtId="0" fontId="31" fillId="0" borderId="0" xfId="3" applyNumberFormat="1" applyFont="1" applyFill="1" applyBorder="1" applyAlignment="1">
      <alignment horizontal="center" vertical="center"/>
    </xf>
    <xf numFmtId="0" fontId="23" fillId="0" borderId="0" xfId="3" applyFont="1" applyAlignment="1">
      <alignment vertical="center"/>
    </xf>
    <xf numFmtId="0" fontId="23" fillId="0" borderId="0" xfId="3" applyFont="1" applyFill="1" applyBorder="1"/>
    <xf numFmtId="0" fontId="23" fillId="0" borderId="0" xfId="3" applyFont="1" applyBorder="1" applyAlignment="1">
      <alignment horizontal="left" vertical="center"/>
    </xf>
    <xf numFmtId="0" fontId="30" fillId="0" borderId="0" xfId="3" applyNumberFormat="1" applyFont="1" applyFill="1" applyBorder="1" applyAlignment="1">
      <alignment horizontal="left"/>
    </xf>
    <xf numFmtId="0" fontId="7" fillId="2" borderId="42" xfId="2" applyFont="1" applyFill="1" applyBorder="1" applyAlignment="1">
      <alignment horizontal="center"/>
    </xf>
    <xf numFmtId="0" fontId="7" fillId="2" borderId="56" xfId="2" applyFont="1" applyFill="1" applyBorder="1" applyAlignment="1">
      <alignment horizontal="center" wrapText="1"/>
    </xf>
    <xf numFmtId="170" fontId="6" fillId="0" borderId="0" xfId="5" applyFont="1" applyFill="1" applyBorder="1" applyAlignment="1"/>
    <xf numFmtId="0" fontId="24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170" fontId="0" fillId="0" borderId="0" xfId="5" applyFont="1" applyFill="1" applyBorder="1"/>
    <xf numFmtId="0" fontId="0" fillId="0" borderId="0" xfId="3" applyFont="1" applyBorder="1"/>
    <xf numFmtId="0" fontId="7" fillId="3" borderId="22" xfId="2" applyFont="1" applyFill="1" applyBorder="1" applyAlignment="1"/>
    <xf numFmtId="0" fontId="7" fillId="3" borderId="16" xfId="2" applyFont="1" applyFill="1" applyBorder="1" applyAlignment="1"/>
    <xf numFmtId="0" fontId="7" fillId="0" borderId="22" xfId="2" applyFont="1" applyFill="1" applyBorder="1" applyAlignment="1"/>
    <xf numFmtId="0" fontId="7" fillId="3" borderId="23" xfId="2" applyFont="1" applyFill="1" applyBorder="1" applyAlignment="1"/>
    <xf numFmtId="0" fontId="7" fillId="3" borderId="21" xfId="2" applyFont="1" applyFill="1" applyBorder="1" applyAlignment="1"/>
    <xf numFmtId="0" fontId="7" fillId="3" borderId="11" xfId="2" applyFont="1" applyFill="1" applyBorder="1" applyAlignment="1"/>
    <xf numFmtId="0" fontId="6" fillId="0" borderId="0" xfId="3" applyFont="1" applyBorder="1"/>
    <xf numFmtId="0" fontId="11" fillId="3" borderId="0" xfId="2" applyFont="1" applyFill="1" applyBorder="1" applyAlignment="1">
      <alignment horizontal="left" vertical="center"/>
    </xf>
    <xf numFmtId="0" fontId="6" fillId="0" borderId="0" xfId="3" applyFont="1" applyBorder="1" applyAlignment="1">
      <alignment horizontal="left" vertical="center"/>
    </xf>
    <xf numFmtId="170" fontId="11" fillId="0" borderId="0" xfId="5" applyFont="1" applyFill="1" applyBorder="1" applyAlignment="1">
      <alignment horizontal="center" vertical="center" wrapText="1"/>
    </xf>
    <xf numFmtId="0" fontId="0" fillId="0" borderId="0" xfId="0" applyFont="1" applyFill="1" applyBorder="1" applyAlignment="1"/>
    <xf numFmtId="0" fontId="6" fillId="0" borderId="0" xfId="0" applyFont="1" applyFill="1" applyBorder="1">
      <alignment vertical="center"/>
    </xf>
    <xf numFmtId="0" fontId="0" fillId="0" borderId="0" xfId="0" applyFont="1" applyFill="1" applyBorder="1" applyAlignment="1">
      <alignment horizontal="right" wrapText="1"/>
    </xf>
    <xf numFmtId="0" fontId="7" fillId="2" borderId="52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/>
    </xf>
    <xf numFmtId="0" fontId="7" fillId="2" borderId="42" xfId="2" applyFont="1" applyFill="1" applyBorder="1" applyAlignment="1">
      <alignment horizontal="center"/>
    </xf>
    <xf numFmtId="0" fontId="7" fillId="2" borderId="53" xfId="2" applyFont="1" applyFill="1" applyBorder="1" applyAlignment="1">
      <alignment horizontal="center"/>
    </xf>
    <xf numFmtId="0" fontId="7" fillId="2" borderId="54" xfId="2" applyFont="1" applyFill="1" applyBorder="1" applyAlignment="1">
      <alignment horizontal="center"/>
    </xf>
    <xf numFmtId="0" fontId="7" fillId="2" borderId="55" xfId="2" applyFont="1" applyFill="1" applyBorder="1" applyAlignment="1">
      <alignment horizontal="center"/>
    </xf>
    <xf numFmtId="0" fontId="8" fillId="0" borderId="0" xfId="0" applyFont="1" applyFill="1" applyBorder="1" applyAlignment="1">
      <alignment horizontal="left" vertical="center"/>
    </xf>
    <xf numFmtId="1" fontId="7" fillId="2" borderId="39" xfId="3" applyNumberFormat="1" applyFont="1" applyFill="1" applyBorder="1" applyAlignment="1">
      <alignment horizontal="center" vertical="center"/>
    </xf>
    <xf numFmtId="1" fontId="7" fillId="2" borderId="4" xfId="3" applyNumberFormat="1" applyFont="1" applyFill="1" applyBorder="1" applyAlignment="1">
      <alignment horizontal="center" vertical="center"/>
    </xf>
    <xf numFmtId="1" fontId="7" fillId="2" borderId="1" xfId="3" applyNumberFormat="1" applyFont="1" applyFill="1" applyBorder="1" applyAlignment="1">
      <alignment horizontal="center" vertical="center"/>
    </xf>
    <xf numFmtId="1" fontId="7" fillId="2" borderId="42" xfId="3" applyNumberFormat="1" applyFont="1" applyFill="1" applyBorder="1" applyAlignment="1">
      <alignment horizontal="center" vertical="center"/>
    </xf>
    <xf numFmtId="0" fontId="7" fillId="2" borderId="44" xfId="3" applyNumberFormat="1" applyFont="1" applyFill="1" applyBorder="1" applyAlignment="1">
      <alignment horizontal="center" vertical="center" wrapText="1"/>
    </xf>
    <xf numFmtId="0" fontId="7" fillId="2" borderId="45" xfId="3" applyNumberFormat="1" applyFont="1" applyFill="1" applyBorder="1" applyAlignment="1">
      <alignment horizontal="center" vertical="center"/>
    </xf>
  </cellXfs>
  <cellStyles count="10">
    <cellStyle name="Normal 2" xfId="2"/>
    <cellStyle name="Normal 2 2" xfId="3"/>
    <cellStyle name="Normal 3" xfId="5"/>
    <cellStyle name="Normal_Tables_and_Graphs" xfId="9"/>
    <cellStyle name="NumberCellStyle" xfId="8"/>
    <cellStyle name="Percent 2" xfId="4"/>
    <cellStyle name="Percent 3" xfId="6"/>
    <cellStyle name="Percent 4" xfId="7"/>
    <cellStyle name="Prozent" xfId="1" builtinId="5"/>
    <cellStyle name="Standard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A85C2"/>
      <rgbColor rgb="00FF0000"/>
      <rgbColor rgb="004D4D4D"/>
      <rgbColor rgb="00FF0000"/>
      <rgbColor rgb="00000000"/>
      <rgbColor rgb="00FF0000"/>
      <rgbColor rgb="00FF0000"/>
      <rgbColor rgb="00FF0000"/>
      <rgbColor rgb="00BDD52F"/>
      <rgbColor rgb="00E2EBAC"/>
      <rgbColor rgb="00FFFFFF"/>
      <rgbColor rgb="00D6E387"/>
      <rgbColor rgb="00C0C0C0"/>
      <rgbColor rgb="00F5F8E7"/>
      <rgbColor rgb="00FF0000"/>
      <rgbColor rgb="0000FF00"/>
      <rgbColor rgb="007B86C2"/>
      <rgbColor rgb="00BED730"/>
      <rgbColor rgb="00F5E69D"/>
      <rgbColor rgb="00588944"/>
      <rgbColor rgb="00854337"/>
      <rgbColor rgb="00C3C6E3"/>
      <rgbColor rgb="00DEDFF0"/>
      <rgbColor rgb="00DDE89A"/>
      <rgbColor rgb="007B86C2"/>
      <rgbColor rgb="00BED730"/>
      <rgbColor rgb="00F5E69D"/>
      <rgbColor rgb="00588944"/>
      <rgbColor rgb="00854337"/>
      <rgbColor rgb="00C3C6E3"/>
      <rgbColor rgb="00DEDFF0"/>
      <rgbColor rgb="00DDE89A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B2B2B2"/>
      <rgbColor rgb="00969696"/>
      <rgbColor rgb="00777777"/>
      <rgbColor rgb="00FF0000"/>
      <rgbColor rgb="005F5F5F"/>
      <rgbColor rgb="00CADD5C"/>
      <rgbColor rgb="0000FF00"/>
      <rgbColor rgb="00EAEAEA"/>
      <rgbColor rgb="00DEDFEF"/>
      <rgbColor rgb="00808080"/>
      <rgbColor rgb="00C2C5E2"/>
      <rgbColor rgb="00A8AED9"/>
      <rgbColor rgb="009199CA"/>
      <rgbColor rgb="00FF0000"/>
      <rgbColor rgb="00000000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100" b="1">
                <a:latin typeface="Arial"/>
                <a:ea typeface="Arial"/>
                <a:cs typeface="Arial"/>
              </a:defRPr>
            </a:pPr>
            <a:r>
              <a:rPr lang="en-US"/>
              <a:t>Aufteilung des Personenbinnenverkehrs auf die verschiedenen Verkehrsträger („Modal Split“), 2016</a:t>
            </a:r>
          </a:p>
          <a:p>
            <a:pPr algn="l">
              <a:defRPr sz="1100" b="1">
                <a:latin typeface="Arial"/>
                <a:ea typeface="Arial"/>
                <a:cs typeface="Arial"/>
              </a:defRPr>
            </a:pPr>
            <a:r>
              <a:rPr lang="en-US" sz="1000" b="0"/>
              <a:t>(in % der gesamten pkm im Binnenverkehr)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9006824146981631E-2"/>
          <c:y val="9.1595472991883572E-2"/>
          <c:w val="0.94632650918635175"/>
          <c:h val="0.605800622726000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'Abbildung 1'!$D$10</c:f>
              <c:strCache>
                <c:ptCount val="1"/>
                <c:pt idx="0">
                  <c:v>Personenkraftwagen</c:v>
                </c:pt>
              </c:strCache>
            </c:strRef>
          </c:tx>
          <c:spPr>
            <a:solidFill>
              <a:srgbClr val="B9C31E">
                <a:lumMod val="100000"/>
              </a:srgbClr>
            </a:solidFill>
            <a:ln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invertIfNegative val="0"/>
          <c:cat>
            <c:strRef>
              <c:f>'Abbildung 1'!$C$11:$C$47</c:f>
              <c:strCache>
                <c:ptCount val="37"/>
                <c:pt idx="0">
                  <c:v>EU-28 (¹)</c:v>
                </c:pt>
                <c:pt idx="2">
                  <c:v>Litauen</c:v>
                </c:pt>
                <c:pt idx="3">
                  <c:v>Portugal (¹)</c:v>
                </c:pt>
                <c:pt idx="4">
                  <c:v>Ver. Königreich (¹)</c:v>
                </c:pt>
                <c:pt idx="5">
                  <c:v>Slowenien (¹)</c:v>
                </c:pt>
                <c:pt idx="6">
                  <c:v>Niederlande (¹)</c:v>
                </c:pt>
                <c:pt idx="7">
                  <c:v>Deutschland</c:v>
                </c:pt>
                <c:pt idx="8">
                  <c:v>Kroatien</c:v>
                </c:pt>
                <c:pt idx="9">
                  <c:v>Bulgarien</c:v>
                </c:pt>
                <c:pt idx="10">
                  <c:v>Schweden</c:v>
                </c:pt>
                <c:pt idx="11">
                  <c:v>Luxemburg (¹)</c:v>
                </c:pt>
                <c:pt idx="12">
                  <c:v>Malta (¹)</c:v>
                </c:pt>
                <c:pt idx="13">
                  <c:v>Finnland</c:v>
                </c:pt>
                <c:pt idx="14">
                  <c:v>Griechenland (¹)</c:v>
                </c:pt>
                <c:pt idx="15">
                  <c:v>Italien (¹)</c:v>
                </c:pt>
                <c:pt idx="16">
                  <c:v>Belgien (¹)</c:v>
                </c:pt>
                <c:pt idx="17">
                  <c:v>Dänemark</c:v>
                </c:pt>
                <c:pt idx="18">
                  <c:v>Spanien</c:v>
                </c:pt>
                <c:pt idx="19">
                  <c:v>Frankreich</c:v>
                </c:pt>
                <c:pt idx="20">
                  <c:v>Lettland</c:v>
                </c:pt>
                <c:pt idx="21">
                  <c:v>Zypern (¹)</c:v>
                </c:pt>
                <c:pt idx="22">
                  <c:v>Estland (¹)</c:v>
                </c:pt>
                <c:pt idx="23">
                  <c:v>Rumänien (¹)</c:v>
                </c:pt>
                <c:pt idx="24">
                  <c:v>Irland (¹)</c:v>
                </c:pt>
                <c:pt idx="25">
                  <c:v>Polen</c:v>
                </c:pt>
                <c:pt idx="26">
                  <c:v>Österreich (¹)</c:v>
                </c:pt>
                <c:pt idx="27">
                  <c:v>Slowakei (¹)</c:v>
                </c:pt>
                <c:pt idx="28">
                  <c:v>Tschechien</c:v>
                </c:pt>
                <c:pt idx="29">
                  <c:v>Ungarn</c:v>
                </c:pt>
                <c:pt idx="31">
                  <c:v>Norwegen</c:v>
                </c:pt>
                <c:pt idx="32">
                  <c:v>Island</c:v>
                </c:pt>
                <c:pt idx="33">
                  <c:v>Schweiz</c:v>
                </c:pt>
                <c:pt idx="35">
                  <c:v>Nordmazedonien</c:v>
                </c:pt>
                <c:pt idx="36">
                  <c:v>Türkei</c:v>
                </c:pt>
              </c:strCache>
            </c:strRef>
          </c:cat>
          <c:val>
            <c:numRef>
              <c:f>'Abbildung 1'!$D$11:$D$47</c:f>
              <c:numCache>
                <c:formatCode>#,##0.0_i</c:formatCode>
                <c:ptCount val="37"/>
                <c:pt idx="0">
                  <c:v>82.9</c:v>
                </c:pt>
                <c:pt idx="2">
                  <c:v>89.9</c:v>
                </c:pt>
                <c:pt idx="3">
                  <c:v>89.1</c:v>
                </c:pt>
                <c:pt idx="4">
                  <c:v>86.5</c:v>
                </c:pt>
                <c:pt idx="5">
                  <c:v>86.3</c:v>
                </c:pt>
                <c:pt idx="6">
                  <c:v>86</c:v>
                </c:pt>
                <c:pt idx="7">
                  <c:v>85.7</c:v>
                </c:pt>
                <c:pt idx="8">
                  <c:v>85</c:v>
                </c:pt>
                <c:pt idx="9">
                  <c:v>83.7</c:v>
                </c:pt>
                <c:pt idx="10">
                  <c:v>83.5</c:v>
                </c:pt>
                <c:pt idx="11">
                  <c:v>83.1</c:v>
                </c:pt>
                <c:pt idx="12">
                  <c:v>82.6</c:v>
                </c:pt>
                <c:pt idx="13">
                  <c:v>82.5</c:v>
                </c:pt>
                <c:pt idx="14">
                  <c:v>81.900000000000006</c:v>
                </c:pt>
                <c:pt idx="15">
                  <c:v>81.900000000000006</c:v>
                </c:pt>
                <c:pt idx="16">
                  <c:v>81.8</c:v>
                </c:pt>
                <c:pt idx="17">
                  <c:v>81.599999999999994</c:v>
                </c:pt>
                <c:pt idx="18">
                  <c:v>81.599999999999994</c:v>
                </c:pt>
                <c:pt idx="19">
                  <c:v>81.5</c:v>
                </c:pt>
                <c:pt idx="20">
                  <c:v>81.5</c:v>
                </c:pt>
                <c:pt idx="21">
                  <c:v>81.400000000000006</c:v>
                </c:pt>
                <c:pt idx="22">
                  <c:v>80.099999999999994</c:v>
                </c:pt>
                <c:pt idx="23">
                  <c:v>80.099999999999994</c:v>
                </c:pt>
                <c:pt idx="24">
                  <c:v>79.900000000000006</c:v>
                </c:pt>
                <c:pt idx="25">
                  <c:v>78.5</c:v>
                </c:pt>
                <c:pt idx="26">
                  <c:v>77.7</c:v>
                </c:pt>
                <c:pt idx="27">
                  <c:v>74.8</c:v>
                </c:pt>
                <c:pt idx="28">
                  <c:v>74</c:v>
                </c:pt>
                <c:pt idx="29">
                  <c:v>69</c:v>
                </c:pt>
                <c:pt idx="31">
                  <c:v>89</c:v>
                </c:pt>
                <c:pt idx="32">
                  <c:v>88.6</c:v>
                </c:pt>
                <c:pt idx="33">
                  <c:v>74.3</c:v>
                </c:pt>
                <c:pt idx="35">
                  <c:v>85.9</c:v>
                </c:pt>
                <c:pt idx="36">
                  <c:v>70.099999999999994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1-4E7C-A08B-6405EF1477D4}"/>
            </c:ext>
          </c:extLst>
        </c:ser>
        <c:ser>
          <c:idx val="1"/>
          <c:order val="1"/>
          <c:tx>
            <c:strRef>
              <c:f>'Abbildung 1'!$E$10</c:f>
              <c:strCache>
                <c:ptCount val="1"/>
                <c:pt idx="0">
                  <c:v>Busse, Reisebusse und Oberleitungsbusse</c:v>
                </c:pt>
              </c:strCache>
            </c:strRef>
          </c:tx>
          <c:spPr>
            <a:solidFill>
              <a:srgbClr val="C84B96">
                <a:lumMod val="100000"/>
              </a:srgbClr>
            </a:solidFill>
            <a:ln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invertIfNegative val="0"/>
          <c:cat>
            <c:strRef>
              <c:f>'Abbildung 1'!$C$11:$C$47</c:f>
              <c:strCache>
                <c:ptCount val="37"/>
                <c:pt idx="0">
                  <c:v>EU-28 (¹)</c:v>
                </c:pt>
                <c:pt idx="2">
                  <c:v>Litauen</c:v>
                </c:pt>
                <c:pt idx="3">
                  <c:v>Portugal (¹)</c:v>
                </c:pt>
                <c:pt idx="4">
                  <c:v>Ver. Königreich (¹)</c:v>
                </c:pt>
                <c:pt idx="5">
                  <c:v>Slowenien (¹)</c:v>
                </c:pt>
                <c:pt idx="6">
                  <c:v>Niederlande (¹)</c:v>
                </c:pt>
                <c:pt idx="7">
                  <c:v>Deutschland</c:v>
                </c:pt>
                <c:pt idx="8">
                  <c:v>Kroatien</c:v>
                </c:pt>
                <c:pt idx="9">
                  <c:v>Bulgarien</c:v>
                </c:pt>
                <c:pt idx="10">
                  <c:v>Schweden</c:v>
                </c:pt>
                <c:pt idx="11">
                  <c:v>Luxemburg (¹)</c:v>
                </c:pt>
                <c:pt idx="12">
                  <c:v>Malta (¹)</c:v>
                </c:pt>
                <c:pt idx="13">
                  <c:v>Finnland</c:v>
                </c:pt>
                <c:pt idx="14">
                  <c:v>Griechenland (¹)</c:v>
                </c:pt>
                <c:pt idx="15">
                  <c:v>Italien (¹)</c:v>
                </c:pt>
                <c:pt idx="16">
                  <c:v>Belgien (¹)</c:v>
                </c:pt>
                <c:pt idx="17">
                  <c:v>Dänemark</c:v>
                </c:pt>
                <c:pt idx="18">
                  <c:v>Spanien</c:v>
                </c:pt>
                <c:pt idx="19">
                  <c:v>Frankreich</c:v>
                </c:pt>
                <c:pt idx="20">
                  <c:v>Lettland</c:v>
                </c:pt>
                <c:pt idx="21">
                  <c:v>Zypern (¹)</c:v>
                </c:pt>
                <c:pt idx="22">
                  <c:v>Estland (¹)</c:v>
                </c:pt>
                <c:pt idx="23">
                  <c:v>Rumänien (¹)</c:v>
                </c:pt>
                <c:pt idx="24">
                  <c:v>Irland (¹)</c:v>
                </c:pt>
                <c:pt idx="25">
                  <c:v>Polen</c:v>
                </c:pt>
                <c:pt idx="26">
                  <c:v>Österreich (¹)</c:v>
                </c:pt>
                <c:pt idx="27">
                  <c:v>Slowakei (¹)</c:v>
                </c:pt>
                <c:pt idx="28">
                  <c:v>Tschechien</c:v>
                </c:pt>
                <c:pt idx="29">
                  <c:v>Ungarn</c:v>
                </c:pt>
                <c:pt idx="31">
                  <c:v>Norwegen</c:v>
                </c:pt>
                <c:pt idx="32">
                  <c:v>Island</c:v>
                </c:pt>
                <c:pt idx="33">
                  <c:v>Schweiz</c:v>
                </c:pt>
                <c:pt idx="35">
                  <c:v>Nordmazedonien</c:v>
                </c:pt>
                <c:pt idx="36">
                  <c:v>Türkei</c:v>
                </c:pt>
              </c:strCache>
            </c:strRef>
          </c:cat>
          <c:val>
            <c:numRef>
              <c:f>'Abbildung 1'!$E$11:$E$47</c:f>
              <c:numCache>
                <c:formatCode>#,##0.0_i</c:formatCode>
                <c:ptCount val="37"/>
                <c:pt idx="0">
                  <c:v>9.4</c:v>
                </c:pt>
                <c:pt idx="2">
                  <c:v>9.1</c:v>
                </c:pt>
                <c:pt idx="3">
                  <c:v>6.7</c:v>
                </c:pt>
                <c:pt idx="4">
                  <c:v>4.5999999999999996</c:v>
                </c:pt>
                <c:pt idx="5">
                  <c:v>11.8</c:v>
                </c:pt>
                <c:pt idx="6">
                  <c:v>3</c:v>
                </c:pt>
                <c:pt idx="7">
                  <c:v>5.8</c:v>
                </c:pt>
                <c:pt idx="8">
                  <c:v>12.3</c:v>
                </c:pt>
                <c:pt idx="9">
                  <c:v>14.1</c:v>
                </c:pt>
                <c:pt idx="10">
                  <c:v>7.2</c:v>
                </c:pt>
                <c:pt idx="11">
                  <c:v>12.3</c:v>
                </c:pt>
                <c:pt idx="12">
                  <c:v>17.399999999999999</c:v>
                </c:pt>
                <c:pt idx="13">
                  <c:v>11.9</c:v>
                </c:pt>
                <c:pt idx="14">
                  <c:v>17.100000000000001</c:v>
                </c:pt>
                <c:pt idx="15">
                  <c:v>12</c:v>
                </c:pt>
                <c:pt idx="16">
                  <c:v>10.5</c:v>
                </c:pt>
                <c:pt idx="17">
                  <c:v>9.8000000000000007</c:v>
                </c:pt>
                <c:pt idx="18">
                  <c:v>11.8</c:v>
                </c:pt>
                <c:pt idx="19">
                  <c:v>8.8000000000000007</c:v>
                </c:pt>
                <c:pt idx="20">
                  <c:v>15.1</c:v>
                </c:pt>
                <c:pt idx="21">
                  <c:v>18.600000000000001</c:v>
                </c:pt>
                <c:pt idx="22">
                  <c:v>17.899999999999999</c:v>
                </c:pt>
                <c:pt idx="23">
                  <c:v>15.7</c:v>
                </c:pt>
                <c:pt idx="24">
                  <c:v>17.2</c:v>
                </c:pt>
                <c:pt idx="25">
                  <c:v>14.2</c:v>
                </c:pt>
                <c:pt idx="26">
                  <c:v>10.199999999999999</c:v>
                </c:pt>
                <c:pt idx="27">
                  <c:v>15.8</c:v>
                </c:pt>
                <c:pt idx="28">
                  <c:v>17.100000000000001</c:v>
                </c:pt>
                <c:pt idx="29">
                  <c:v>21.7</c:v>
                </c:pt>
                <c:pt idx="31">
                  <c:v>5.9</c:v>
                </c:pt>
                <c:pt idx="32">
                  <c:v>11.4</c:v>
                </c:pt>
                <c:pt idx="33">
                  <c:v>5.9</c:v>
                </c:pt>
                <c:pt idx="35">
                  <c:v>13.1</c:v>
                </c:pt>
                <c:pt idx="36">
                  <c:v>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11-4E7C-A08B-6405EF1477D4}"/>
            </c:ext>
          </c:extLst>
        </c:ser>
        <c:ser>
          <c:idx val="2"/>
          <c:order val="2"/>
          <c:tx>
            <c:strRef>
              <c:f>'Abbildung 1'!$F$10</c:f>
              <c:strCache>
                <c:ptCount val="1"/>
                <c:pt idx="0">
                  <c:v>Züge</c:v>
                </c:pt>
              </c:strCache>
            </c:strRef>
          </c:tx>
          <c:spPr>
            <a:solidFill>
              <a:srgbClr val="286EB4">
                <a:lumMod val="100000"/>
              </a:srgbClr>
            </a:solidFill>
            <a:ln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invertIfNegative val="0"/>
          <c:cat>
            <c:strRef>
              <c:f>'Abbildung 1'!$C$11:$C$47</c:f>
              <c:strCache>
                <c:ptCount val="37"/>
                <c:pt idx="0">
                  <c:v>EU-28 (¹)</c:v>
                </c:pt>
                <c:pt idx="2">
                  <c:v>Litauen</c:v>
                </c:pt>
                <c:pt idx="3">
                  <c:v>Portugal (¹)</c:v>
                </c:pt>
                <c:pt idx="4">
                  <c:v>Ver. Königreich (¹)</c:v>
                </c:pt>
                <c:pt idx="5">
                  <c:v>Slowenien (¹)</c:v>
                </c:pt>
                <c:pt idx="6">
                  <c:v>Niederlande (¹)</c:v>
                </c:pt>
                <c:pt idx="7">
                  <c:v>Deutschland</c:v>
                </c:pt>
                <c:pt idx="8">
                  <c:v>Kroatien</c:v>
                </c:pt>
                <c:pt idx="9">
                  <c:v>Bulgarien</c:v>
                </c:pt>
                <c:pt idx="10">
                  <c:v>Schweden</c:v>
                </c:pt>
                <c:pt idx="11">
                  <c:v>Luxemburg (¹)</c:v>
                </c:pt>
                <c:pt idx="12">
                  <c:v>Malta (¹)</c:v>
                </c:pt>
                <c:pt idx="13">
                  <c:v>Finnland</c:v>
                </c:pt>
                <c:pt idx="14">
                  <c:v>Griechenland (¹)</c:v>
                </c:pt>
                <c:pt idx="15">
                  <c:v>Italien (¹)</c:v>
                </c:pt>
                <c:pt idx="16">
                  <c:v>Belgien (¹)</c:v>
                </c:pt>
                <c:pt idx="17">
                  <c:v>Dänemark</c:v>
                </c:pt>
                <c:pt idx="18">
                  <c:v>Spanien</c:v>
                </c:pt>
                <c:pt idx="19">
                  <c:v>Frankreich</c:v>
                </c:pt>
                <c:pt idx="20">
                  <c:v>Lettland</c:v>
                </c:pt>
                <c:pt idx="21">
                  <c:v>Zypern (¹)</c:v>
                </c:pt>
                <c:pt idx="22">
                  <c:v>Estland (¹)</c:v>
                </c:pt>
                <c:pt idx="23">
                  <c:v>Rumänien (¹)</c:v>
                </c:pt>
                <c:pt idx="24">
                  <c:v>Irland (¹)</c:v>
                </c:pt>
                <c:pt idx="25">
                  <c:v>Polen</c:v>
                </c:pt>
                <c:pt idx="26">
                  <c:v>Österreich (¹)</c:v>
                </c:pt>
                <c:pt idx="27">
                  <c:v>Slowakei (¹)</c:v>
                </c:pt>
                <c:pt idx="28">
                  <c:v>Tschechien</c:v>
                </c:pt>
                <c:pt idx="29">
                  <c:v>Ungarn</c:v>
                </c:pt>
                <c:pt idx="31">
                  <c:v>Norwegen</c:v>
                </c:pt>
                <c:pt idx="32">
                  <c:v>Island</c:v>
                </c:pt>
                <c:pt idx="33">
                  <c:v>Schweiz</c:v>
                </c:pt>
                <c:pt idx="35">
                  <c:v>Nordmazedonien</c:v>
                </c:pt>
                <c:pt idx="36">
                  <c:v>Türkei</c:v>
                </c:pt>
              </c:strCache>
            </c:strRef>
          </c:cat>
          <c:val>
            <c:numRef>
              <c:f>'Abbildung 1'!$F$11:$F$47</c:f>
              <c:numCache>
                <c:formatCode>#,##0.0_i</c:formatCode>
                <c:ptCount val="37"/>
                <c:pt idx="0">
                  <c:v>7.7</c:v>
                </c:pt>
                <c:pt idx="2">
                  <c:v>1</c:v>
                </c:pt>
                <c:pt idx="3">
                  <c:v>4.2</c:v>
                </c:pt>
                <c:pt idx="4">
                  <c:v>8.8000000000000007</c:v>
                </c:pt>
                <c:pt idx="5">
                  <c:v>2</c:v>
                </c:pt>
                <c:pt idx="6">
                  <c:v>11</c:v>
                </c:pt>
                <c:pt idx="7">
                  <c:v>8.6</c:v>
                </c:pt>
                <c:pt idx="8">
                  <c:v>2.7</c:v>
                </c:pt>
                <c:pt idx="9">
                  <c:v>2.2000000000000002</c:v>
                </c:pt>
                <c:pt idx="10">
                  <c:v>9.3000000000000007</c:v>
                </c:pt>
                <c:pt idx="11">
                  <c:v>4.5999999999999996</c:v>
                </c:pt>
                <c:pt idx="12">
                  <c:v>0</c:v>
                </c:pt>
                <c:pt idx="13">
                  <c:v>5.6</c:v>
                </c:pt>
                <c:pt idx="14">
                  <c:v>1</c:v>
                </c:pt>
                <c:pt idx="15" formatCode="@_i">
                  <c:v>6.1</c:v>
                </c:pt>
                <c:pt idx="16">
                  <c:v>7.7</c:v>
                </c:pt>
                <c:pt idx="17">
                  <c:v>8.6</c:v>
                </c:pt>
                <c:pt idx="18">
                  <c:v>6.6</c:v>
                </c:pt>
                <c:pt idx="19">
                  <c:v>9.6999999999999993</c:v>
                </c:pt>
                <c:pt idx="20">
                  <c:v>3.4</c:v>
                </c:pt>
                <c:pt idx="21">
                  <c:v>0</c:v>
                </c:pt>
                <c:pt idx="22">
                  <c:v>2</c:v>
                </c:pt>
                <c:pt idx="23">
                  <c:v>4.2</c:v>
                </c:pt>
                <c:pt idx="24">
                  <c:v>2.9</c:v>
                </c:pt>
                <c:pt idx="25">
                  <c:v>7.3</c:v>
                </c:pt>
                <c:pt idx="26">
                  <c:v>12.1</c:v>
                </c:pt>
                <c:pt idx="27">
                  <c:v>9.4</c:v>
                </c:pt>
                <c:pt idx="28">
                  <c:v>8.9</c:v>
                </c:pt>
                <c:pt idx="29">
                  <c:v>9.3000000000000007</c:v>
                </c:pt>
                <c:pt idx="31">
                  <c:v>5.0999999999999996</c:v>
                </c:pt>
                <c:pt idx="32" formatCode="@_i">
                  <c:v>0</c:v>
                </c:pt>
                <c:pt idx="33">
                  <c:v>19.8</c:v>
                </c:pt>
                <c:pt idx="35">
                  <c:v>1</c:v>
                </c:pt>
                <c:pt idx="36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11-4E7C-A08B-6405EF147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4684288"/>
        <c:axId val="224706560"/>
      </c:barChart>
      <c:catAx>
        <c:axId val="2246842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de-DE"/>
          </a:p>
        </c:txPr>
        <c:crossAx val="224706560"/>
        <c:crosses val="autoZero"/>
        <c:auto val="1"/>
        <c:lblAlgn val="ctr"/>
        <c:lblOffset val="100"/>
        <c:noMultiLvlLbl val="0"/>
      </c:catAx>
      <c:valAx>
        <c:axId val="224706560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22468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4260304461942254"/>
          <c:y val="0.89347904422054292"/>
          <c:w val="0.31415443569553808"/>
          <c:h val="0.1044115589140778"/>
        </c:manualLayout>
      </c:layout>
      <c:overlay val="0"/>
      <c:txPr>
        <a:bodyPr/>
        <a:lstStyle/>
        <a:p>
          <a:pPr>
            <a:defRPr b="1"/>
          </a:pPr>
          <a:endParaRPr lang="de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100" b="1">
                <a:latin typeface="Arial"/>
                <a:ea typeface="Arial"/>
                <a:cs typeface="Arial"/>
              </a:defRPr>
            </a:pPr>
            <a:r>
              <a:rPr lang="en-US"/>
              <a:t>Eisenbahnpersonenverkehr nach Verkehrsmittel, 2017</a:t>
            </a:r>
          </a:p>
          <a:p>
            <a:pPr algn="l">
              <a:defRPr sz="1100" b="1">
                <a:latin typeface="Arial"/>
                <a:ea typeface="Arial"/>
                <a:cs typeface="Arial"/>
              </a:defRPr>
            </a:pPr>
            <a:r>
              <a:rPr lang="en-US" sz="1000" b="0"/>
              <a:t>(in pkm pro Einwohner)</a:t>
            </a:r>
          </a:p>
        </c:rich>
      </c:tx>
      <c:layout>
        <c:manualLayout>
          <c:xMode val="edge"/>
          <c:yMode val="edge"/>
          <c:x val="5.3333333333333332E-3"/>
          <c:y val="8.886090120347047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4085039370078738E-2"/>
          <c:y val="8.8664112790372243E-2"/>
          <c:w val="0.92017259842519683"/>
          <c:h val="0.6557451721242654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'Abbildung 2'!$D$10</c:f>
              <c:strCache>
                <c:ptCount val="1"/>
                <c:pt idx="0">
                  <c:v>Innerstaatlich (linke Achse)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'Abbildung 2'!$C$11:$C$41</c:f>
              <c:strCache>
                <c:ptCount val="31"/>
                <c:pt idx="0">
                  <c:v>EU-28</c:v>
                </c:pt>
                <c:pt idx="2">
                  <c:v>Österreich</c:v>
                </c:pt>
                <c:pt idx="3">
                  <c:v>Frankreich</c:v>
                </c:pt>
                <c:pt idx="4">
                  <c:v>Schweden</c:v>
                </c:pt>
                <c:pt idx="5">
                  <c:v>Deutschland</c:v>
                </c:pt>
                <c:pt idx="6">
                  <c:v>Dänemark</c:v>
                </c:pt>
                <c:pt idx="7">
                  <c:v>Ver. Königreich</c:v>
                </c:pt>
                <c:pt idx="8">
                  <c:v>Italien</c:v>
                </c:pt>
                <c:pt idx="9">
                  <c:v>Tschechien</c:v>
                </c:pt>
                <c:pt idx="10">
                  <c:v>Finnland</c:v>
                </c:pt>
                <c:pt idx="11">
                  <c:v>Slowakei</c:v>
                </c:pt>
                <c:pt idx="12">
                  <c:v>Spanien</c:v>
                </c:pt>
                <c:pt idx="13">
                  <c:v>Polen</c:v>
                </c:pt>
                <c:pt idx="14">
                  <c:v>Luxemburg</c:v>
                </c:pt>
                <c:pt idx="15">
                  <c:v>Irland</c:v>
                </c:pt>
                <c:pt idx="16">
                  <c:v>Portugal</c:v>
                </c:pt>
                <c:pt idx="17">
                  <c:v>Lettland</c:v>
                </c:pt>
                <c:pt idx="18">
                  <c:v>Rumänien</c:v>
                </c:pt>
                <c:pt idx="19">
                  <c:v>Estland</c:v>
                </c:pt>
                <c:pt idx="20">
                  <c:v>Slowenien</c:v>
                </c:pt>
                <c:pt idx="21">
                  <c:v>Bulgarien</c:v>
                </c:pt>
                <c:pt idx="22">
                  <c:v>Kroatien</c:v>
                </c:pt>
                <c:pt idx="23">
                  <c:v>Litauen</c:v>
                </c:pt>
                <c:pt idx="24">
                  <c:v>Griechenland</c:v>
                </c:pt>
                <c:pt idx="26">
                  <c:v>Schweiz</c:v>
                </c:pt>
                <c:pt idx="27">
                  <c:v>Norwegen</c:v>
                </c:pt>
                <c:pt idx="29">
                  <c:v>Türkei</c:v>
                </c:pt>
                <c:pt idx="30">
                  <c:v>Nordmazedonien</c:v>
                </c:pt>
              </c:strCache>
            </c:strRef>
          </c:cat>
          <c:val>
            <c:numRef>
              <c:f>'Abbildung 2'!$D$11:$D$41</c:f>
              <c:numCache>
                <c:formatCode>#,##0</c:formatCode>
                <c:ptCount val="31"/>
                <c:pt idx="0">
                  <c:v>862.41677607657402</c:v>
                </c:pt>
                <c:pt idx="2">
                  <c:v>1324.6557059077477</c:v>
                </c:pt>
                <c:pt idx="3">
                  <c:v>1301.2170885327039</c:v>
                </c:pt>
                <c:pt idx="4">
                  <c:v>1266.6914437080929</c:v>
                </c:pt>
                <c:pt idx="5">
                  <c:v>1097.7872146875106</c:v>
                </c:pt>
                <c:pt idx="6">
                  <c:v>1030.146331817283</c:v>
                </c:pt>
                <c:pt idx="7">
                  <c:v>1014.8535717215461</c:v>
                </c:pt>
                <c:pt idx="8">
                  <c:v>861.03734182180267</c:v>
                </c:pt>
                <c:pt idx="9">
                  <c:v>751.97891572917786</c:v>
                </c:pt>
                <c:pt idx="10">
                  <c:v>749.57799388331694</c:v>
                </c:pt>
                <c:pt idx="11">
                  <c:v>670.97358597684376</c:v>
                </c:pt>
                <c:pt idx="12">
                  <c:v>573.91386166009158</c:v>
                </c:pt>
                <c:pt idx="13">
                  <c:v>521.97382023554235</c:v>
                </c:pt>
                <c:pt idx="14">
                  <c:v>515.09551662150193</c:v>
                </c:pt>
                <c:pt idx="15">
                  <c:v>427.24781107744997</c:v>
                </c:pt>
                <c:pt idx="16">
                  <c:v>426.33826199236915</c:v>
                </c:pt>
                <c:pt idx="17">
                  <c:v>285.74775208933153</c:v>
                </c:pt>
                <c:pt idx="18">
                  <c:v>281.95137396617054</c:v>
                </c:pt>
                <c:pt idx="19">
                  <c:v>262.71914642959075</c:v>
                </c:pt>
                <c:pt idx="20">
                  <c:v>254.02586542314418</c:v>
                </c:pt>
                <c:pt idx="21">
                  <c:v>200.1124372469155</c:v>
                </c:pt>
                <c:pt idx="22">
                  <c:v>172.63277893910509</c:v>
                </c:pt>
                <c:pt idx="23">
                  <c:v>106.99854299405</c:v>
                </c:pt>
                <c:pt idx="24">
                  <c:v>103.13687651672356</c:v>
                </c:pt>
                <c:pt idx="26">
                  <c:v>2211.0457604497956</c:v>
                </c:pt>
                <c:pt idx="27">
                  <c:v>668.6999049454156</c:v>
                </c:pt>
                <c:pt idx="29">
                  <c:v>56.367300722483513</c:v>
                </c:pt>
                <c:pt idx="30">
                  <c:v>28.306070565369424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9-4CA4-B149-A4A0AF121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25573504"/>
        <c:axId val="225862016"/>
      </c:barChart>
      <c:barChart>
        <c:barDir val="col"/>
        <c:grouping val="clustered"/>
        <c:varyColors val="0"/>
        <c:ser>
          <c:idx val="0"/>
          <c:order val="1"/>
          <c:tx>
            <c:strRef>
              <c:f>'Abbildung 2'!$E$10</c:f>
              <c:strCache>
                <c:ptCount val="1"/>
                <c:pt idx="0">
                  <c:v>Grenzüberschreitend (rechte Achse)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'Abbildung 2'!$C$11:$C$41</c:f>
              <c:strCache>
                <c:ptCount val="31"/>
                <c:pt idx="0">
                  <c:v>EU-28</c:v>
                </c:pt>
                <c:pt idx="2">
                  <c:v>Österreich</c:v>
                </c:pt>
                <c:pt idx="3">
                  <c:v>Frankreich</c:v>
                </c:pt>
                <c:pt idx="4">
                  <c:v>Schweden</c:v>
                </c:pt>
                <c:pt idx="5">
                  <c:v>Deutschland</c:v>
                </c:pt>
                <c:pt idx="6">
                  <c:v>Dänemark</c:v>
                </c:pt>
                <c:pt idx="7">
                  <c:v>Ver. Königreich</c:v>
                </c:pt>
                <c:pt idx="8">
                  <c:v>Italien</c:v>
                </c:pt>
                <c:pt idx="9">
                  <c:v>Tschechien</c:v>
                </c:pt>
                <c:pt idx="10">
                  <c:v>Finnland</c:v>
                </c:pt>
                <c:pt idx="11">
                  <c:v>Slowakei</c:v>
                </c:pt>
                <c:pt idx="12">
                  <c:v>Spanien</c:v>
                </c:pt>
                <c:pt idx="13">
                  <c:v>Polen</c:v>
                </c:pt>
                <c:pt idx="14">
                  <c:v>Luxemburg</c:v>
                </c:pt>
                <c:pt idx="15">
                  <c:v>Irland</c:v>
                </c:pt>
                <c:pt idx="16">
                  <c:v>Portugal</c:v>
                </c:pt>
                <c:pt idx="17">
                  <c:v>Lettland</c:v>
                </c:pt>
                <c:pt idx="18">
                  <c:v>Rumänien</c:v>
                </c:pt>
                <c:pt idx="19">
                  <c:v>Estland</c:v>
                </c:pt>
                <c:pt idx="20">
                  <c:v>Slowenien</c:v>
                </c:pt>
                <c:pt idx="21">
                  <c:v>Bulgarien</c:v>
                </c:pt>
                <c:pt idx="22">
                  <c:v>Kroatien</c:v>
                </c:pt>
                <c:pt idx="23">
                  <c:v>Litauen</c:v>
                </c:pt>
                <c:pt idx="24">
                  <c:v>Griechenland</c:v>
                </c:pt>
                <c:pt idx="26">
                  <c:v>Schweiz</c:v>
                </c:pt>
                <c:pt idx="27">
                  <c:v>Norwegen</c:v>
                </c:pt>
                <c:pt idx="29">
                  <c:v>Türkei</c:v>
                </c:pt>
                <c:pt idx="30">
                  <c:v>Nordmazedonien</c:v>
                </c:pt>
              </c:strCache>
            </c:strRef>
          </c:cat>
          <c:val>
            <c:numRef>
              <c:f>'Abbildung 2'!$E$11:$E$41</c:f>
              <c:numCache>
                <c:formatCode>#,##0</c:formatCode>
                <c:ptCount val="31"/>
                <c:pt idx="0">
                  <c:v>45.642506189171677</c:v>
                </c:pt>
                <c:pt idx="2">
                  <c:v>48.084095078115922</c:v>
                </c:pt>
                <c:pt idx="3">
                  <c:v>144.82043140443994</c:v>
                </c:pt>
                <c:pt idx="4">
                  <c:v>58.760961007180768</c:v>
                </c:pt>
                <c:pt idx="5">
                  <c:v>57.945484158740719</c:v>
                </c:pt>
                <c:pt idx="6">
                  <c:v>59.262131004790994</c:v>
                </c:pt>
                <c:pt idx="7">
                  <c:v>28.336002594292463</c:v>
                </c:pt>
                <c:pt idx="8">
                  <c:v>10.793731783470422</c:v>
                </c:pt>
                <c:pt idx="9">
                  <c:v>135.59256281456365</c:v>
                </c:pt>
                <c:pt idx="10">
                  <c:v>25.749907320231205</c:v>
                </c:pt>
                <c:pt idx="11">
                  <c:v>19.264116698828069</c:v>
                </c:pt>
                <c:pt idx="12">
                  <c:v>15.639222826248858</c:v>
                </c:pt>
                <c:pt idx="13">
                  <c:v>7.8570208590290838</c:v>
                </c:pt>
                <c:pt idx="14">
                  <c:v>219.43166268680741</c:v>
                </c:pt>
                <c:pt idx="15">
                  <c:v>14.23725316117609</c:v>
                </c:pt>
                <c:pt idx="16">
                  <c:v>12.077221051814025</c:v>
                </c:pt>
                <c:pt idx="17">
                  <c:v>21.172373455912943</c:v>
                </c:pt>
                <c:pt idx="18">
                  <c:v>1.7104794074953242</c:v>
                </c:pt>
                <c:pt idx="19">
                  <c:v>15.396421999963565</c:v>
                </c:pt>
                <c:pt idx="20">
                  <c:v>21.781485374479526</c:v>
                </c:pt>
                <c:pt idx="21">
                  <c:v>2.5783121326375111</c:v>
                </c:pt>
                <c:pt idx="22">
                  <c:v>5.5469286679211098</c:v>
                </c:pt>
                <c:pt idx="23">
                  <c:v>4.3547542553165162</c:v>
                </c:pt>
                <c:pt idx="24">
                  <c:v>0.23459556533486495</c:v>
                </c:pt>
                <c:pt idx="26">
                  <c:v>109.81028983038013</c:v>
                </c:pt>
                <c:pt idx="27">
                  <c:v>10.569895439957188</c:v>
                </c:pt>
                <c:pt idx="29">
                  <c:v>0.48976066026321269</c:v>
                </c:pt>
                <c:pt idx="30">
                  <c:v>0.18992510009631228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89-4CA4-B149-A4A0AF121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0"/>
        <c:axId val="225863552"/>
        <c:axId val="225865088"/>
      </c:barChart>
      <c:catAx>
        <c:axId val="2255735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de-DE"/>
          </a:p>
        </c:txPr>
        <c:crossAx val="2258620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5862016"/>
        <c:scaling>
          <c:orientation val="minMax"/>
          <c:max val="250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\ ##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/>
            </a:pPr>
            <a:endParaRPr lang="de-DE"/>
          </a:p>
        </c:txPr>
        <c:crossAx val="225573504"/>
        <c:crosses val="autoZero"/>
        <c:crossBetween val="between"/>
        <c:majorUnit val="500"/>
      </c:valAx>
      <c:catAx>
        <c:axId val="225863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5865088"/>
        <c:crosses val="autoZero"/>
        <c:auto val="1"/>
        <c:lblAlgn val="ctr"/>
        <c:lblOffset val="100"/>
        <c:noMultiLvlLbl val="0"/>
      </c:catAx>
      <c:valAx>
        <c:axId val="225865088"/>
        <c:scaling>
          <c:orientation val="minMax"/>
          <c:max val="250"/>
        </c:scaling>
        <c:delete val="0"/>
        <c:axPos val="r"/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/>
            </a:pPr>
            <a:endParaRPr lang="de-DE"/>
          </a:p>
        </c:txPr>
        <c:crossAx val="225863552"/>
        <c:crosses val="max"/>
        <c:crossBetween val="between"/>
        <c:majorUnit val="50"/>
      </c:valAx>
    </c:plotArea>
    <c:legend>
      <c:legendPos val="b"/>
      <c:layout>
        <c:manualLayout>
          <c:xMode val="edge"/>
          <c:yMode val="edge"/>
          <c:x val="0.28151926509186354"/>
          <c:y val="0.95123863000279874"/>
          <c:w val="0.44896146981627294"/>
          <c:h val="4.876136999720123E-2"/>
        </c:manualLayout>
      </c:layout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b="1"/>
          </a:pPr>
          <a:endParaRPr lang="de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 paperSize="9" orientation="portrait" horizontalDpi="2400" verticalDpi="24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100" b="1">
                <a:latin typeface="Arial"/>
                <a:ea typeface="Arial"/>
                <a:cs typeface="Arial"/>
              </a:defRPr>
            </a:pPr>
            <a:r>
              <a:rPr lang="en-US"/>
              <a:t>Personenluftverkehr nach Verkehrsmittel, 2017</a:t>
            </a:r>
          </a:p>
          <a:p>
            <a:pPr algn="l">
              <a:defRPr sz="1100" b="1">
                <a:latin typeface="Arial"/>
                <a:ea typeface="Arial"/>
                <a:cs typeface="Arial"/>
              </a:defRPr>
            </a:pPr>
            <a:r>
              <a:rPr lang="en-US" sz="1000" b="0"/>
              <a:t>(in Mio. Fluggästen)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4666666666666666E-2"/>
          <c:y val="9.406690887519327E-2"/>
          <c:w val="0.97066666666666668"/>
          <c:h val="5.5815386907318298E-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'Abbildung 3'!$D$10</c:f>
              <c:strCache>
                <c:ptCount val="1"/>
                <c:pt idx="0">
                  <c:v>Binnenverkehr</c:v>
                </c:pt>
              </c:strCache>
            </c:strRef>
          </c:tx>
          <c:spPr>
            <a:noFill/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'Abbildung 3'!$C$13:$C$40</c:f>
              <c:strCache>
                <c:ptCount val="28"/>
                <c:pt idx="0">
                  <c:v>Ver. Königreich</c:v>
                </c:pt>
                <c:pt idx="1">
                  <c:v>Deutschland</c:v>
                </c:pt>
                <c:pt idx="2">
                  <c:v>Spanien</c:v>
                </c:pt>
                <c:pt idx="3">
                  <c:v>Frankreich</c:v>
                </c:pt>
                <c:pt idx="4">
                  <c:v>Italien</c:v>
                </c:pt>
                <c:pt idx="5">
                  <c:v>Niederlande</c:v>
                </c:pt>
                <c:pt idx="6">
                  <c:v>Griechenland</c:v>
                </c:pt>
                <c:pt idx="7">
                  <c:v>Portugal</c:v>
                </c:pt>
                <c:pt idx="8">
                  <c:v>Schweden</c:v>
                </c:pt>
                <c:pt idx="9">
                  <c:v>Polen</c:v>
                </c:pt>
                <c:pt idx="10">
                  <c:v>Irland</c:v>
                </c:pt>
                <c:pt idx="11">
                  <c:v>Belgien</c:v>
                </c:pt>
                <c:pt idx="12">
                  <c:v>Dänemark</c:v>
                </c:pt>
                <c:pt idx="13">
                  <c:v>Österreich</c:v>
                </c:pt>
                <c:pt idx="14">
                  <c:v>Finnland</c:v>
                </c:pt>
                <c:pt idx="15">
                  <c:v>Rumänien</c:v>
                </c:pt>
                <c:pt idx="16">
                  <c:v>Tschechien</c:v>
                </c:pt>
                <c:pt idx="17">
                  <c:v>Ungarn</c:v>
                </c:pt>
                <c:pt idx="18">
                  <c:v>Bulgarien</c:v>
                </c:pt>
                <c:pt idx="19">
                  <c:v>Zypern</c:v>
                </c:pt>
                <c:pt idx="20">
                  <c:v>Kroatien</c:v>
                </c:pt>
                <c:pt idx="21">
                  <c:v>Lettland</c:v>
                </c:pt>
                <c:pt idx="22">
                  <c:v>Malta</c:v>
                </c:pt>
                <c:pt idx="23">
                  <c:v>Litauen</c:v>
                </c:pt>
                <c:pt idx="24">
                  <c:v>Luxemburg</c:v>
                </c:pt>
                <c:pt idx="25">
                  <c:v>Estland</c:v>
                </c:pt>
                <c:pt idx="26">
                  <c:v>Slowakei</c:v>
                </c:pt>
                <c:pt idx="27">
                  <c:v>Slowenien</c:v>
                </c:pt>
              </c:strCache>
            </c:strRef>
          </c:cat>
          <c:val>
            <c:numRef>
              <c:f>'Abbildung 3'!$D$13:$D$40</c:f>
              <c:numCache>
                <c:formatCode>#,##0</c:formatCode>
                <c:ptCount val="28"/>
                <c:pt idx="0">
                  <c:v>23417.196</c:v>
                </c:pt>
                <c:pt idx="1">
                  <c:v>23832.918000000001</c:v>
                </c:pt>
                <c:pt idx="2">
                  <c:v>36166.455999999998</c:v>
                </c:pt>
                <c:pt idx="3">
                  <c:v>30035.316999999999</c:v>
                </c:pt>
                <c:pt idx="4">
                  <c:v>31120.613000000001</c:v>
                </c:pt>
                <c:pt idx="5">
                  <c:v>2.13</c:v>
                </c:pt>
                <c:pt idx="6">
                  <c:v>8334.9390000000003</c:v>
                </c:pt>
                <c:pt idx="7">
                  <c:v>4955.1360000000004</c:v>
                </c:pt>
                <c:pt idx="8">
                  <c:v>7859.37</c:v>
                </c:pt>
                <c:pt idx="9">
                  <c:v>2212.0889999999999</c:v>
                </c:pt>
                <c:pt idx="10">
                  <c:v>86.986999999999995</c:v>
                </c:pt>
                <c:pt idx="11">
                  <c:v>9.85</c:v>
                </c:pt>
                <c:pt idx="12">
                  <c:v>1948.883</c:v>
                </c:pt>
                <c:pt idx="13">
                  <c:v>531.548</c:v>
                </c:pt>
                <c:pt idx="14">
                  <c:v>2758.6660000000002</c:v>
                </c:pt>
                <c:pt idx="15">
                  <c:v>1369.413</c:v>
                </c:pt>
                <c:pt idx="16">
                  <c:v>67.506</c:v>
                </c:pt>
                <c:pt idx="17">
                  <c:v>3.5999999999999997E-2</c:v>
                </c:pt>
                <c:pt idx="18">
                  <c:v>280.43900000000002</c:v>
                </c:pt>
                <c:pt idx="19">
                  <c:v>5.0000000000000001E-3</c:v>
                </c:pt>
                <c:pt idx="20">
                  <c:v>526.60900000000004</c:v>
                </c:pt>
                <c:pt idx="21">
                  <c:v>6.335</c:v>
                </c:pt>
                <c:pt idx="22">
                  <c:v>7.0000000000000001E-3</c:v>
                </c:pt>
                <c:pt idx="23">
                  <c:v>2.3E-2</c:v>
                </c:pt>
                <c:pt idx="24">
                  <c:v>1.099</c:v>
                </c:pt>
                <c:pt idx="25">
                  <c:v>24.524000000000001</c:v>
                </c:pt>
                <c:pt idx="26">
                  <c:v>24.202000000000002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E-4410-974F-4FE1871F1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6091008"/>
        <c:axId val="226092544"/>
      </c:barChart>
      <c:catAx>
        <c:axId val="2260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6092544"/>
        <c:crosses val="autoZero"/>
        <c:auto val="1"/>
        <c:lblAlgn val="ctr"/>
        <c:lblOffset val="100"/>
        <c:noMultiLvlLbl val="0"/>
      </c:catAx>
      <c:valAx>
        <c:axId val="226092544"/>
        <c:scaling>
          <c:orientation val="minMax"/>
          <c:max val="300000"/>
          <c:min val="0"/>
        </c:scaling>
        <c:delete val="1"/>
        <c:axPos val="l"/>
        <c:majorGridlines>
          <c:spPr>
            <a:ln w="3175" cap="flat" cmpd="sng" algn="ctr">
              <a:noFill/>
              <a:prstDash val="sys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226091008"/>
        <c:crosses val="autoZero"/>
        <c:crossBetween val="between"/>
        <c:dispUnits>
          <c:builtInUnit val="thousands"/>
        </c:dispUnits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323254593175855E-2"/>
          <c:y val="2.5473328613099956E-2"/>
          <c:w val="0.19198113340492154"/>
          <c:h val="0.76891125950069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'Abbildung 3'!$D$10</c:f>
              <c:strCache>
                <c:ptCount val="1"/>
                <c:pt idx="0">
                  <c:v>Binnenverkehr</c:v>
                </c:pt>
              </c:strCache>
            </c:strRef>
          </c:tx>
          <c:spPr>
            <a:solidFill>
              <a:srgbClr val="B9C31E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'Abbildung 3'!$C$11</c:f>
              <c:strCache>
                <c:ptCount val="1"/>
                <c:pt idx="0">
                  <c:v>EU-28</c:v>
                </c:pt>
              </c:strCache>
            </c:strRef>
          </c:cat>
          <c:val>
            <c:numRef>
              <c:f>'Abbildung 3'!$D$11</c:f>
              <c:numCache>
                <c:formatCode>#,##0</c:formatCode>
                <c:ptCount val="1"/>
                <c:pt idx="0">
                  <c:v>175572.296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A-4A8C-9FDE-F6137C379332}"/>
            </c:ext>
          </c:extLst>
        </c:ser>
        <c:ser>
          <c:idx val="1"/>
          <c:order val="1"/>
          <c:tx>
            <c:strRef>
              <c:f>'Abbildung 3'!$E$10</c:f>
              <c:strCache>
                <c:ptCount val="1"/>
                <c:pt idx="0">
                  <c:v>internationaler Verkehr Intra-EU-28</c:v>
                </c:pt>
              </c:strCache>
            </c:strRef>
          </c:tx>
          <c:spPr>
            <a:solidFill>
              <a:srgbClr val="C84B96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'Abbildung 3'!$C$11</c:f>
              <c:strCache>
                <c:ptCount val="1"/>
                <c:pt idx="0">
                  <c:v>EU-28</c:v>
                </c:pt>
              </c:strCache>
            </c:strRef>
          </c:cat>
          <c:val>
            <c:numRef>
              <c:f>'Abbildung 3'!$E$11</c:f>
              <c:numCache>
                <c:formatCode>#,##0</c:formatCode>
                <c:ptCount val="1"/>
                <c:pt idx="0">
                  <c:v>491189.09499999997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9A-4A8C-9FDE-F6137C379332}"/>
            </c:ext>
          </c:extLst>
        </c:ser>
        <c:ser>
          <c:idx val="2"/>
          <c:order val="2"/>
          <c:tx>
            <c:strRef>
              <c:f>'Abbildung 3'!$F$10</c:f>
              <c:strCache>
                <c:ptCount val="1"/>
                <c:pt idx="0">
                  <c:v>internationaler Verkehr Extra-EU-28</c:v>
                </c:pt>
              </c:strCache>
            </c:strRef>
          </c:tx>
          <c:spPr>
            <a:solidFill>
              <a:srgbClr val="286EB4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'Abbildung 3'!$C$11</c:f>
              <c:strCache>
                <c:ptCount val="1"/>
                <c:pt idx="0">
                  <c:v>EU-28</c:v>
                </c:pt>
              </c:strCache>
            </c:strRef>
          </c:cat>
          <c:val>
            <c:numRef>
              <c:f>'Abbildung 3'!$F$11</c:f>
              <c:numCache>
                <c:formatCode>#,##0</c:formatCode>
                <c:ptCount val="1"/>
                <c:pt idx="0">
                  <c:v>376423.29800000001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9A-4A8C-9FDE-F6137C379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6127872"/>
        <c:axId val="226129408"/>
      </c:barChart>
      <c:catAx>
        <c:axId val="22612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-5400000"/>
          <a:lstStyle/>
          <a:p>
            <a:pPr>
              <a:defRPr/>
            </a:pPr>
            <a:endParaRPr lang="de-DE"/>
          </a:p>
        </c:txPr>
        <c:crossAx val="226129408"/>
        <c:crosses val="autoZero"/>
        <c:auto val="1"/>
        <c:lblAlgn val="ctr"/>
        <c:lblOffset val="100"/>
        <c:noMultiLvlLbl val="0"/>
      </c:catAx>
      <c:valAx>
        <c:axId val="226129408"/>
        <c:scaling>
          <c:orientation val="minMax"/>
          <c:max val="1100000"/>
          <c:min val="0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226127872"/>
        <c:crosses val="autoZero"/>
        <c:crossBetween val="between"/>
        <c:majorUnit val="100000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34015748031496"/>
          <c:y val="2.3436828938326749E-2"/>
          <c:w val="0.86099317585301838"/>
          <c:h val="0.772205095237072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'Abbildung 3'!$D$10</c:f>
              <c:strCache>
                <c:ptCount val="1"/>
                <c:pt idx="0">
                  <c:v>Binnenverkehr</c:v>
                </c:pt>
              </c:strCache>
            </c:strRef>
          </c:tx>
          <c:spPr>
            <a:solidFill>
              <a:srgbClr val="B9C31E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'Abbildung 3'!$C$13:$C$40</c:f>
              <c:strCache>
                <c:ptCount val="28"/>
                <c:pt idx="0">
                  <c:v>Ver. Königreich</c:v>
                </c:pt>
                <c:pt idx="1">
                  <c:v>Deutschland</c:v>
                </c:pt>
                <c:pt idx="2">
                  <c:v>Spanien</c:v>
                </c:pt>
                <c:pt idx="3">
                  <c:v>Frankreich</c:v>
                </c:pt>
                <c:pt idx="4">
                  <c:v>Italien</c:v>
                </c:pt>
                <c:pt idx="5">
                  <c:v>Niederlande</c:v>
                </c:pt>
                <c:pt idx="6">
                  <c:v>Griechenland</c:v>
                </c:pt>
                <c:pt idx="7">
                  <c:v>Portugal</c:v>
                </c:pt>
                <c:pt idx="8">
                  <c:v>Schweden</c:v>
                </c:pt>
                <c:pt idx="9">
                  <c:v>Polen</c:v>
                </c:pt>
                <c:pt idx="10">
                  <c:v>Irland</c:v>
                </c:pt>
                <c:pt idx="11">
                  <c:v>Belgien</c:v>
                </c:pt>
                <c:pt idx="12">
                  <c:v>Dänemark</c:v>
                </c:pt>
                <c:pt idx="13">
                  <c:v>Österreich</c:v>
                </c:pt>
                <c:pt idx="14">
                  <c:v>Finnland</c:v>
                </c:pt>
                <c:pt idx="15">
                  <c:v>Rumänien</c:v>
                </c:pt>
                <c:pt idx="16">
                  <c:v>Tschechien</c:v>
                </c:pt>
                <c:pt idx="17">
                  <c:v>Ungarn</c:v>
                </c:pt>
                <c:pt idx="18">
                  <c:v>Bulgarien</c:v>
                </c:pt>
                <c:pt idx="19">
                  <c:v>Zypern</c:v>
                </c:pt>
                <c:pt idx="20">
                  <c:v>Kroatien</c:v>
                </c:pt>
                <c:pt idx="21">
                  <c:v>Lettland</c:v>
                </c:pt>
                <c:pt idx="22">
                  <c:v>Malta</c:v>
                </c:pt>
                <c:pt idx="23">
                  <c:v>Litauen</c:v>
                </c:pt>
                <c:pt idx="24">
                  <c:v>Luxemburg</c:v>
                </c:pt>
                <c:pt idx="25">
                  <c:v>Estland</c:v>
                </c:pt>
                <c:pt idx="26">
                  <c:v>Slowakei</c:v>
                </c:pt>
                <c:pt idx="27">
                  <c:v>Slowenien</c:v>
                </c:pt>
              </c:strCache>
            </c:strRef>
          </c:cat>
          <c:val>
            <c:numRef>
              <c:f>'Abbildung 3'!$D$13:$D$40</c:f>
              <c:numCache>
                <c:formatCode>#,##0</c:formatCode>
                <c:ptCount val="28"/>
                <c:pt idx="0">
                  <c:v>23417.196</c:v>
                </c:pt>
                <c:pt idx="1">
                  <c:v>23832.918000000001</c:v>
                </c:pt>
                <c:pt idx="2">
                  <c:v>36166.455999999998</c:v>
                </c:pt>
                <c:pt idx="3">
                  <c:v>30035.316999999999</c:v>
                </c:pt>
                <c:pt idx="4">
                  <c:v>31120.613000000001</c:v>
                </c:pt>
                <c:pt idx="5">
                  <c:v>2.13</c:v>
                </c:pt>
                <c:pt idx="6">
                  <c:v>8334.9390000000003</c:v>
                </c:pt>
                <c:pt idx="7">
                  <c:v>4955.1360000000004</c:v>
                </c:pt>
                <c:pt idx="8">
                  <c:v>7859.37</c:v>
                </c:pt>
                <c:pt idx="9">
                  <c:v>2212.0889999999999</c:v>
                </c:pt>
                <c:pt idx="10">
                  <c:v>86.986999999999995</c:v>
                </c:pt>
                <c:pt idx="11">
                  <c:v>9.85</c:v>
                </c:pt>
                <c:pt idx="12">
                  <c:v>1948.883</c:v>
                </c:pt>
                <c:pt idx="13">
                  <c:v>531.548</c:v>
                </c:pt>
                <c:pt idx="14">
                  <c:v>2758.6660000000002</c:v>
                </c:pt>
                <c:pt idx="15">
                  <c:v>1369.413</c:v>
                </c:pt>
                <c:pt idx="16">
                  <c:v>67.506</c:v>
                </c:pt>
                <c:pt idx="17">
                  <c:v>3.5999999999999997E-2</c:v>
                </c:pt>
                <c:pt idx="18">
                  <c:v>280.43900000000002</c:v>
                </c:pt>
                <c:pt idx="19">
                  <c:v>5.0000000000000001E-3</c:v>
                </c:pt>
                <c:pt idx="20">
                  <c:v>526.60900000000004</c:v>
                </c:pt>
                <c:pt idx="21">
                  <c:v>6.335</c:v>
                </c:pt>
                <c:pt idx="22">
                  <c:v>7.0000000000000001E-3</c:v>
                </c:pt>
                <c:pt idx="23">
                  <c:v>2.3E-2</c:v>
                </c:pt>
                <c:pt idx="24">
                  <c:v>1.099</c:v>
                </c:pt>
                <c:pt idx="25">
                  <c:v>24.524000000000001</c:v>
                </c:pt>
                <c:pt idx="26">
                  <c:v>24.202000000000002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D-4FF2-AB78-3376357FA5DD}"/>
            </c:ext>
          </c:extLst>
        </c:ser>
        <c:ser>
          <c:idx val="1"/>
          <c:order val="1"/>
          <c:tx>
            <c:strRef>
              <c:f>'Abbildung 3'!$E$10</c:f>
              <c:strCache>
                <c:ptCount val="1"/>
                <c:pt idx="0">
                  <c:v>internationaler Verkehr Intra-EU-28</c:v>
                </c:pt>
              </c:strCache>
            </c:strRef>
          </c:tx>
          <c:spPr>
            <a:solidFill>
              <a:srgbClr val="C84B96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'Abbildung 3'!$C$13:$C$40</c:f>
              <c:strCache>
                <c:ptCount val="28"/>
                <c:pt idx="0">
                  <c:v>Ver. Königreich</c:v>
                </c:pt>
                <c:pt idx="1">
                  <c:v>Deutschland</c:v>
                </c:pt>
                <c:pt idx="2">
                  <c:v>Spanien</c:v>
                </c:pt>
                <c:pt idx="3">
                  <c:v>Frankreich</c:v>
                </c:pt>
                <c:pt idx="4">
                  <c:v>Italien</c:v>
                </c:pt>
                <c:pt idx="5">
                  <c:v>Niederlande</c:v>
                </c:pt>
                <c:pt idx="6">
                  <c:v>Griechenland</c:v>
                </c:pt>
                <c:pt idx="7">
                  <c:v>Portugal</c:v>
                </c:pt>
                <c:pt idx="8">
                  <c:v>Schweden</c:v>
                </c:pt>
                <c:pt idx="9">
                  <c:v>Polen</c:v>
                </c:pt>
                <c:pt idx="10">
                  <c:v>Irland</c:v>
                </c:pt>
                <c:pt idx="11">
                  <c:v>Belgien</c:v>
                </c:pt>
                <c:pt idx="12">
                  <c:v>Dänemark</c:v>
                </c:pt>
                <c:pt idx="13">
                  <c:v>Österreich</c:v>
                </c:pt>
                <c:pt idx="14">
                  <c:v>Finnland</c:v>
                </c:pt>
                <c:pt idx="15">
                  <c:v>Rumänien</c:v>
                </c:pt>
                <c:pt idx="16">
                  <c:v>Tschechien</c:v>
                </c:pt>
                <c:pt idx="17">
                  <c:v>Ungarn</c:v>
                </c:pt>
                <c:pt idx="18">
                  <c:v>Bulgarien</c:v>
                </c:pt>
                <c:pt idx="19">
                  <c:v>Zypern</c:v>
                </c:pt>
                <c:pt idx="20">
                  <c:v>Kroatien</c:v>
                </c:pt>
                <c:pt idx="21">
                  <c:v>Lettland</c:v>
                </c:pt>
                <c:pt idx="22">
                  <c:v>Malta</c:v>
                </c:pt>
                <c:pt idx="23">
                  <c:v>Litauen</c:v>
                </c:pt>
                <c:pt idx="24">
                  <c:v>Luxemburg</c:v>
                </c:pt>
                <c:pt idx="25">
                  <c:v>Estland</c:v>
                </c:pt>
                <c:pt idx="26">
                  <c:v>Slowakei</c:v>
                </c:pt>
                <c:pt idx="27">
                  <c:v>Slowenien</c:v>
                </c:pt>
              </c:strCache>
            </c:strRef>
          </c:cat>
          <c:val>
            <c:numRef>
              <c:f>'Abbildung 3'!$E$13:$E$40</c:f>
              <c:numCache>
                <c:formatCode>#,##0</c:formatCode>
                <c:ptCount val="28"/>
                <c:pt idx="0">
                  <c:v>165191.342</c:v>
                </c:pt>
                <c:pt idx="1">
                  <c:v>117892.484</c:v>
                </c:pt>
                <c:pt idx="2">
                  <c:v>143749.861</c:v>
                </c:pt>
                <c:pt idx="3">
                  <c:v>69565.707999999999</c:v>
                </c:pt>
                <c:pt idx="4">
                  <c:v>85688.384999999995</c:v>
                </c:pt>
                <c:pt idx="5">
                  <c:v>48365.332000000002</c:v>
                </c:pt>
                <c:pt idx="6">
                  <c:v>33328.682000000001</c:v>
                </c:pt>
                <c:pt idx="7">
                  <c:v>34155.642999999996</c:v>
                </c:pt>
                <c:pt idx="8">
                  <c:v>23478.042000000001</c:v>
                </c:pt>
                <c:pt idx="9">
                  <c:v>28034.260999999999</c:v>
                </c:pt>
                <c:pt idx="10">
                  <c:v>28715.562999999998</c:v>
                </c:pt>
                <c:pt idx="11">
                  <c:v>24512.001</c:v>
                </c:pt>
                <c:pt idx="12">
                  <c:v>22716.103999999999</c:v>
                </c:pt>
                <c:pt idx="13">
                  <c:v>19560.726999999999</c:v>
                </c:pt>
                <c:pt idx="14">
                  <c:v>12477.683000000001</c:v>
                </c:pt>
                <c:pt idx="15" formatCode="###\ ###\ ##0">
                  <c:v>14341.013999999999</c:v>
                </c:pt>
                <c:pt idx="16">
                  <c:v>11382.103999999999</c:v>
                </c:pt>
                <c:pt idx="17">
                  <c:v>10605.366</c:v>
                </c:pt>
                <c:pt idx="18">
                  <c:v>8508.1090000000004</c:v>
                </c:pt>
                <c:pt idx="19">
                  <c:v>6811.0590000000002</c:v>
                </c:pt>
                <c:pt idx="20">
                  <c:v>6874.8</c:v>
                </c:pt>
                <c:pt idx="21">
                  <c:v>4413.5370000000003</c:v>
                </c:pt>
                <c:pt idx="22">
                  <c:v>5497.1210000000001</c:v>
                </c:pt>
                <c:pt idx="23">
                  <c:v>4002.26</c:v>
                </c:pt>
                <c:pt idx="24">
                  <c:v>3214.5349999999999</c:v>
                </c:pt>
                <c:pt idx="25">
                  <c:v>2094.6419999999998</c:v>
                </c:pt>
                <c:pt idx="26">
                  <c:v>1792.4829999999999</c:v>
                </c:pt>
                <c:pt idx="27">
                  <c:v>1008.599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D-4FF2-AB78-3376357FA5DD}"/>
            </c:ext>
          </c:extLst>
        </c:ser>
        <c:ser>
          <c:idx val="2"/>
          <c:order val="2"/>
          <c:tx>
            <c:strRef>
              <c:f>'Abbildung 3'!$F$10</c:f>
              <c:strCache>
                <c:ptCount val="1"/>
                <c:pt idx="0">
                  <c:v>internationaler Verkehr Extra-EU-28</c:v>
                </c:pt>
              </c:strCache>
            </c:strRef>
          </c:tx>
          <c:spPr>
            <a:solidFill>
              <a:srgbClr val="286EB4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'Abbildung 3'!$C$13:$C$40</c:f>
              <c:strCache>
                <c:ptCount val="28"/>
                <c:pt idx="0">
                  <c:v>Ver. Königreich</c:v>
                </c:pt>
                <c:pt idx="1">
                  <c:v>Deutschland</c:v>
                </c:pt>
                <c:pt idx="2">
                  <c:v>Spanien</c:v>
                </c:pt>
                <c:pt idx="3">
                  <c:v>Frankreich</c:v>
                </c:pt>
                <c:pt idx="4">
                  <c:v>Italien</c:v>
                </c:pt>
                <c:pt idx="5">
                  <c:v>Niederlande</c:v>
                </c:pt>
                <c:pt idx="6">
                  <c:v>Griechenland</c:v>
                </c:pt>
                <c:pt idx="7">
                  <c:v>Portugal</c:v>
                </c:pt>
                <c:pt idx="8">
                  <c:v>Schweden</c:v>
                </c:pt>
                <c:pt idx="9">
                  <c:v>Polen</c:v>
                </c:pt>
                <c:pt idx="10">
                  <c:v>Irland</c:v>
                </c:pt>
                <c:pt idx="11">
                  <c:v>Belgien</c:v>
                </c:pt>
                <c:pt idx="12">
                  <c:v>Dänemark</c:v>
                </c:pt>
                <c:pt idx="13">
                  <c:v>Österreich</c:v>
                </c:pt>
                <c:pt idx="14">
                  <c:v>Finnland</c:v>
                </c:pt>
                <c:pt idx="15">
                  <c:v>Rumänien</c:v>
                </c:pt>
                <c:pt idx="16">
                  <c:v>Tschechien</c:v>
                </c:pt>
                <c:pt idx="17">
                  <c:v>Ungarn</c:v>
                </c:pt>
                <c:pt idx="18">
                  <c:v>Bulgarien</c:v>
                </c:pt>
                <c:pt idx="19">
                  <c:v>Zypern</c:v>
                </c:pt>
                <c:pt idx="20">
                  <c:v>Kroatien</c:v>
                </c:pt>
                <c:pt idx="21">
                  <c:v>Lettland</c:v>
                </c:pt>
                <c:pt idx="22">
                  <c:v>Malta</c:v>
                </c:pt>
                <c:pt idx="23">
                  <c:v>Litauen</c:v>
                </c:pt>
                <c:pt idx="24">
                  <c:v>Luxemburg</c:v>
                </c:pt>
                <c:pt idx="25">
                  <c:v>Estland</c:v>
                </c:pt>
                <c:pt idx="26">
                  <c:v>Slowakei</c:v>
                </c:pt>
                <c:pt idx="27">
                  <c:v>Slowenien</c:v>
                </c:pt>
              </c:strCache>
            </c:strRef>
          </c:cat>
          <c:val>
            <c:numRef>
              <c:f>'Abbildung 3'!$F$13:$F$40</c:f>
              <c:numCache>
                <c:formatCode>#,##0</c:formatCode>
                <c:ptCount val="28"/>
                <c:pt idx="0">
                  <c:v>76020.915999999997</c:v>
                </c:pt>
                <c:pt idx="1">
                  <c:v>70663.941000000006</c:v>
                </c:pt>
                <c:pt idx="2">
                  <c:v>29907.772000000001</c:v>
                </c:pt>
                <c:pt idx="3">
                  <c:v>54511.313999999998</c:v>
                </c:pt>
                <c:pt idx="4">
                  <c:v>27497.327000000001</c:v>
                </c:pt>
                <c:pt idx="5">
                  <c:v>27872.842000000001</c:v>
                </c:pt>
                <c:pt idx="6">
                  <c:v>8507.107</c:v>
                </c:pt>
                <c:pt idx="7">
                  <c:v>8562.2780000000002</c:v>
                </c:pt>
                <c:pt idx="8">
                  <c:v>7118.8010000000004</c:v>
                </c:pt>
                <c:pt idx="9">
                  <c:v>7438.3180000000002</c:v>
                </c:pt>
                <c:pt idx="10">
                  <c:v>5469.2209999999995</c:v>
                </c:pt>
                <c:pt idx="11">
                  <c:v>8738.6419999999998</c:v>
                </c:pt>
                <c:pt idx="12">
                  <c:v>8579.4380000000001</c:v>
                </c:pt>
                <c:pt idx="13">
                  <c:v>8235.0040000000008</c:v>
                </c:pt>
                <c:pt idx="14">
                  <c:v>4818.598</c:v>
                </c:pt>
                <c:pt idx="15" formatCode="###\ ###\ ##0">
                  <c:v>2224.3470000000002</c:v>
                </c:pt>
                <c:pt idx="16">
                  <c:v>4812.2309999999998</c:v>
                </c:pt>
                <c:pt idx="17">
                  <c:v>2744.627</c:v>
                </c:pt>
                <c:pt idx="18">
                  <c:v>2304.1030000000001</c:v>
                </c:pt>
                <c:pt idx="19">
                  <c:v>3427.8490000000002</c:v>
                </c:pt>
                <c:pt idx="20">
                  <c:v>1441.644</c:v>
                </c:pt>
                <c:pt idx="21">
                  <c:v>1657.982</c:v>
                </c:pt>
                <c:pt idx="22">
                  <c:v>510.60300000000001</c:v>
                </c:pt>
                <c:pt idx="23">
                  <c:v>1243.818</c:v>
                </c:pt>
                <c:pt idx="24">
                  <c:v>339.096</c:v>
                </c:pt>
                <c:pt idx="25">
                  <c:v>515.97900000000004</c:v>
                </c:pt>
                <c:pt idx="26">
                  <c:v>585.96600000000001</c:v>
                </c:pt>
                <c:pt idx="27">
                  <c:v>673.53399999999999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5D-4FF2-AB78-3376357FA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6223232"/>
        <c:axId val="226224768"/>
      </c:barChart>
      <c:catAx>
        <c:axId val="22622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-5400000" vert="horz"/>
          <a:lstStyle/>
          <a:p>
            <a:pPr>
              <a:defRPr/>
            </a:pPr>
            <a:endParaRPr lang="de-DE"/>
          </a:p>
        </c:txPr>
        <c:crossAx val="226224768"/>
        <c:crosses val="autoZero"/>
        <c:auto val="1"/>
        <c:lblAlgn val="ctr"/>
        <c:lblOffset val="100"/>
        <c:noMultiLvlLbl val="0"/>
      </c:catAx>
      <c:valAx>
        <c:axId val="226224768"/>
        <c:scaling>
          <c:orientation val="minMax"/>
          <c:max val="300000"/>
          <c:min val="0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vert="horz"/>
          <a:lstStyle/>
          <a:p>
            <a:pPr>
              <a:defRPr/>
            </a:pPr>
            <a:endParaRPr lang="de-DE"/>
          </a:p>
        </c:txPr>
        <c:crossAx val="226223232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53376377952756"/>
          <c:y val="0.95547203820219895"/>
          <c:w val="0.76399139107611547"/>
          <c:h val="4.4527961797801066E-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vert="horz"/>
        <a:lstStyle/>
        <a:p>
          <a:pPr>
            <a:defRPr b="1"/>
          </a:pPr>
          <a:endParaRPr lang="de-DE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100" b="1">
                <a:latin typeface="Arial"/>
                <a:ea typeface="Arial"/>
                <a:cs typeface="Arial"/>
              </a:defRPr>
            </a:pPr>
            <a:r>
              <a:rPr lang="en-US"/>
              <a:t>Die 15 größten Flughäfen, EU-28, 2017</a:t>
            </a:r>
          </a:p>
          <a:p>
            <a:pPr algn="l">
              <a:defRPr sz="1100" b="1">
                <a:latin typeface="Arial"/>
                <a:ea typeface="Arial"/>
                <a:cs typeface="Arial"/>
              </a:defRPr>
            </a:pPr>
            <a:r>
              <a:rPr lang="en-US" sz="1000" b="0"/>
              <a:t>(in Mio. Fluggästen)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505459317585301"/>
          <c:y val="0.13356125804645955"/>
          <c:w val="0.77893879265091859"/>
          <c:h val="0.7575578995242093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'Abbildung 4'!$D$10</c:f>
              <c:strCache>
                <c:ptCount val="1"/>
                <c:pt idx="0">
                  <c:v>Grenzüberschreitend</c:v>
                </c:pt>
              </c:strCache>
            </c:strRef>
          </c:tx>
          <c:spPr>
            <a:solidFill>
              <a:srgbClr val="B9C31E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'Abbildung 4'!$C$11:$C$25</c:f>
              <c:strCache>
                <c:ptCount val="15"/>
                <c:pt idx="0">
                  <c:v>London Heathrow (UK)</c:v>
                </c:pt>
                <c:pt idx="1">
                  <c:v>Paris Charles-de-Gaulle (FR)</c:v>
                </c:pt>
                <c:pt idx="2">
                  <c:v>Amsterdam Schiphol (NL)</c:v>
                </c:pt>
                <c:pt idx="3">
                  <c:v>Frankfurt (DE)</c:v>
                </c:pt>
                <c:pt idx="4">
                  <c:v>Adolfo Suárez Madrid-Barajas (ES)</c:v>
                </c:pt>
                <c:pt idx="5">
                  <c:v>Barcelona (ES)</c:v>
                </c:pt>
                <c:pt idx="6">
                  <c:v>London Gatwick (UK)</c:v>
                </c:pt>
                <c:pt idx="7">
                  <c:v>München F.J. Strauss (DE)</c:v>
                </c:pt>
                <c:pt idx="8">
                  <c:v>Roma Fiumicino (IT)</c:v>
                </c:pt>
                <c:pt idx="9">
                  <c:v>Paris Orly (FR)</c:v>
                </c:pt>
                <c:pt idx="10">
                  <c:v>Dublin (IE)</c:v>
                </c:pt>
                <c:pt idx="11">
                  <c:v>København Kastrup (DK)</c:v>
                </c:pt>
                <c:pt idx="12">
                  <c:v>Palma de Mallorca (ES)</c:v>
                </c:pt>
                <c:pt idx="13">
                  <c:v>Manchester (UK)</c:v>
                </c:pt>
                <c:pt idx="14">
                  <c:v>Lisboa (PT)</c:v>
                </c:pt>
              </c:strCache>
            </c:strRef>
          </c:cat>
          <c:val>
            <c:numRef>
              <c:f>'Abbildung 4'!$D$11:$D$25</c:f>
              <c:numCache>
                <c:formatCode>0.0</c:formatCode>
                <c:ptCount val="15"/>
                <c:pt idx="0">
                  <c:v>73.186612999999994</c:v>
                </c:pt>
                <c:pt idx="1">
                  <c:v>63.056150000000002</c:v>
                </c:pt>
                <c:pt idx="2">
                  <c:v>68.421317000000002</c:v>
                </c:pt>
                <c:pt idx="3">
                  <c:v>57.134458000000002</c:v>
                </c:pt>
                <c:pt idx="4">
                  <c:v>37.306708</c:v>
                </c:pt>
                <c:pt idx="5">
                  <c:v>34.107875999999997</c:v>
                </c:pt>
                <c:pt idx="6">
                  <c:v>41.451594</c:v>
                </c:pt>
                <c:pt idx="7">
                  <c:v>34.720953999999999</c:v>
                </c:pt>
                <c:pt idx="8">
                  <c:v>29.380825999999999</c:v>
                </c:pt>
                <c:pt idx="9">
                  <c:v>17.854182999999999</c:v>
                </c:pt>
                <c:pt idx="10">
                  <c:v>29.269546999999999</c:v>
                </c:pt>
                <c:pt idx="11">
                  <c:v>27.264396000000001</c:v>
                </c:pt>
                <c:pt idx="12">
                  <c:v>21.57667</c:v>
                </c:pt>
                <c:pt idx="13">
                  <c:v>25.390231</c:v>
                </c:pt>
                <c:pt idx="14">
                  <c:v>23.164487000000001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9-426A-9E8B-9F50AE3B4763}"/>
            </c:ext>
          </c:extLst>
        </c:ser>
        <c:ser>
          <c:idx val="1"/>
          <c:order val="1"/>
          <c:tx>
            <c:strRef>
              <c:f>'Abbildung 4'!$E$10</c:f>
              <c:strCache>
                <c:ptCount val="1"/>
                <c:pt idx="0">
                  <c:v>Innerstaatlich</c:v>
                </c:pt>
              </c:strCache>
            </c:strRef>
          </c:tx>
          <c:spPr>
            <a:solidFill>
              <a:srgbClr val="C84B96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'Abbildung 4'!$C$11:$C$25</c:f>
              <c:strCache>
                <c:ptCount val="15"/>
                <c:pt idx="0">
                  <c:v>London Heathrow (UK)</c:v>
                </c:pt>
                <c:pt idx="1">
                  <c:v>Paris Charles-de-Gaulle (FR)</c:v>
                </c:pt>
                <c:pt idx="2">
                  <c:v>Amsterdam Schiphol (NL)</c:v>
                </c:pt>
                <c:pt idx="3">
                  <c:v>Frankfurt (DE)</c:v>
                </c:pt>
                <c:pt idx="4">
                  <c:v>Adolfo Suárez Madrid-Barajas (ES)</c:v>
                </c:pt>
                <c:pt idx="5">
                  <c:v>Barcelona (ES)</c:v>
                </c:pt>
                <c:pt idx="6">
                  <c:v>London Gatwick (UK)</c:v>
                </c:pt>
                <c:pt idx="7">
                  <c:v>München F.J. Strauss (DE)</c:v>
                </c:pt>
                <c:pt idx="8">
                  <c:v>Roma Fiumicino (IT)</c:v>
                </c:pt>
                <c:pt idx="9">
                  <c:v>Paris Orly (FR)</c:v>
                </c:pt>
                <c:pt idx="10">
                  <c:v>Dublin (IE)</c:v>
                </c:pt>
                <c:pt idx="11">
                  <c:v>København Kastrup (DK)</c:v>
                </c:pt>
                <c:pt idx="12">
                  <c:v>Palma de Mallorca (ES)</c:v>
                </c:pt>
                <c:pt idx="13">
                  <c:v>Manchester (UK)</c:v>
                </c:pt>
                <c:pt idx="14">
                  <c:v>Lisboa (PT)</c:v>
                </c:pt>
              </c:strCache>
            </c:strRef>
          </c:cat>
          <c:val>
            <c:numRef>
              <c:f>'Abbildung 4'!$E$11:$E$25</c:f>
              <c:numCache>
                <c:formatCode>0.0</c:formatCode>
                <c:ptCount val="15"/>
                <c:pt idx="0">
                  <c:v>4.8007619999999998</c:v>
                </c:pt>
                <c:pt idx="1">
                  <c:v>6.3621040000000004</c:v>
                </c:pt>
                <c:pt idx="2">
                  <c:v>3.4900000000000003E-4</c:v>
                </c:pt>
                <c:pt idx="3">
                  <c:v>7.255757</c:v>
                </c:pt>
                <c:pt idx="4">
                  <c:v>14.716106999999999</c:v>
                </c:pt>
                <c:pt idx="5">
                  <c:v>12.693858000000001</c:v>
                </c:pt>
                <c:pt idx="6">
                  <c:v>4.082795</c:v>
                </c:pt>
                <c:pt idx="7">
                  <c:v>9.8144159999999996</c:v>
                </c:pt>
                <c:pt idx="8">
                  <c:v>11.459873999999999</c:v>
                </c:pt>
                <c:pt idx="9">
                  <c:v>14.185387</c:v>
                </c:pt>
                <c:pt idx="10">
                  <c:v>8.6855000000000002E-2</c:v>
                </c:pt>
                <c:pt idx="11">
                  <c:v>1.8360339999999999</c:v>
                </c:pt>
                <c:pt idx="12">
                  <c:v>6.3745979999999998</c:v>
                </c:pt>
                <c:pt idx="13">
                  <c:v>2.3835790000000001</c:v>
                </c:pt>
                <c:pt idx="14">
                  <c:v>3.512067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9-426A-9E8B-9F50AE3B4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6455936"/>
        <c:axId val="226457472"/>
      </c:barChart>
      <c:catAx>
        <c:axId val="22645593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low"/>
        <c:spPr>
          <a:ln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de-DE"/>
          </a:p>
        </c:txPr>
        <c:crossAx val="226457472"/>
        <c:crosses val="autoZero"/>
        <c:auto val="1"/>
        <c:lblAlgn val="ctr"/>
        <c:lblOffset val="100"/>
        <c:noMultiLvlLbl val="0"/>
      </c:catAx>
      <c:valAx>
        <c:axId val="226457472"/>
        <c:scaling>
          <c:orientation val="minMax"/>
          <c:max val="80"/>
          <c:min val="0"/>
        </c:scaling>
        <c:delete val="0"/>
        <c:axPos val="t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/>
            </a:pPr>
            <a:endParaRPr lang="de-DE"/>
          </a:p>
        </c:txPr>
        <c:crossAx val="226455936"/>
        <c:crosses val="autoZero"/>
        <c:crossBetween val="between"/>
        <c:majorUnit val="10"/>
      </c:valAx>
    </c:plotArea>
    <c:legend>
      <c:legendPos val="b"/>
      <c:layout>
        <c:manualLayout>
          <c:xMode val="edge"/>
          <c:yMode val="edge"/>
          <c:x val="0.45148755905511812"/>
          <c:y val="0.93895151133501265"/>
          <c:w val="0.27749396325459319"/>
          <c:h val="5.9868982647635044E-2"/>
        </c:manualLayout>
      </c:layout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b="1"/>
          </a:pPr>
          <a:endParaRPr lang="de-DE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 paperSize="9" orientation="portrait" horizontalDpi="2400" verticalDpi="24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/>
          <a:lstStyle/>
          <a:p>
            <a:pPr algn="l">
              <a:defRPr sz="1100" b="1">
                <a:latin typeface="Arial"/>
                <a:ea typeface="Arial"/>
                <a:cs typeface="Arial"/>
              </a:defRPr>
            </a:pPr>
            <a:r>
              <a:rPr lang="en-US"/>
              <a:t>Ein- und ausgeschiffte Fahrgäste im Seeverkehr, alle Häfen in der EU-28, 2002-2017</a:t>
            </a:r>
          </a:p>
          <a:p>
            <a:pPr algn="l">
              <a:defRPr sz="1100" b="1">
                <a:latin typeface="Arial"/>
                <a:ea typeface="Arial"/>
                <a:cs typeface="Arial"/>
              </a:defRPr>
            </a:pPr>
            <a:r>
              <a:rPr lang="en-US" sz="1000" b="0"/>
              <a:t>(Millionen Fluggäste)</a:t>
            </a:r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9695740365111561E-2"/>
          <c:y val="0.10456409179960817"/>
          <c:w val="0.93509127789046653"/>
          <c:h val="0.81901903162608447"/>
        </c:manualLayout>
      </c:layout>
      <c:lineChart>
        <c:grouping val="standard"/>
        <c:varyColors val="0"/>
        <c:ser>
          <c:idx val="0"/>
          <c:order val="0"/>
          <c:tx>
            <c:strRef>
              <c:f>'Abbildung 5'!$C$11</c:f>
              <c:strCache>
                <c:ptCount val="1"/>
                <c:pt idx="0">
                  <c:v>EU-28</c:v>
                </c:pt>
              </c:strCache>
            </c:strRef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'Abbildung 5'!$D$10:$S$10</c:f>
              <c:numCache>
                <c:formatCode>0</c:formatCode>
                <c:ptCount val="16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 formatCode="General">
                  <c:v>2010</c:v>
                </c:pt>
                <c:pt idx="9" formatCode="General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</c:numCache>
            </c:numRef>
          </c:cat>
          <c:val>
            <c:numRef>
              <c:f>'Abbildung 5'!$D$11:$S$11</c:f>
              <c:numCache>
                <c:formatCode>#,##0</c:formatCode>
                <c:ptCount val="16"/>
                <c:pt idx="0">
                  <c:v>439.55640499999998</c:v>
                </c:pt>
                <c:pt idx="1">
                  <c:v>438.85901899999988</c:v>
                </c:pt>
                <c:pt idx="2">
                  <c:v>434.66495900000001</c:v>
                </c:pt>
                <c:pt idx="3">
                  <c:v>416.06525599999998</c:v>
                </c:pt>
                <c:pt idx="4">
                  <c:v>429.68300999999997</c:v>
                </c:pt>
                <c:pt idx="5">
                  <c:v>438.89730099999997</c:v>
                </c:pt>
                <c:pt idx="6">
                  <c:v>438.96277199999992</c:v>
                </c:pt>
                <c:pt idx="7">
                  <c:v>429.81891499999995</c:v>
                </c:pt>
                <c:pt idx="8">
                  <c:v>425.1722850000001</c:v>
                </c:pt>
                <c:pt idx="9">
                  <c:v>412.801672</c:v>
                </c:pt>
                <c:pt idx="10">
                  <c:v>398.20486299999993</c:v>
                </c:pt>
                <c:pt idx="11">
                  <c:v>400.02857100000006</c:v>
                </c:pt>
                <c:pt idx="12">
                  <c:v>393.127273</c:v>
                </c:pt>
                <c:pt idx="13">
                  <c:v>395.43200799999988</c:v>
                </c:pt>
                <c:pt idx="14">
                  <c:v>396.52263999999997</c:v>
                </c:pt>
                <c:pt idx="15">
                  <c:v>414.80774600000001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88-4435-B4BA-498F743D4A1D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7588-4435-B4BA-498F743D4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537472"/>
        <c:axId val="226539008"/>
      </c:lineChart>
      <c:catAx>
        <c:axId val="22653747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/>
            </a:pPr>
            <a:endParaRPr lang="de-DE"/>
          </a:p>
        </c:txPr>
        <c:crossAx val="226539008"/>
        <c:crosses val="autoZero"/>
        <c:auto val="1"/>
        <c:lblAlgn val="ctr"/>
        <c:lblOffset val="100"/>
        <c:noMultiLvlLbl val="0"/>
      </c:catAx>
      <c:valAx>
        <c:axId val="226539008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/>
            </a:pPr>
            <a:endParaRPr lang="de-DE"/>
          </a:p>
        </c:txPr>
        <c:crossAx val="2265374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 paperSize="9" orientation="landscape" horizontalDpi="200" verticalDpi="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561972</xdr:colOff>
      <xdr:row>62</xdr:row>
      <xdr:rowOff>3810</xdr:rowOff>
    </xdr:from>
    <xdr:to>
      <xdr:col>12</xdr:col>
      <xdr:colOff>47622</xdr:colOff>
      <xdr:row>99</xdr:row>
      <xdr:rowOff>81810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514348</xdr:colOff>
      <xdr:row>47</xdr:row>
      <xdr:rowOff>19049</xdr:rowOff>
    </xdr:from>
    <xdr:to>
      <xdr:col>12</xdr:col>
      <xdr:colOff>1114423</xdr:colOff>
      <xdr:row>84</xdr:row>
      <xdr:rowOff>97049</xdr:rowOff>
    </xdr:to>
    <xdr:graphicFrame macro="">
      <xdr:nvGraphicFramePr>
        <xdr:cNvPr id="76801" name="Chart 1">
          <a:extLst>
            <a:ext uri="{FF2B5EF4-FFF2-40B4-BE49-F238E27FC236}">
              <a16:creationId xmlns:a16="http://schemas.microsoft.com/office/drawing/2014/main" id="{00000000-0008-0000-0200-0000012C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571500</xdr:colOff>
      <xdr:row>44</xdr:row>
      <xdr:rowOff>180976</xdr:rowOff>
    </xdr:from>
    <xdr:to>
      <xdr:col>12</xdr:col>
      <xdr:colOff>326940</xdr:colOff>
      <xdr:row>83</xdr:row>
      <xdr:rowOff>85725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152525" y="7210426"/>
          <a:ext cx="9823365" cy="6400799"/>
          <a:chOff x="6715125" y="1514476"/>
          <a:chExt cx="9823365" cy="6400799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GraphicFramePr>
            <a:graphicFrameLocks/>
          </xdr:cNvGraphicFramePr>
        </xdr:nvGraphicFramePr>
        <xdr:xfrm>
          <a:off x="6715125" y="1514476"/>
          <a:ext cx="9525000" cy="71437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6724647" y="1952293"/>
          <a:ext cx="1419228" cy="59629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GraphicFramePr>
            <a:graphicFrameLocks/>
          </xdr:cNvGraphicFramePr>
        </xdr:nvGraphicFramePr>
        <xdr:xfrm>
          <a:off x="7013490" y="1946609"/>
          <a:ext cx="9525000" cy="596070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0.03868</cdr:x>
      <cdr:y>0.02498</cdr:y>
    </cdr:from>
    <cdr:to>
      <cdr:x>0.12368</cdr:x>
      <cdr:y>0.58906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C13A18A-2ACE-4C7A-8A22-235A575B20A5}"/>
            </a:ext>
          </a:extLst>
        </cdr:cNvPr>
        <cdr:cNvCxnSpPr/>
      </cdr:nvCxnSpPr>
      <cdr:spPr>
        <a:xfrm xmlns:a="http://schemas.openxmlformats.org/drawingml/2006/main" flipV="1">
          <a:off x="368385" y="148892"/>
          <a:ext cx="809625" cy="336232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75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561974</xdr:colOff>
      <xdr:row>33</xdr:row>
      <xdr:rowOff>13333</xdr:rowOff>
    </xdr:from>
    <xdr:to>
      <xdr:col>12</xdr:col>
      <xdr:colOff>790574</xdr:colOff>
      <xdr:row>70</xdr:row>
      <xdr:rowOff>91333</xdr:rowOff>
    </xdr:to>
    <xdr:graphicFrame macro="">
      <xdr:nvGraphicFramePr>
        <xdr:cNvPr id="66562" name="Chart 1">
          <a:extLst>
            <a:ext uri="{FF2B5EF4-FFF2-40B4-BE49-F238E27FC236}">
              <a16:creationId xmlns:a16="http://schemas.microsoft.com/office/drawing/2014/main" id="{00000000-0008-0000-0400-00000204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57150</xdr:colOff>
      <xdr:row>16</xdr:row>
      <xdr:rowOff>92922</xdr:rowOff>
    </xdr:from>
    <xdr:to>
      <xdr:col>17</xdr:col>
      <xdr:colOff>248250</xdr:colOff>
      <xdr:row>54</xdr:row>
      <xdr:rowOff>18522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0.91894</cdr:x>
      <cdr:y>0.50358</cdr:y>
    </cdr:from>
    <cdr:to>
      <cdr:x>0.968</cdr:x>
      <cdr:y>0.56023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753474" y="2878878"/>
          <a:ext cx="467325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e-DE" sz="900" b="1">
              <a:latin typeface="Arial" panose="020B0604020202020204" pitchFamily="34" charset="0"/>
              <a:cs typeface="Arial" panose="020B0604020202020204" pitchFamily="34" charset="0"/>
            </a:rPr>
            <a:t>+4,6 %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7 Transport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B9C31E"/>
      </a:accent1>
      <a:accent2>
        <a:srgbClr val="C84B96"/>
      </a:accent2>
      <a:accent3>
        <a:srgbClr val="286EB4"/>
      </a:accent3>
      <a:accent4>
        <a:srgbClr val="D73C41"/>
      </a:accent4>
      <a:accent5>
        <a:srgbClr val="00A5E6"/>
      </a:accent5>
      <a:accent6>
        <a:srgbClr val="32AFAF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2:AE100"/>
  <sheetViews>
    <sheetView showGridLines="0" topLeftCell="A22" zoomScaleNormal="100" workbookViewId="0"/>
  </sheetViews>
  <sheetFormatPr baseColWidth="10" defaultColWidth="9.140625" defaultRowHeight="12"/>
  <cols>
    <col min="1" max="2" width="8.7109375" style="2" customWidth="1"/>
    <col min="3" max="3" width="23.42578125" style="2" customWidth="1"/>
    <col min="4" max="6" width="18" style="2" customWidth="1"/>
    <col min="7" max="10" width="9.140625" style="2"/>
    <col min="11" max="11" width="18.7109375" style="2" customWidth="1"/>
    <col min="12" max="16384" width="9.140625" style="2"/>
  </cols>
  <sheetData>
    <row r="2" spans="2:31">
      <c r="K2" s="3"/>
    </row>
    <row r="3" spans="2:31" s="36" customFormat="1">
      <c r="C3" s="3" t="s">
        <v>0</v>
      </c>
      <c r="D3" s="37"/>
      <c r="E3" s="37"/>
      <c r="F3" s="37"/>
      <c r="G3" s="37"/>
      <c r="H3" s="37"/>
      <c r="I3" s="37"/>
      <c r="J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</row>
    <row r="4" spans="2:31" s="17" customFormat="1">
      <c r="C4" s="3" t="s">
        <v>1</v>
      </c>
      <c r="D4" s="14"/>
      <c r="E4" s="14"/>
      <c r="F4" s="14"/>
      <c r="G4" s="14"/>
      <c r="H4" s="14"/>
      <c r="I4" s="14"/>
      <c r="J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spans="2:31" s="17" customFormat="1">
      <c r="C5" s="3"/>
      <c r="D5" s="14"/>
      <c r="E5" s="14"/>
      <c r="F5" s="14"/>
      <c r="G5" s="14"/>
      <c r="H5" s="14"/>
      <c r="I5" s="14"/>
      <c r="J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 spans="2:31" s="17" customFormat="1" ht="15.75">
      <c r="C6" s="96" t="s">
        <v>2</v>
      </c>
      <c r="D6" s="14"/>
      <c r="E6" s="14"/>
      <c r="F6" s="14"/>
      <c r="G6" s="14"/>
      <c r="H6" s="14"/>
      <c r="I6" s="14"/>
      <c r="J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 spans="2:31" s="17" customFormat="1">
      <c r="C7" s="14" t="s">
        <v>3</v>
      </c>
      <c r="D7" s="14"/>
      <c r="E7" s="14"/>
      <c r="F7" s="14"/>
      <c r="G7" s="14"/>
      <c r="H7" s="14"/>
      <c r="I7" s="14"/>
      <c r="J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 spans="2:31" s="17" customFormat="1">
      <c r="C8" s="9"/>
      <c r="D8" s="14"/>
      <c r="E8" s="14"/>
      <c r="F8" s="14"/>
      <c r="G8" s="14"/>
      <c r="H8" s="14"/>
      <c r="I8" s="14"/>
      <c r="J8" s="14"/>
      <c r="K8" s="3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2:31" s="3" customFormat="1"/>
    <row r="10" spans="2:31" ht="24" customHeight="1">
      <c r="C10" s="28"/>
      <c r="D10" s="29" t="s">
        <v>137</v>
      </c>
      <c r="E10" s="29" t="s">
        <v>138</v>
      </c>
      <c r="F10" s="29" t="s">
        <v>139</v>
      </c>
    </row>
    <row r="11" spans="2:31" s="4" customFormat="1" ht="12" customHeight="1">
      <c r="C11" s="30" t="s">
        <v>4</v>
      </c>
      <c r="D11" s="23">
        <v>82.9</v>
      </c>
      <c r="E11" s="23">
        <v>9.4</v>
      </c>
      <c r="F11" s="23">
        <v>7.7</v>
      </c>
      <c r="G11" s="31"/>
      <c r="H11" s="30"/>
      <c r="J11" s="2"/>
      <c r="K11" s="2"/>
      <c r="L11" s="2"/>
      <c r="M11" s="2"/>
    </row>
    <row r="12" spans="2:31" s="4" customFormat="1" ht="12" customHeight="1">
      <c r="C12" s="30"/>
      <c r="D12" s="23"/>
      <c r="E12" s="23"/>
      <c r="F12" s="23"/>
      <c r="H12" s="30"/>
      <c r="J12" s="2"/>
      <c r="K12" s="2"/>
      <c r="L12" s="2"/>
      <c r="M12" s="2"/>
    </row>
    <row r="13" spans="2:31" s="4" customFormat="1" ht="12" customHeight="1">
      <c r="B13" s="11"/>
      <c r="C13" s="30" t="s">
        <v>88</v>
      </c>
      <c r="D13" s="23">
        <v>89.9</v>
      </c>
      <c r="E13" s="23">
        <v>9.1</v>
      </c>
      <c r="F13" s="23">
        <v>1</v>
      </c>
      <c r="G13" s="5"/>
      <c r="H13" s="23"/>
      <c r="I13" s="5"/>
      <c r="J13" s="2"/>
      <c r="K13" s="2"/>
      <c r="L13" s="2"/>
      <c r="M13" s="2"/>
    </row>
    <row r="14" spans="2:31" s="4" customFormat="1" ht="12" customHeight="1">
      <c r="B14" s="11"/>
      <c r="C14" s="30" t="s">
        <v>5</v>
      </c>
      <c r="D14" s="23">
        <v>89.1</v>
      </c>
      <c r="E14" s="23">
        <v>6.7</v>
      </c>
      <c r="F14" s="23">
        <v>4.2</v>
      </c>
      <c r="G14" s="5"/>
      <c r="H14" s="23"/>
      <c r="I14" s="7"/>
      <c r="J14" s="29"/>
      <c r="K14" s="29"/>
      <c r="L14" s="29"/>
      <c r="M14" s="2"/>
    </row>
    <row r="15" spans="2:31" s="4" customFormat="1" ht="12" customHeight="1">
      <c r="B15" s="11"/>
      <c r="C15" s="30" t="s">
        <v>89</v>
      </c>
      <c r="D15" s="23">
        <v>86.5</v>
      </c>
      <c r="E15" s="23">
        <v>4.5999999999999996</v>
      </c>
      <c r="F15" s="23">
        <v>8.8000000000000007</v>
      </c>
      <c r="G15" s="5"/>
      <c r="H15" s="24"/>
      <c r="I15" s="7"/>
      <c r="J15" s="12"/>
      <c r="K15" s="12"/>
      <c r="L15" s="12"/>
      <c r="M15" s="2"/>
    </row>
    <row r="16" spans="2:31" s="4" customFormat="1" ht="12" customHeight="1">
      <c r="B16" s="11"/>
      <c r="C16" s="30" t="s">
        <v>90</v>
      </c>
      <c r="D16" s="23">
        <v>86.3</v>
      </c>
      <c r="E16" s="23">
        <v>11.8</v>
      </c>
      <c r="F16" s="23">
        <v>2</v>
      </c>
      <c r="G16" s="5"/>
      <c r="H16" s="23"/>
      <c r="I16" s="7"/>
      <c r="J16" s="2"/>
      <c r="K16" s="2"/>
      <c r="L16" s="2"/>
      <c r="M16" s="2"/>
    </row>
    <row r="17" spans="2:13" s="4" customFormat="1" ht="12" customHeight="1">
      <c r="B17" s="11"/>
      <c r="C17" s="30" t="s">
        <v>91</v>
      </c>
      <c r="D17" s="23">
        <v>86</v>
      </c>
      <c r="E17" s="23">
        <v>3</v>
      </c>
      <c r="F17" s="23">
        <v>11</v>
      </c>
      <c r="G17" s="5"/>
      <c r="H17" s="23"/>
      <c r="I17" s="7"/>
      <c r="J17" s="29"/>
      <c r="K17" s="29"/>
      <c r="L17" s="29"/>
      <c r="M17" s="2"/>
    </row>
    <row r="18" spans="2:13" s="4" customFormat="1" ht="12" customHeight="1">
      <c r="B18" s="11"/>
      <c r="C18" s="30" t="s">
        <v>92</v>
      </c>
      <c r="D18" s="23">
        <v>85.7</v>
      </c>
      <c r="E18" s="23">
        <v>5.8</v>
      </c>
      <c r="F18" s="23">
        <v>8.6</v>
      </c>
      <c r="G18" s="5"/>
      <c r="H18" s="23"/>
      <c r="I18" s="5"/>
      <c r="J18" s="2"/>
      <c r="K18" s="2"/>
      <c r="L18" s="2"/>
      <c r="M18" s="2"/>
    </row>
    <row r="19" spans="2:13" s="4" customFormat="1" ht="12" customHeight="1">
      <c r="B19" s="11"/>
      <c r="C19" s="30" t="s">
        <v>93</v>
      </c>
      <c r="D19" s="23">
        <v>85</v>
      </c>
      <c r="E19" s="23">
        <v>12.3</v>
      </c>
      <c r="F19" s="23">
        <v>2.7</v>
      </c>
      <c r="G19" s="5"/>
      <c r="H19" s="23"/>
      <c r="I19" s="5"/>
      <c r="J19" s="2"/>
      <c r="K19" s="2"/>
      <c r="L19" s="2"/>
      <c r="M19" s="2"/>
    </row>
    <row r="20" spans="2:13" s="4" customFormat="1" ht="12" customHeight="1">
      <c r="B20" s="11"/>
      <c r="C20" s="30" t="s">
        <v>94</v>
      </c>
      <c r="D20" s="23">
        <v>83.7</v>
      </c>
      <c r="E20" s="23">
        <v>14.1</v>
      </c>
      <c r="F20" s="23">
        <v>2.2000000000000002</v>
      </c>
      <c r="G20" s="5"/>
      <c r="H20" s="23"/>
      <c r="I20" s="5"/>
      <c r="J20" s="2"/>
      <c r="K20" s="2"/>
      <c r="L20" s="2"/>
      <c r="M20" s="2"/>
    </row>
    <row r="21" spans="2:13" s="4" customFormat="1" ht="12" customHeight="1">
      <c r="B21" s="11"/>
      <c r="C21" s="30" t="s">
        <v>95</v>
      </c>
      <c r="D21" s="23">
        <v>83.5</v>
      </c>
      <c r="E21" s="23">
        <v>7.2</v>
      </c>
      <c r="F21" s="23">
        <v>9.3000000000000007</v>
      </c>
      <c r="G21" s="5"/>
      <c r="H21" s="23"/>
      <c r="I21" s="5"/>
      <c r="J21" s="2"/>
      <c r="K21" s="2"/>
      <c r="L21" s="2"/>
      <c r="M21" s="2"/>
    </row>
    <row r="22" spans="2:13" s="4" customFormat="1" ht="12" customHeight="1">
      <c r="B22" s="11"/>
      <c r="C22" s="30" t="s">
        <v>96</v>
      </c>
      <c r="D22" s="23">
        <v>83.1</v>
      </c>
      <c r="E22" s="23">
        <v>12.3</v>
      </c>
      <c r="F22" s="23">
        <v>4.5999999999999996</v>
      </c>
      <c r="G22" s="5"/>
      <c r="H22" s="23"/>
      <c r="I22" s="5"/>
      <c r="J22" s="2"/>
      <c r="K22" s="2"/>
      <c r="L22" s="2"/>
      <c r="M22" s="2"/>
    </row>
    <row r="23" spans="2:13" s="4" customFormat="1" ht="12" customHeight="1">
      <c r="B23" s="11"/>
      <c r="C23" s="30" t="s">
        <v>6</v>
      </c>
      <c r="D23" s="23">
        <v>82.6</v>
      </c>
      <c r="E23" s="23">
        <v>17.399999999999999</v>
      </c>
      <c r="F23" s="20" t="s">
        <v>7</v>
      </c>
      <c r="G23" s="31"/>
      <c r="H23" s="23"/>
      <c r="J23" s="2"/>
      <c r="K23" s="2"/>
      <c r="L23" s="2"/>
      <c r="M23" s="2"/>
    </row>
    <row r="24" spans="2:13" s="4" customFormat="1" ht="12" customHeight="1">
      <c r="B24" s="11"/>
      <c r="C24" s="30" t="s">
        <v>97</v>
      </c>
      <c r="D24" s="23">
        <v>82.5</v>
      </c>
      <c r="E24" s="23">
        <v>11.9</v>
      </c>
      <c r="F24" s="23">
        <v>5.6</v>
      </c>
      <c r="G24" s="5"/>
      <c r="H24" s="23"/>
      <c r="I24" s="5"/>
      <c r="J24" s="2"/>
      <c r="K24" s="2"/>
      <c r="L24" s="2"/>
      <c r="M24" s="2"/>
    </row>
    <row r="25" spans="2:13" s="4" customFormat="1" ht="12" customHeight="1">
      <c r="B25" s="11"/>
      <c r="C25" s="30" t="s">
        <v>98</v>
      </c>
      <c r="D25" s="23">
        <v>81.900000000000006</v>
      </c>
      <c r="E25" s="23">
        <v>17.100000000000001</v>
      </c>
      <c r="F25" s="20">
        <v>1</v>
      </c>
      <c r="G25" s="5"/>
      <c r="H25" s="25"/>
      <c r="I25" s="5"/>
      <c r="J25" s="2"/>
      <c r="K25" s="2"/>
      <c r="L25" s="2"/>
      <c r="M25" s="2"/>
    </row>
    <row r="26" spans="2:13" s="4" customFormat="1" ht="12" customHeight="1">
      <c r="B26" s="11"/>
      <c r="C26" s="30" t="s">
        <v>99</v>
      </c>
      <c r="D26" s="23">
        <v>81.900000000000006</v>
      </c>
      <c r="E26" s="23">
        <v>12</v>
      </c>
      <c r="F26" s="25">
        <v>6.1</v>
      </c>
      <c r="G26" s="5"/>
      <c r="H26" s="23"/>
      <c r="I26" s="5"/>
      <c r="J26" s="2"/>
      <c r="K26" s="2"/>
      <c r="L26" s="2"/>
      <c r="M26" s="2"/>
    </row>
    <row r="27" spans="2:13" s="4" customFormat="1" ht="12" customHeight="1">
      <c r="B27" s="11"/>
      <c r="C27" s="30" t="s">
        <v>100</v>
      </c>
      <c r="D27" s="23">
        <v>81.8</v>
      </c>
      <c r="E27" s="23">
        <v>10.5</v>
      </c>
      <c r="F27" s="23">
        <v>7.7</v>
      </c>
      <c r="G27" s="5"/>
      <c r="H27" s="23"/>
      <c r="I27" s="5"/>
      <c r="J27" s="2"/>
      <c r="K27" s="2"/>
      <c r="L27" s="2"/>
      <c r="M27" s="2"/>
    </row>
    <row r="28" spans="2:13" s="4" customFormat="1" ht="12" customHeight="1">
      <c r="B28" s="11"/>
      <c r="C28" s="30" t="s">
        <v>101</v>
      </c>
      <c r="D28" s="23">
        <v>81.599999999999994</v>
      </c>
      <c r="E28" s="23">
        <v>9.8000000000000007</v>
      </c>
      <c r="F28" s="23">
        <v>8.6</v>
      </c>
      <c r="G28" s="5"/>
      <c r="H28" s="23"/>
      <c r="I28" s="5"/>
      <c r="J28" s="2"/>
      <c r="K28" s="2"/>
      <c r="L28" s="2"/>
      <c r="M28" s="2"/>
    </row>
    <row r="29" spans="2:13" s="4" customFormat="1" ht="12" customHeight="1">
      <c r="B29" s="11"/>
      <c r="C29" s="30" t="s">
        <v>102</v>
      </c>
      <c r="D29" s="23">
        <v>81.599999999999994</v>
      </c>
      <c r="E29" s="23">
        <v>11.8</v>
      </c>
      <c r="F29" s="23">
        <v>6.6</v>
      </c>
      <c r="G29" s="5"/>
      <c r="H29" s="23"/>
      <c r="I29" s="5"/>
      <c r="J29" s="2"/>
      <c r="K29" s="2"/>
      <c r="L29" s="2"/>
      <c r="M29" s="2"/>
    </row>
    <row r="30" spans="2:13" s="4" customFormat="1" ht="12" customHeight="1">
      <c r="B30" s="11"/>
      <c r="C30" s="30" t="s">
        <v>103</v>
      </c>
      <c r="D30" s="23">
        <v>81.5</v>
      </c>
      <c r="E30" s="23">
        <v>8.8000000000000007</v>
      </c>
      <c r="F30" s="23">
        <v>9.6999999999999993</v>
      </c>
      <c r="G30" s="5"/>
      <c r="H30" s="25"/>
      <c r="I30" s="5"/>
      <c r="J30" s="2"/>
      <c r="K30" s="2"/>
      <c r="L30" s="2"/>
      <c r="M30" s="2"/>
    </row>
    <row r="31" spans="2:13" s="4" customFormat="1" ht="12" customHeight="1">
      <c r="B31" s="11"/>
      <c r="C31" s="30" t="s">
        <v>104</v>
      </c>
      <c r="D31" s="23">
        <v>81.5</v>
      </c>
      <c r="E31" s="23">
        <v>15.1</v>
      </c>
      <c r="F31" s="23">
        <v>3.4</v>
      </c>
      <c r="G31" s="5"/>
      <c r="H31" s="23"/>
      <c r="I31" s="5"/>
      <c r="J31" s="2"/>
      <c r="K31" s="2"/>
      <c r="L31" s="2"/>
      <c r="M31" s="2"/>
    </row>
    <row r="32" spans="2:13" s="4" customFormat="1" ht="12" customHeight="1">
      <c r="B32" s="11"/>
      <c r="C32" s="30" t="s">
        <v>105</v>
      </c>
      <c r="D32" s="23">
        <v>81.400000000000006</v>
      </c>
      <c r="E32" s="23">
        <v>18.600000000000001</v>
      </c>
      <c r="F32" s="23" t="s">
        <v>7</v>
      </c>
      <c r="G32" s="5"/>
      <c r="H32" s="30"/>
      <c r="I32" s="5"/>
      <c r="J32" s="2"/>
      <c r="K32" s="2"/>
      <c r="L32" s="2"/>
      <c r="M32" s="2"/>
    </row>
    <row r="33" spans="2:13" s="4" customFormat="1" ht="12" customHeight="1">
      <c r="B33" s="11"/>
      <c r="C33" s="30" t="s">
        <v>106</v>
      </c>
      <c r="D33" s="23">
        <v>80.099999999999994</v>
      </c>
      <c r="E33" s="23">
        <v>17.899999999999999</v>
      </c>
      <c r="F33" s="23">
        <v>2</v>
      </c>
      <c r="G33" s="5"/>
      <c r="H33" s="23"/>
      <c r="I33" s="5"/>
      <c r="J33" s="2"/>
      <c r="K33" s="2"/>
      <c r="L33" s="2"/>
      <c r="M33" s="2"/>
    </row>
    <row r="34" spans="2:13" s="4" customFormat="1" ht="12" customHeight="1">
      <c r="B34" s="11"/>
      <c r="C34" s="30" t="s">
        <v>107</v>
      </c>
      <c r="D34" s="23">
        <v>80.099999999999994</v>
      </c>
      <c r="E34" s="23">
        <v>15.7</v>
      </c>
      <c r="F34" s="23">
        <v>4.2</v>
      </c>
      <c r="G34" s="5"/>
      <c r="H34" s="23"/>
      <c r="I34" s="5"/>
      <c r="J34" s="2"/>
      <c r="K34" s="2"/>
      <c r="L34" s="2"/>
      <c r="M34" s="2"/>
    </row>
    <row r="35" spans="2:13" s="4" customFormat="1" ht="12" customHeight="1">
      <c r="B35" s="11"/>
      <c r="C35" s="30" t="s">
        <v>108</v>
      </c>
      <c r="D35" s="23">
        <v>79.900000000000006</v>
      </c>
      <c r="E35" s="23">
        <v>17.2</v>
      </c>
      <c r="F35" s="23">
        <v>2.9</v>
      </c>
      <c r="G35" s="5"/>
      <c r="H35" s="23"/>
      <c r="I35" s="5"/>
      <c r="J35" s="2"/>
      <c r="K35" s="2"/>
      <c r="L35" s="2"/>
      <c r="M35" s="2"/>
    </row>
    <row r="36" spans="2:13" s="4" customFormat="1" ht="12" customHeight="1">
      <c r="B36" s="11"/>
      <c r="C36" s="30" t="s">
        <v>109</v>
      </c>
      <c r="D36" s="23">
        <v>78.5</v>
      </c>
      <c r="E36" s="23">
        <v>14.2</v>
      </c>
      <c r="F36" s="23">
        <v>7.3</v>
      </c>
      <c r="G36" s="5"/>
      <c r="H36" s="23"/>
      <c r="I36" s="5"/>
      <c r="J36" s="2"/>
      <c r="K36" s="2"/>
      <c r="L36" s="2"/>
      <c r="M36" s="2"/>
    </row>
    <row r="37" spans="2:13" s="4" customFormat="1" ht="12" customHeight="1">
      <c r="B37" s="11"/>
      <c r="C37" s="30" t="s">
        <v>110</v>
      </c>
      <c r="D37" s="23">
        <v>77.7</v>
      </c>
      <c r="E37" s="23">
        <v>10.199999999999999</v>
      </c>
      <c r="F37" s="23">
        <v>12.1</v>
      </c>
      <c r="G37" s="5"/>
      <c r="H37" s="23"/>
      <c r="I37" s="5"/>
      <c r="J37" s="2"/>
      <c r="K37" s="2"/>
      <c r="L37" s="2"/>
      <c r="M37" s="2"/>
    </row>
    <row r="38" spans="2:13" s="4" customFormat="1" ht="12" customHeight="1">
      <c r="B38" s="11"/>
      <c r="C38" s="30" t="s">
        <v>111</v>
      </c>
      <c r="D38" s="23">
        <v>74.8</v>
      </c>
      <c r="E38" s="23">
        <v>15.8</v>
      </c>
      <c r="F38" s="23">
        <v>9.4</v>
      </c>
      <c r="G38" s="5"/>
      <c r="H38" s="23"/>
      <c r="I38" s="5"/>
      <c r="J38" s="2"/>
      <c r="K38" s="2"/>
      <c r="L38" s="2"/>
      <c r="M38" s="2"/>
    </row>
    <row r="39" spans="2:13" s="4" customFormat="1" ht="12" customHeight="1">
      <c r="B39" s="11"/>
      <c r="C39" s="30" t="s">
        <v>112</v>
      </c>
      <c r="D39" s="23">
        <v>74</v>
      </c>
      <c r="E39" s="23">
        <v>17.100000000000001</v>
      </c>
      <c r="F39" s="23">
        <v>8.9</v>
      </c>
      <c r="G39" s="5"/>
      <c r="H39" s="23"/>
      <c r="I39" s="5"/>
      <c r="J39" s="2"/>
      <c r="K39" s="15"/>
      <c r="L39" s="2"/>
      <c r="M39" s="2"/>
    </row>
    <row r="40" spans="2:13" s="4" customFormat="1" ht="12" customHeight="1">
      <c r="B40" s="11"/>
      <c r="C40" s="30" t="s">
        <v>113</v>
      </c>
      <c r="D40" s="23">
        <v>69</v>
      </c>
      <c r="E40" s="23">
        <v>21.7</v>
      </c>
      <c r="F40" s="23">
        <v>9.3000000000000007</v>
      </c>
      <c r="G40" s="5"/>
      <c r="H40" s="23"/>
      <c r="I40" s="5"/>
      <c r="J40" s="2"/>
      <c r="K40" s="15"/>
      <c r="L40" s="2"/>
      <c r="M40" s="2"/>
    </row>
    <row r="41" spans="2:13" s="4" customFormat="1" ht="12" customHeight="1">
      <c r="B41" s="11"/>
      <c r="C41" s="30"/>
      <c r="D41" s="23"/>
      <c r="E41" s="23"/>
      <c r="F41" s="23"/>
      <c r="G41" s="5"/>
      <c r="K41" s="2"/>
      <c r="L41" s="2"/>
      <c r="M41" s="2"/>
    </row>
    <row r="42" spans="2:13" s="4" customFormat="1" ht="12" customHeight="1">
      <c r="B42" s="11"/>
      <c r="C42" s="30" t="s">
        <v>114</v>
      </c>
      <c r="D42" s="23">
        <v>89</v>
      </c>
      <c r="E42" s="23">
        <v>5.9</v>
      </c>
      <c r="F42" s="20">
        <v>5.0999999999999996</v>
      </c>
      <c r="G42" s="31"/>
      <c r="H42" s="23"/>
      <c r="I42" s="5"/>
      <c r="J42" s="2"/>
      <c r="K42" s="15"/>
      <c r="L42" s="2"/>
      <c r="M42" s="2"/>
    </row>
    <row r="43" spans="2:13" s="4" customFormat="1" ht="12" customHeight="1">
      <c r="B43" s="11"/>
      <c r="C43" s="30" t="s">
        <v>115</v>
      </c>
      <c r="D43" s="23">
        <v>88.6</v>
      </c>
      <c r="E43" s="23">
        <v>11.4</v>
      </c>
      <c r="F43" s="25" t="s">
        <v>7</v>
      </c>
      <c r="G43" s="31"/>
      <c r="H43" s="25"/>
      <c r="J43" s="2"/>
      <c r="K43" s="2"/>
      <c r="L43" s="2"/>
      <c r="M43" s="2"/>
    </row>
    <row r="44" spans="2:13" s="4" customFormat="1" ht="12" customHeight="1">
      <c r="B44" s="11"/>
      <c r="C44" s="30" t="s">
        <v>116</v>
      </c>
      <c r="D44" s="23">
        <v>74.3</v>
      </c>
      <c r="E44" s="23">
        <v>5.9</v>
      </c>
      <c r="F44" s="23">
        <v>19.8</v>
      </c>
      <c r="G44" s="31"/>
      <c r="H44" s="24"/>
      <c r="J44" s="2"/>
      <c r="K44" s="2"/>
      <c r="L44" s="2"/>
      <c r="M44" s="2"/>
    </row>
    <row r="45" spans="2:13" s="4" customFormat="1" ht="12" customHeight="1">
      <c r="B45" s="11"/>
      <c r="G45" s="31"/>
      <c r="H45" s="30"/>
      <c r="J45" s="2"/>
      <c r="K45" s="2"/>
      <c r="L45" s="2"/>
      <c r="M45" s="2"/>
    </row>
    <row r="46" spans="2:13" s="4" customFormat="1">
      <c r="B46" s="11"/>
      <c r="C46" s="38" t="s">
        <v>117</v>
      </c>
      <c r="D46" s="23">
        <v>85.9</v>
      </c>
      <c r="E46" s="23">
        <v>13.1</v>
      </c>
      <c r="F46" s="23">
        <v>1</v>
      </c>
      <c r="G46" s="31"/>
      <c r="H46" s="30"/>
      <c r="J46" s="2"/>
      <c r="K46" s="2"/>
      <c r="L46" s="2"/>
      <c r="M46" s="2"/>
    </row>
    <row r="47" spans="2:13" s="4" customFormat="1" ht="12" customHeight="1">
      <c r="B47" s="11"/>
      <c r="C47" s="30" t="s">
        <v>118</v>
      </c>
      <c r="D47" s="23">
        <v>70.099999999999994</v>
      </c>
      <c r="E47" s="23">
        <v>28.5</v>
      </c>
      <c r="F47" s="23">
        <v>1.4</v>
      </c>
      <c r="G47" s="31"/>
      <c r="H47" s="23"/>
      <c r="J47" s="2"/>
      <c r="K47" s="2"/>
      <c r="L47" s="2"/>
      <c r="M47" s="2"/>
    </row>
    <row r="48" spans="2:13" ht="12" customHeight="1">
      <c r="C48" s="4"/>
      <c r="D48" s="6"/>
    </row>
    <row r="49" spans="1:12" ht="12" customHeight="1">
      <c r="C49" s="210" t="s">
        <v>8</v>
      </c>
      <c r="D49" s="6"/>
    </row>
    <row r="50" spans="1:12" ht="12" customHeight="1">
      <c r="C50" s="211" t="s">
        <v>9</v>
      </c>
      <c r="D50" s="6"/>
    </row>
    <row r="51" spans="1:12" ht="12" customHeight="1">
      <c r="C51" s="212" t="s">
        <v>10</v>
      </c>
    </row>
    <row r="52" spans="1:12">
      <c r="C52" s="18"/>
      <c r="G52" s="1"/>
      <c r="H52" s="1"/>
      <c r="I52" s="1"/>
      <c r="J52" s="1"/>
    </row>
    <row r="53" spans="1:12" ht="11.25" customHeight="1"/>
    <row r="54" spans="1:12" ht="11.25" customHeight="1"/>
    <row r="55" spans="1:12" ht="11.25" customHeight="1">
      <c r="A55" s="9" t="s">
        <v>11</v>
      </c>
    </row>
    <row r="56" spans="1:12">
      <c r="A56" s="2" t="s">
        <v>12</v>
      </c>
      <c r="D56" s="8"/>
      <c r="E56" s="8"/>
      <c r="G56" s="22"/>
      <c r="H56" s="22"/>
      <c r="I56" s="22"/>
      <c r="J56" s="22"/>
    </row>
    <row r="61" spans="1:12">
      <c r="A61" s="19"/>
    </row>
    <row r="62" spans="1:12" s="3" customFormat="1">
      <c r="A62" s="1"/>
      <c r="K62" s="2"/>
      <c r="L62" s="2"/>
    </row>
    <row r="63" spans="1:12" s="3" customFormat="1">
      <c r="K63" s="2"/>
      <c r="L63" s="2"/>
    </row>
    <row r="65" spans="12:12">
      <c r="L65" s="3"/>
    </row>
    <row r="66" spans="12:12">
      <c r="L66" s="3"/>
    </row>
    <row r="98" spans="3:3">
      <c r="C98" s="21"/>
    </row>
    <row r="99" spans="3:3">
      <c r="C99" s="30"/>
    </row>
    <row r="100" spans="3:3">
      <c r="C100" s="18"/>
    </row>
  </sheetData>
  <phoneticPr fontId="2" type="noConversion"/>
  <conditionalFormatting sqref="B13:B47">
    <cfRule type="cellIs" dxfId="0" priority="1" operator="greaterThan">
      <formula>0</formula>
    </cfRule>
  </conditionalFormatting>
  <pageMargins left="0.75" right="0.75" top="1" bottom="1" header="0.5" footer="0.5"/>
  <pageSetup paperSize="150" orientation="portrait" horizontalDpi="2400" verticalDpi="24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66"/>
  <sheetViews>
    <sheetView showGridLines="0" zoomScaleNormal="100" workbookViewId="0"/>
  </sheetViews>
  <sheetFormatPr baseColWidth="10" defaultColWidth="9.140625" defaultRowHeight="12"/>
  <cols>
    <col min="1" max="2" width="8.7109375" style="44" customWidth="1"/>
    <col min="3" max="3" width="17" style="40" customWidth="1"/>
    <col min="4" max="12" width="14" style="40" customWidth="1"/>
    <col min="13" max="13" width="9.28515625" style="40" customWidth="1"/>
    <col min="14" max="15" width="9.140625" style="44"/>
    <col min="16" max="16" width="18.7109375" style="2" customWidth="1"/>
    <col min="17" max="16384" width="9.140625" style="44"/>
  </cols>
  <sheetData>
    <row r="1" spans="2:16" ht="12" customHeight="1"/>
    <row r="2" spans="2:16" ht="12" customHeight="1">
      <c r="P2" s="3"/>
    </row>
    <row r="3" spans="2:16" ht="12" customHeight="1">
      <c r="C3" s="9" t="s">
        <v>0</v>
      </c>
    </row>
    <row r="4" spans="2:16" ht="12" customHeight="1">
      <c r="C4" s="9" t="s">
        <v>13</v>
      </c>
    </row>
    <row r="5" spans="2:16" ht="12" customHeight="1">
      <c r="C5" s="9"/>
    </row>
    <row r="6" spans="2:16" ht="15.75">
      <c r="C6" s="94" t="s">
        <v>14</v>
      </c>
      <c r="D6" s="41"/>
      <c r="E6" s="41"/>
      <c r="F6" s="41"/>
      <c r="G6" s="41"/>
      <c r="K6" s="41"/>
      <c r="L6" s="41"/>
      <c r="M6" s="41"/>
      <c r="N6" s="47"/>
    </row>
    <row r="7" spans="2:16" ht="12.75" customHeight="1">
      <c r="C7" s="97" t="s">
        <v>75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7"/>
    </row>
    <row r="8" spans="2:16" ht="12" customHeight="1">
      <c r="C8" s="97"/>
      <c r="D8" s="41"/>
      <c r="E8" s="41"/>
      <c r="F8" s="41"/>
      <c r="G8" s="41"/>
      <c r="H8" s="41"/>
      <c r="I8" s="41"/>
      <c r="J8" s="41"/>
      <c r="K8" s="41"/>
      <c r="L8" s="41"/>
      <c r="M8" s="41"/>
      <c r="N8" s="47"/>
      <c r="P8" s="3"/>
    </row>
    <row r="9" spans="2:16" s="48" customFormat="1" ht="12" customHeight="1">
      <c r="B9" s="44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7"/>
      <c r="P9" s="3"/>
    </row>
    <row r="10" spans="2:16" s="46" customFormat="1" ht="12" customHeight="1">
      <c r="B10" s="44"/>
      <c r="C10" s="231"/>
      <c r="D10" s="251" t="s">
        <v>22</v>
      </c>
      <c r="E10" s="252"/>
      <c r="F10" s="253"/>
      <c r="G10" s="254" t="s">
        <v>23</v>
      </c>
      <c r="H10" s="255"/>
      <c r="I10" s="255"/>
      <c r="J10" s="254" t="s">
        <v>24</v>
      </c>
      <c r="K10" s="255"/>
      <c r="L10" s="256"/>
      <c r="M10" s="43"/>
      <c r="P10" s="3"/>
    </row>
    <row r="11" spans="2:16" s="46" customFormat="1" ht="12" customHeight="1">
      <c r="C11" s="232"/>
      <c r="D11" s="50">
        <v>2016</v>
      </c>
      <c r="E11" s="51">
        <v>2017</v>
      </c>
      <c r="F11" s="52" t="s">
        <v>136</v>
      </c>
      <c r="G11" s="50">
        <v>2016</v>
      </c>
      <c r="H11" s="51">
        <v>2017</v>
      </c>
      <c r="I11" s="52" t="s">
        <v>136</v>
      </c>
      <c r="J11" s="50">
        <v>2016</v>
      </c>
      <c r="K11" s="51">
        <v>2017</v>
      </c>
      <c r="L11" s="53" t="s">
        <v>136</v>
      </c>
      <c r="M11" s="43"/>
      <c r="P11" s="3"/>
    </row>
    <row r="12" spans="2:16" ht="12" customHeight="1">
      <c r="C12" s="54" t="s">
        <v>15</v>
      </c>
      <c r="D12" s="111">
        <v>9490148.9879999999</v>
      </c>
      <c r="E12" s="112">
        <v>9634874.8619999997</v>
      </c>
      <c r="F12" s="131">
        <v>1.52501161133514</v>
      </c>
      <c r="G12" s="144" t="s">
        <v>7</v>
      </c>
      <c r="H12" s="145" t="s">
        <v>7</v>
      </c>
      <c r="I12" s="137" t="s">
        <v>7</v>
      </c>
      <c r="J12" s="113" t="s">
        <v>7</v>
      </c>
      <c r="K12" s="114" t="s">
        <v>7</v>
      </c>
      <c r="L12" s="138" t="s">
        <v>7</v>
      </c>
      <c r="M12" s="41"/>
      <c r="N12" s="46"/>
      <c r="P12" s="3"/>
    </row>
    <row r="13" spans="2:16" ht="12" customHeight="1">
      <c r="C13" s="238" t="s">
        <v>119</v>
      </c>
      <c r="D13" s="115" t="s">
        <v>16</v>
      </c>
      <c r="E13" s="116" t="s">
        <v>16</v>
      </c>
      <c r="F13" s="132" t="s">
        <v>16</v>
      </c>
      <c r="G13" s="146" t="s">
        <v>16</v>
      </c>
      <c r="H13" s="147" t="s">
        <v>16</v>
      </c>
      <c r="I13" s="132" t="s">
        <v>16</v>
      </c>
      <c r="J13" s="117" t="s">
        <v>16</v>
      </c>
      <c r="K13" s="118" t="s">
        <v>16</v>
      </c>
      <c r="L13" s="139" t="s">
        <v>16</v>
      </c>
      <c r="M13" s="41"/>
      <c r="N13" s="46"/>
    </row>
    <row r="14" spans="2:16" ht="12" customHeight="1">
      <c r="C14" s="239" t="s">
        <v>94</v>
      </c>
      <c r="D14" s="119">
        <v>20910.695</v>
      </c>
      <c r="E14" s="120">
        <v>20411.246999999999</v>
      </c>
      <c r="F14" s="133">
        <v>-2.38848110978617</v>
      </c>
      <c r="G14" s="148">
        <v>514.75400000000002</v>
      </c>
      <c r="H14" s="149">
        <v>783.76199999999994</v>
      </c>
      <c r="I14" s="133">
        <v>52.259525909463498</v>
      </c>
      <c r="J14" s="119">
        <v>21425.449000000001</v>
      </c>
      <c r="K14" s="120">
        <v>21195.008999999998</v>
      </c>
      <c r="L14" s="140">
        <v>-1.07554338767885</v>
      </c>
      <c r="M14" s="41"/>
      <c r="N14" s="46"/>
      <c r="P14" s="15"/>
    </row>
    <row r="15" spans="2:16" ht="12" customHeight="1">
      <c r="C15" s="239" t="s">
        <v>112</v>
      </c>
      <c r="D15" s="119">
        <v>173700.91</v>
      </c>
      <c r="E15" s="120">
        <v>176932.46900000001</v>
      </c>
      <c r="F15" s="133">
        <v>1.8604156996068699</v>
      </c>
      <c r="G15" s="148">
        <v>5065.5259999999998</v>
      </c>
      <c r="H15" s="149">
        <v>5791.3209999999999</v>
      </c>
      <c r="I15" s="133">
        <v>14.328127029651</v>
      </c>
      <c r="J15" s="119">
        <v>178766.43599999999</v>
      </c>
      <c r="K15" s="120">
        <v>182723.79</v>
      </c>
      <c r="L15" s="140">
        <v>2.2137007866510201</v>
      </c>
      <c r="M15" s="41"/>
      <c r="N15" s="46"/>
      <c r="P15" s="15"/>
    </row>
    <row r="16" spans="2:16" ht="12" customHeight="1">
      <c r="C16" s="100" t="s">
        <v>101</v>
      </c>
      <c r="D16" s="119">
        <v>198682</v>
      </c>
      <c r="E16" s="120">
        <v>193928</v>
      </c>
      <c r="F16" s="133">
        <v>-2.3927683433828899</v>
      </c>
      <c r="G16" s="148">
        <v>12717</v>
      </c>
      <c r="H16" s="149">
        <v>12638</v>
      </c>
      <c r="I16" s="133">
        <v>-0.62121569552567901</v>
      </c>
      <c r="J16" s="119">
        <v>211399</v>
      </c>
      <c r="K16" s="120">
        <v>206566</v>
      </c>
      <c r="L16" s="141">
        <v>-2.28619813717189</v>
      </c>
      <c r="M16" s="41"/>
      <c r="N16" s="46"/>
      <c r="P16" s="15"/>
    </row>
    <row r="17" spans="3:16" ht="12" customHeight="1">
      <c r="C17" s="100" t="s">
        <v>92</v>
      </c>
      <c r="D17" s="119">
        <v>2799851</v>
      </c>
      <c r="E17" s="120">
        <v>2815592</v>
      </c>
      <c r="F17" s="133">
        <v>0.56220848895174302</v>
      </c>
      <c r="G17" s="148">
        <v>13931.282999999999</v>
      </c>
      <c r="H17" s="149">
        <v>15851.403</v>
      </c>
      <c r="I17" s="133">
        <v>13.782793731201901</v>
      </c>
      <c r="J17" s="119">
        <v>2813782.2829999998</v>
      </c>
      <c r="K17" s="120">
        <v>2831443.4029999999</v>
      </c>
      <c r="L17" s="140">
        <v>0.62766476662758897</v>
      </c>
      <c r="M17" s="41"/>
      <c r="N17" s="46"/>
      <c r="P17" s="15"/>
    </row>
    <row r="18" spans="3:16" ht="12" customHeight="1">
      <c r="C18" s="239" t="s">
        <v>120</v>
      </c>
      <c r="D18" s="119">
        <v>6823</v>
      </c>
      <c r="E18" s="120">
        <v>7326</v>
      </c>
      <c r="F18" s="133">
        <v>7.3721236992525299</v>
      </c>
      <c r="G18" s="148">
        <v>102.84</v>
      </c>
      <c r="H18" s="149">
        <v>107.4</v>
      </c>
      <c r="I18" s="133">
        <v>4.4340723453909003</v>
      </c>
      <c r="J18" s="119">
        <v>6925.84</v>
      </c>
      <c r="K18" s="120">
        <v>7433.4</v>
      </c>
      <c r="L18" s="140">
        <v>7.3284973375070699</v>
      </c>
      <c r="M18" s="42"/>
      <c r="N18" s="46"/>
      <c r="P18" s="15"/>
    </row>
    <row r="19" spans="3:16" ht="12" customHeight="1">
      <c r="C19" s="239" t="s">
        <v>121</v>
      </c>
      <c r="D19" s="119">
        <v>42478</v>
      </c>
      <c r="E19" s="120">
        <v>45130.294999999998</v>
      </c>
      <c r="F19" s="133">
        <v>6.2439262677150396</v>
      </c>
      <c r="G19" s="148">
        <v>342.31299999999999</v>
      </c>
      <c r="H19" s="149">
        <v>374.70499999999998</v>
      </c>
      <c r="I19" s="133">
        <v>9.4626847358996002</v>
      </c>
      <c r="J19" s="119">
        <v>42820.313000000002</v>
      </c>
      <c r="K19" s="120">
        <v>45505</v>
      </c>
      <c r="L19" s="140">
        <v>6.2696575805039103</v>
      </c>
      <c r="M19" s="42"/>
      <c r="N19" s="46"/>
      <c r="P19" s="15"/>
    </row>
    <row r="20" spans="3:16" ht="12" customHeight="1">
      <c r="C20" s="100" t="s">
        <v>122</v>
      </c>
      <c r="D20" s="119">
        <v>15560.796</v>
      </c>
      <c r="E20" s="120">
        <v>15336.891</v>
      </c>
      <c r="F20" s="133">
        <v>-1.43890453933077</v>
      </c>
      <c r="G20" s="148">
        <v>20.85</v>
      </c>
      <c r="H20" s="149">
        <v>21.759</v>
      </c>
      <c r="I20" s="133">
        <v>4.3597122302158304</v>
      </c>
      <c r="J20" s="119">
        <v>15581.646000000001</v>
      </c>
      <c r="K20" s="121">
        <v>15358.65</v>
      </c>
      <c r="L20" s="140">
        <v>-1.4311453359933901</v>
      </c>
      <c r="M20" s="42"/>
      <c r="N20" s="46"/>
      <c r="P20" s="15"/>
    </row>
    <row r="21" spans="3:16" ht="12" customHeight="1">
      <c r="C21" s="239" t="s">
        <v>102</v>
      </c>
      <c r="D21" s="119">
        <v>568756.26100000006</v>
      </c>
      <c r="E21" s="120">
        <v>592284.40599999996</v>
      </c>
      <c r="F21" s="133">
        <v>4.1367711642650304</v>
      </c>
      <c r="G21" s="148">
        <v>1065.268</v>
      </c>
      <c r="H21" s="149">
        <v>1321.0740000000001</v>
      </c>
      <c r="I21" s="133">
        <v>24.0132999395457</v>
      </c>
      <c r="J21" s="119">
        <v>569821.52899999998</v>
      </c>
      <c r="K21" s="120">
        <v>593605.48</v>
      </c>
      <c r="L21" s="140">
        <v>4.1739298691888997</v>
      </c>
      <c r="M21" s="42"/>
      <c r="N21" s="46"/>
      <c r="P21" s="15"/>
    </row>
    <row r="22" spans="3:16" ht="12" customHeight="1">
      <c r="C22" s="239" t="s">
        <v>103</v>
      </c>
      <c r="D22" s="119">
        <v>1197557.173</v>
      </c>
      <c r="E22" s="120">
        <v>1237353.013</v>
      </c>
      <c r="F22" s="133">
        <v>3.3230847676614501</v>
      </c>
      <c r="G22" s="148">
        <v>38965.629000000001</v>
      </c>
      <c r="H22" s="149">
        <v>40126.044999999998</v>
      </c>
      <c r="I22" s="133">
        <v>2.9780502195922298</v>
      </c>
      <c r="J22" s="119">
        <v>1236522.8019999999</v>
      </c>
      <c r="K22" s="120">
        <v>1277479.058</v>
      </c>
      <c r="L22" s="140">
        <v>3.3122119490037498</v>
      </c>
      <c r="M22" s="42"/>
      <c r="N22" s="46"/>
      <c r="P22" s="15"/>
    </row>
    <row r="23" spans="3:16" ht="12" customHeight="1">
      <c r="C23" s="240" t="s">
        <v>93</v>
      </c>
      <c r="D23" s="119">
        <v>20411.732</v>
      </c>
      <c r="E23" s="120">
        <v>19512.780999999999</v>
      </c>
      <c r="F23" s="133">
        <v>-4.4040897656308697</v>
      </c>
      <c r="G23" s="148">
        <v>297.53699999999998</v>
      </c>
      <c r="H23" s="149">
        <v>290.16399999999999</v>
      </c>
      <c r="I23" s="133">
        <v>-2.4780111381105501</v>
      </c>
      <c r="J23" s="119">
        <v>20709.269</v>
      </c>
      <c r="K23" s="120">
        <v>19802.945</v>
      </c>
      <c r="L23" s="140">
        <v>-4.37641714924849</v>
      </c>
      <c r="M23" s="42"/>
      <c r="N23" s="46"/>
      <c r="P23" s="15"/>
    </row>
    <row r="24" spans="3:16" ht="12" customHeight="1">
      <c r="C24" s="239" t="s">
        <v>123</v>
      </c>
      <c r="D24" s="119">
        <v>849248.41200000001</v>
      </c>
      <c r="E24" s="120">
        <v>846081.23</v>
      </c>
      <c r="F24" s="133">
        <v>-0.37293940798089897</v>
      </c>
      <c r="G24" s="148">
        <v>2971.86</v>
      </c>
      <c r="H24" s="149">
        <v>2676.0990000000002</v>
      </c>
      <c r="I24" s="133">
        <v>-9.9520502311683501</v>
      </c>
      <c r="J24" s="119">
        <v>852220.272</v>
      </c>
      <c r="K24" s="120">
        <v>848757.32900000003</v>
      </c>
      <c r="L24" s="140">
        <v>-0.40634365477755202</v>
      </c>
      <c r="M24" s="42"/>
      <c r="N24" s="46"/>
      <c r="P24" s="15"/>
    </row>
    <row r="25" spans="3:16" ht="12" customHeight="1">
      <c r="C25" s="239" t="s">
        <v>124</v>
      </c>
      <c r="D25" s="122" t="s">
        <v>17</v>
      </c>
      <c r="E25" s="118" t="s">
        <v>17</v>
      </c>
      <c r="F25" s="132" t="s">
        <v>17</v>
      </c>
      <c r="G25" s="150" t="s">
        <v>17</v>
      </c>
      <c r="H25" s="151" t="s">
        <v>17</v>
      </c>
      <c r="I25" s="132" t="s">
        <v>17</v>
      </c>
      <c r="J25" s="122" t="s">
        <v>17</v>
      </c>
      <c r="K25" s="118" t="s">
        <v>17</v>
      </c>
      <c r="L25" s="139" t="s">
        <v>17</v>
      </c>
      <c r="M25" s="42"/>
      <c r="N25" s="46"/>
      <c r="P25" s="15"/>
    </row>
    <row r="26" spans="3:16" ht="12" customHeight="1">
      <c r="C26" s="239" t="s">
        <v>104</v>
      </c>
      <c r="D26" s="119">
        <v>17071.151999999998</v>
      </c>
      <c r="E26" s="120">
        <v>17326.713</v>
      </c>
      <c r="F26" s="133">
        <v>1.49703429504935</v>
      </c>
      <c r="G26" s="148">
        <v>156.874</v>
      </c>
      <c r="H26" s="149">
        <v>167.124</v>
      </c>
      <c r="I26" s="133">
        <v>6.5339061922307096</v>
      </c>
      <c r="J26" s="119">
        <v>17228.026000000002</v>
      </c>
      <c r="K26" s="120">
        <v>17493.837</v>
      </c>
      <c r="L26" s="140">
        <v>1.54289876274856</v>
      </c>
      <c r="M26" s="42"/>
      <c r="N26" s="46"/>
      <c r="P26" s="15"/>
    </row>
    <row r="27" spans="3:16" ht="12" customHeight="1">
      <c r="C27" s="239" t="s">
        <v>88</v>
      </c>
      <c r="D27" s="119">
        <v>3579.5749999999998</v>
      </c>
      <c r="E27" s="120">
        <v>3854.6529999999998</v>
      </c>
      <c r="F27" s="133">
        <v>7.6846553012578402</v>
      </c>
      <c r="G27" s="148">
        <v>335.99900000000002</v>
      </c>
      <c r="H27" s="149">
        <v>321.78399999999999</v>
      </c>
      <c r="I27" s="133">
        <v>-4.2306673531766501</v>
      </c>
      <c r="J27" s="119">
        <v>3915.5740000000001</v>
      </c>
      <c r="K27" s="120">
        <v>4176.4369999999999</v>
      </c>
      <c r="L27" s="140">
        <v>6.6621905243011703</v>
      </c>
      <c r="M27" s="42"/>
      <c r="N27" s="46"/>
      <c r="P27" s="15"/>
    </row>
    <row r="28" spans="3:16" ht="12" customHeight="1">
      <c r="C28" s="239" t="s">
        <v>125</v>
      </c>
      <c r="D28" s="119">
        <v>16081.045</v>
      </c>
      <c r="E28" s="120">
        <v>16523.305</v>
      </c>
      <c r="F28" s="133">
        <v>2.7501944058983701</v>
      </c>
      <c r="G28" s="148">
        <v>6377.9709999999995</v>
      </c>
      <c r="H28" s="149">
        <v>6406.9070000000002</v>
      </c>
      <c r="I28" s="133">
        <v>0.45368660346685202</v>
      </c>
      <c r="J28" s="119">
        <v>22459.016</v>
      </c>
      <c r="K28" s="120">
        <v>22930.212</v>
      </c>
      <c r="L28" s="140">
        <v>2.0980260221552101</v>
      </c>
      <c r="M28" s="42"/>
      <c r="N28" s="46"/>
      <c r="P28" s="15"/>
    </row>
    <row r="29" spans="3:16" ht="12" customHeight="1">
      <c r="C29" s="100" t="s">
        <v>113</v>
      </c>
      <c r="D29" s="115" t="s">
        <v>16</v>
      </c>
      <c r="E29" s="116" t="s">
        <v>16</v>
      </c>
      <c r="F29" s="132" t="s">
        <v>16</v>
      </c>
      <c r="G29" s="146" t="s">
        <v>16</v>
      </c>
      <c r="H29" s="147" t="s">
        <v>16</v>
      </c>
      <c r="I29" s="132" t="s">
        <v>16</v>
      </c>
      <c r="J29" s="122" t="s">
        <v>16</v>
      </c>
      <c r="K29" s="118" t="s">
        <v>16</v>
      </c>
      <c r="L29" s="139" t="s">
        <v>16</v>
      </c>
      <c r="M29" s="42"/>
      <c r="N29" s="46"/>
      <c r="P29" s="15"/>
    </row>
    <row r="30" spans="3:16" ht="12" customHeight="1">
      <c r="C30" s="239" t="s">
        <v>18</v>
      </c>
      <c r="D30" s="122" t="s">
        <v>17</v>
      </c>
      <c r="E30" s="118" t="s">
        <v>17</v>
      </c>
      <c r="F30" s="132" t="s">
        <v>17</v>
      </c>
      <c r="G30" s="150" t="s">
        <v>17</v>
      </c>
      <c r="H30" s="151" t="s">
        <v>17</v>
      </c>
      <c r="I30" s="132" t="s">
        <v>17</v>
      </c>
      <c r="J30" s="122" t="s">
        <v>17</v>
      </c>
      <c r="K30" s="118" t="s">
        <v>17</v>
      </c>
      <c r="L30" s="139" t="s">
        <v>17</v>
      </c>
      <c r="M30" s="42"/>
      <c r="N30" s="46"/>
      <c r="P30" s="15"/>
    </row>
    <row r="31" spans="3:16" ht="12" customHeight="1">
      <c r="C31" s="100" t="s">
        <v>126</v>
      </c>
      <c r="D31" s="115" t="s">
        <v>16</v>
      </c>
      <c r="E31" s="116" t="s">
        <v>16</v>
      </c>
      <c r="F31" s="132" t="s">
        <v>16</v>
      </c>
      <c r="G31" s="146" t="s">
        <v>16</v>
      </c>
      <c r="H31" s="147" t="s">
        <v>16</v>
      </c>
      <c r="I31" s="132" t="s">
        <v>16</v>
      </c>
      <c r="J31" s="122" t="s">
        <v>16</v>
      </c>
      <c r="K31" s="118" t="s">
        <v>16</v>
      </c>
      <c r="L31" s="139" t="s">
        <v>16</v>
      </c>
      <c r="M31" s="42"/>
      <c r="N31" s="46"/>
      <c r="P31" s="15"/>
    </row>
    <row r="32" spans="3:16" ht="12" customHeight="1">
      <c r="C32" s="239" t="s">
        <v>127</v>
      </c>
      <c r="D32" s="119">
        <v>243897.72500000001</v>
      </c>
      <c r="E32" s="120">
        <v>245224.04</v>
      </c>
      <c r="F32" s="133">
        <v>0.54379966028792504</v>
      </c>
      <c r="G32" s="148">
        <v>9297.8439999999991</v>
      </c>
      <c r="H32" s="149">
        <v>9269.2610000000004</v>
      </c>
      <c r="I32" s="133">
        <v>-0.307415353494844</v>
      </c>
      <c r="J32" s="119">
        <v>253195.56899999999</v>
      </c>
      <c r="K32" s="120">
        <v>254493.30100000001</v>
      </c>
      <c r="L32" s="140">
        <v>0.51254135493974395</v>
      </c>
      <c r="M32" s="42"/>
      <c r="N32" s="46"/>
      <c r="P32" s="15"/>
    </row>
    <row r="33" spans="3:16" ht="12" customHeight="1">
      <c r="C33" s="239" t="s">
        <v>109</v>
      </c>
      <c r="D33" s="119">
        <v>274301.84399999998</v>
      </c>
      <c r="E33" s="120">
        <v>291499.522</v>
      </c>
      <c r="F33" s="133">
        <v>6.26961807810524</v>
      </c>
      <c r="G33" s="148">
        <v>1142.722</v>
      </c>
      <c r="H33" s="149">
        <v>1548.4390000000001</v>
      </c>
      <c r="I33" s="133">
        <v>35.504435899545101</v>
      </c>
      <c r="J33" s="119">
        <v>275444.56599999999</v>
      </c>
      <c r="K33" s="120">
        <v>293047.96100000001</v>
      </c>
      <c r="L33" s="140">
        <v>6.3909029884437798</v>
      </c>
      <c r="M33" s="42"/>
      <c r="N33" s="46"/>
      <c r="P33" s="15"/>
    </row>
    <row r="34" spans="3:16" ht="12" customHeight="1">
      <c r="C34" s="239" t="s">
        <v>19</v>
      </c>
      <c r="D34" s="119">
        <v>133238.321</v>
      </c>
      <c r="E34" s="120">
        <v>141876.215</v>
      </c>
      <c r="F34" s="133">
        <v>6.4830402658706499</v>
      </c>
      <c r="G34" s="148">
        <v>233.68100000000001</v>
      </c>
      <c r="H34" s="149">
        <v>251.05</v>
      </c>
      <c r="I34" s="133">
        <v>7.4327822972342501</v>
      </c>
      <c r="J34" s="119">
        <v>133472.00200000001</v>
      </c>
      <c r="K34" s="120">
        <v>142127.26500000001</v>
      </c>
      <c r="L34" s="140">
        <v>6.4847030615454297</v>
      </c>
      <c r="M34" s="42"/>
      <c r="N34" s="46"/>
      <c r="P34" s="15"/>
    </row>
    <row r="35" spans="3:16" ht="12" customHeight="1">
      <c r="C35" s="239" t="s">
        <v>128</v>
      </c>
      <c r="D35" s="119">
        <v>58655.923999999999</v>
      </c>
      <c r="E35" s="120">
        <v>67141.837</v>
      </c>
      <c r="F35" s="133">
        <v>14.467273586892899</v>
      </c>
      <c r="G35" s="148">
        <v>203.22900000000001</v>
      </c>
      <c r="H35" s="149">
        <v>187.76</v>
      </c>
      <c r="I35" s="133">
        <v>-7.6116105477072802</v>
      </c>
      <c r="J35" s="119">
        <v>58859.152999999998</v>
      </c>
      <c r="K35" s="120">
        <v>67329.596999999994</v>
      </c>
      <c r="L35" s="140">
        <v>14.3910395720441</v>
      </c>
      <c r="M35" s="42"/>
      <c r="N35" s="46"/>
      <c r="P35" s="15"/>
    </row>
    <row r="36" spans="3:16" ht="12" customHeight="1">
      <c r="C36" s="239" t="s">
        <v>129</v>
      </c>
      <c r="D36" s="119">
        <v>13231.125</v>
      </c>
      <c r="E36" s="120">
        <v>12591.696</v>
      </c>
      <c r="F36" s="133">
        <v>-4.8327636538843102</v>
      </c>
      <c r="G36" s="148">
        <v>418.59699999999998</v>
      </c>
      <c r="H36" s="149">
        <v>410.46</v>
      </c>
      <c r="I36" s="133">
        <v>-1.9438744185935399</v>
      </c>
      <c r="J36" s="119">
        <v>13649.722</v>
      </c>
      <c r="K36" s="120">
        <v>13002.156000000001</v>
      </c>
      <c r="L36" s="140">
        <v>-4.7441698812620601</v>
      </c>
      <c r="M36" s="42"/>
      <c r="N36" s="46"/>
      <c r="P36" s="15"/>
    </row>
    <row r="37" spans="3:16" ht="12" customHeight="1">
      <c r="C37" s="239" t="s">
        <v>130</v>
      </c>
      <c r="D37" s="119">
        <v>65807.360000000001</v>
      </c>
      <c r="E37" s="120">
        <v>71473.865000000005</v>
      </c>
      <c r="F37" s="133">
        <v>8.6107465791060491</v>
      </c>
      <c r="G37" s="148">
        <v>3342.962</v>
      </c>
      <c r="H37" s="149">
        <v>3441.712</v>
      </c>
      <c r="I37" s="133">
        <v>2.95396717043148</v>
      </c>
      <c r="J37" s="119">
        <v>69150.322</v>
      </c>
      <c r="K37" s="120">
        <v>74915.577000000005</v>
      </c>
      <c r="L37" s="140">
        <v>8.3372786029832309</v>
      </c>
      <c r="M37" s="42"/>
      <c r="N37" s="46"/>
      <c r="P37" s="15"/>
    </row>
    <row r="38" spans="3:16" ht="12" customHeight="1">
      <c r="C38" s="239" t="s">
        <v>97</v>
      </c>
      <c r="D38" s="119">
        <v>81661.828999999998</v>
      </c>
      <c r="E38" s="120">
        <v>85154.884000000005</v>
      </c>
      <c r="F38" s="133">
        <v>4.2774635870573201</v>
      </c>
      <c r="G38" s="148">
        <v>452.44799999999998</v>
      </c>
      <c r="H38" s="149">
        <v>547.62800000000004</v>
      </c>
      <c r="I38" s="133">
        <v>21.0366716175119</v>
      </c>
      <c r="J38" s="119">
        <v>82114.277000000002</v>
      </c>
      <c r="K38" s="120">
        <v>85702.512000000002</v>
      </c>
      <c r="L38" s="140">
        <v>4.3698064832258003</v>
      </c>
      <c r="M38" s="42"/>
      <c r="N38" s="46"/>
      <c r="P38" s="15"/>
    </row>
    <row r="39" spans="3:16" ht="12" customHeight="1">
      <c r="C39" s="239" t="s">
        <v>95</v>
      </c>
      <c r="D39" s="119">
        <v>208944</v>
      </c>
      <c r="E39" s="120">
        <v>216800</v>
      </c>
      <c r="F39" s="133">
        <v>3.7598591010031401</v>
      </c>
      <c r="G39" s="148">
        <v>12001</v>
      </c>
      <c r="H39" s="149">
        <v>12100</v>
      </c>
      <c r="I39" s="133">
        <v>0.82493125572868897</v>
      </c>
      <c r="J39" s="119">
        <v>220945</v>
      </c>
      <c r="K39" s="120">
        <v>228900</v>
      </c>
      <c r="L39" s="140">
        <v>3.6004435492995999</v>
      </c>
      <c r="M39" s="42"/>
      <c r="N39" s="46"/>
      <c r="P39" s="15"/>
    </row>
    <row r="40" spans="3:16" ht="12" customHeight="1">
      <c r="C40" s="241" t="s">
        <v>131</v>
      </c>
      <c r="D40" s="123">
        <v>1753134.9210000001</v>
      </c>
      <c r="E40" s="124">
        <v>1737709.959</v>
      </c>
      <c r="F40" s="134">
        <v>-0.87985025084101898</v>
      </c>
      <c r="G40" s="152">
        <v>19427.843000000001</v>
      </c>
      <c r="H40" s="153">
        <v>19648.575000000001</v>
      </c>
      <c r="I40" s="134">
        <v>1.13616318600063</v>
      </c>
      <c r="J40" s="123">
        <v>1772562.764</v>
      </c>
      <c r="K40" s="124">
        <v>1757358.534</v>
      </c>
      <c r="L40" s="142">
        <v>-0.85775411222619402</v>
      </c>
      <c r="M40" s="42"/>
      <c r="N40" s="46"/>
      <c r="P40" s="15"/>
    </row>
    <row r="41" spans="3:16" ht="12" customHeight="1">
      <c r="C41" s="238" t="s">
        <v>114</v>
      </c>
      <c r="D41" s="119">
        <v>73755.645999999993</v>
      </c>
      <c r="E41" s="120">
        <v>72967.839000000007</v>
      </c>
      <c r="F41" s="133">
        <v>-1.0681311095831001</v>
      </c>
      <c r="G41" s="148">
        <v>537.44600000000003</v>
      </c>
      <c r="H41" s="149">
        <v>593.13800000000003</v>
      </c>
      <c r="I41" s="133">
        <v>10.3623433796139</v>
      </c>
      <c r="J41" s="119">
        <v>74293.092000000004</v>
      </c>
      <c r="K41" s="120">
        <v>73560.976999999999</v>
      </c>
      <c r="L41" s="140">
        <v>-0.98544155356997698</v>
      </c>
      <c r="M41" s="42"/>
      <c r="N41" s="46"/>
      <c r="P41" s="15"/>
    </row>
    <row r="42" spans="3:16" ht="12" customHeight="1">
      <c r="C42" s="242" t="s">
        <v>116</v>
      </c>
      <c r="D42" s="123">
        <v>483704.96899999998</v>
      </c>
      <c r="E42" s="124">
        <v>485693.73300000001</v>
      </c>
      <c r="F42" s="134">
        <v>0.41115227823926798</v>
      </c>
      <c r="G42" s="152">
        <v>13583.565000000001</v>
      </c>
      <c r="H42" s="153">
        <v>14426.925999999999</v>
      </c>
      <c r="I42" s="134">
        <v>6.2086867475511696</v>
      </c>
      <c r="J42" s="123">
        <v>497288.53399999999</v>
      </c>
      <c r="K42" s="124">
        <v>500120.65899999999</v>
      </c>
      <c r="L42" s="142">
        <v>0.569513432618174</v>
      </c>
      <c r="M42" s="42"/>
      <c r="N42" s="46"/>
      <c r="P42" s="15"/>
    </row>
    <row r="43" spans="3:16" ht="12" customHeight="1">
      <c r="C43" s="101" t="s">
        <v>20</v>
      </c>
      <c r="D43" s="125" t="s">
        <v>7</v>
      </c>
      <c r="E43" s="126" t="s">
        <v>7</v>
      </c>
      <c r="F43" s="135" t="s">
        <v>7</v>
      </c>
      <c r="G43" s="154" t="s">
        <v>7</v>
      </c>
      <c r="H43" s="155" t="s">
        <v>7</v>
      </c>
      <c r="I43" s="135" t="s">
        <v>7</v>
      </c>
      <c r="J43" s="127">
        <v>1284.7260000000001</v>
      </c>
      <c r="K43" s="128">
        <v>926.90200000000004</v>
      </c>
      <c r="L43" s="140">
        <v>-27.852164586067399</v>
      </c>
      <c r="M43" s="42"/>
      <c r="N43" s="46"/>
      <c r="P43" s="15"/>
    </row>
    <row r="44" spans="3:16" ht="12" customHeight="1">
      <c r="C44" s="102" t="s">
        <v>117</v>
      </c>
      <c r="D44" s="129">
        <v>659.82799999999997</v>
      </c>
      <c r="E44" s="130">
        <v>495.21800000000002</v>
      </c>
      <c r="F44" s="136">
        <v>-24.9474105372915</v>
      </c>
      <c r="G44" s="156">
        <v>3.0920000000000001</v>
      </c>
      <c r="H44" s="157">
        <v>5.0970000000000004</v>
      </c>
      <c r="I44" s="136">
        <v>64.844760672703799</v>
      </c>
      <c r="J44" s="129">
        <v>662.92</v>
      </c>
      <c r="K44" s="130">
        <v>500.315</v>
      </c>
      <c r="L44" s="143">
        <v>-24.528600736137101</v>
      </c>
      <c r="M44" s="41"/>
      <c r="N44" s="46"/>
      <c r="P44" s="15"/>
    </row>
    <row r="45" spans="3:16" ht="12" customHeight="1">
      <c r="C45" s="243" t="s">
        <v>118</v>
      </c>
      <c r="D45" s="123">
        <v>88869.672000000006</v>
      </c>
      <c r="E45" s="124">
        <v>85206.087</v>
      </c>
      <c r="F45" s="134">
        <v>-4.1224243519206496</v>
      </c>
      <c r="G45" s="152">
        <v>168.46700000000001</v>
      </c>
      <c r="H45" s="153">
        <v>132.19200000000001</v>
      </c>
      <c r="I45" s="134">
        <v>-21.532406940231599</v>
      </c>
      <c r="J45" s="123">
        <v>89038.138999999996</v>
      </c>
      <c r="K45" s="124">
        <v>85338.278999999995</v>
      </c>
      <c r="L45" s="142">
        <v>-4.1553653766281204</v>
      </c>
      <c r="M45" s="41"/>
      <c r="N45" s="46"/>
      <c r="P45" s="15"/>
    </row>
    <row r="46" spans="3:16" ht="12" customHeight="1"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6"/>
    </row>
    <row r="47" spans="3:16" ht="12" customHeight="1">
      <c r="C47" s="248" t="s">
        <v>84</v>
      </c>
      <c r="D47" s="213"/>
      <c r="E47" s="213"/>
      <c r="F47" s="213"/>
      <c r="G47" s="213"/>
      <c r="H47" s="213"/>
      <c r="I47" s="213"/>
      <c r="J47" s="213"/>
      <c r="K47" s="213"/>
      <c r="L47" s="213"/>
    </row>
    <row r="48" spans="3:16" ht="12" customHeight="1">
      <c r="C48" s="56" t="s">
        <v>21</v>
      </c>
      <c r="D48" s="214"/>
      <c r="E48" s="214"/>
      <c r="F48" s="214"/>
      <c r="G48" s="214"/>
      <c r="H48" s="214"/>
      <c r="I48" s="214"/>
      <c r="J48" s="214"/>
      <c r="K48" s="214"/>
      <c r="L48" s="214"/>
    </row>
    <row r="49" spans="3:3" ht="12" customHeight="1">
      <c r="C49" s="249" t="s">
        <v>135</v>
      </c>
    </row>
    <row r="50" spans="3:3" ht="12" customHeight="1"/>
    <row r="51" spans="3:3" ht="12" customHeight="1"/>
    <row r="52" spans="3:3" ht="12" customHeight="1"/>
    <row r="53" spans="3:3" ht="12" customHeight="1"/>
    <row r="54" spans="3:3" ht="12" customHeight="1"/>
    <row r="55" spans="3:3" ht="12" customHeight="1"/>
    <row r="56" spans="3:3" ht="12" customHeight="1"/>
    <row r="57" spans="3:3" ht="12" customHeight="1"/>
    <row r="58" spans="3:3" ht="12" customHeight="1"/>
    <row r="59" spans="3:3" ht="12" customHeight="1"/>
    <row r="60" spans="3:3" ht="12" customHeight="1"/>
    <row r="61" spans="3:3" ht="12" customHeight="1"/>
    <row r="62" spans="3:3" ht="12" customHeight="1"/>
    <row r="63" spans="3:3" ht="12" customHeight="1"/>
    <row r="64" spans="3:3" ht="12" customHeight="1"/>
    <row r="65" ht="12" customHeight="1"/>
    <row r="66" ht="12" customHeight="1"/>
  </sheetData>
  <mergeCells count="3">
    <mergeCell ref="D10:F10"/>
    <mergeCell ref="G10:I10"/>
    <mergeCell ref="J10:L10"/>
  </mergeCells>
  <pageMargins left="0.70866141732283472" right="0.70866141732283472" top="0.74803149606299213" bottom="0.74803149606299213" header="0.31496062992125984" footer="0.31496062992125984"/>
  <pageSetup paperSize="9" orientation="landscape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S48"/>
  <sheetViews>
    <sheetView showGridLines="0" zoomScaleNormal="100" workbookViewId="0"/>
  </sheetViews>
  <sheetFormatPr baseColWidth="10" defaultColWidth="9.140625" defaultRowHeight="12"/>
  <cols>
    <col min="1" max="2" width="8.7109375" style="2" customWidth="1"/>
    <col min="3" max="3" width="19.28515625" style="2" customWidth="1"/>
    <col min="4" max="5" width="14.28515625" style="2" customWidth="1"/>
    <col min="6" max="7" width="9.140625" style="2"/>
    <col min="8" max="8" width="12.28515625" style="2" customWidth="1"/>
    <col min="9" max="11" width="9.140625" style="2"/>
    <col min="12" max="12" width="19.28515625" style="2" customWidth="1"/>
    <col min="13" max="13" width="57.140625" style="2" customWidth="1"/>
    <col min="14" max="16384" width="9.140625" style="2"/>
  </cols>
  <sheetData>
    <row r="1" spans="1:45">
      <c r="A1" s="19"/>
      <c r="C1" s="32" t="s">
        <v>25</v>
      </c>
      <c r="L1" s="22"/>
    </row>
    <row r="2" spans="1:45" s="3" customFormat="1">
      <c r="A2" s="1"/>
      <c r="C2" s="32" t="s">
        <v>26</v>
      </c>
      <c r="L2" s="32" t="s">
        <v>26</v>
      </c>
    </row>
    <row r="3" spans="1:45" s="3" customFormat="1">
      <c r="C3" s="9" t="s">
        <v>0</v>
      </c>
    </row>
    <row r="4" spans="1:45" s="3" customFormat="1">
      <c r="C4" s="9" t="s">
        <v>13</v>
      </c>
    </row>
    <row r="5" spans="1:45" s="3" customFormat="1">
      <c r="C5" s="9"/>
    </row>
    <row r="6" spans="1:45" s="36" customFormat="1" ht="15.75">
      <c r="C6" s="234" t="s">
        <v>27</v>
      </c>
      <c r="D6" s="37"/>
      <c r="E6" s="37"/>
      <c r="F6" s="37"/>
      <c r="G6" s="37"/>
      <c r="H6" s="37"/>
      <c r="I6" s="37"/>
      <c r="J6" s="37"/>
      <c r="K6" s="37"/>
      <c r="M6" s="216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</row>
    <row r="7" spans="1:45" s="17" customFormat="1">
      <c r="C7" s="235" t="s">
        <v>28</v>
      </c>
      <c r="D7" s="14"/>
      <c r="E7" s="14"/>
      <c r="F7" s="14"/>
      <c r="J7" s="14"/>
      <c r="K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</row>
    <row r="10" spans="1:45" ht="36">
      <c r="D10" s="250" t="s">
        <v>142</v>
      </c>
      <c r="E10" s="250" t="s">
        <v>143</v>
      </c>
      <c r="G10" s="14"/>
      <c r="H10" s="14"/>
      <c r="I10" s="14"/>
      <c r="J10" s="14"/>
      <c r="K10" s="14"/>
      <c r="L10" s="14"/>
    </row>
    <row r="11" spans="1:45" ht="12" customHeight="1">
      <c r="C11" s="4" t="s">
        <v>15</v>
      </c>
      <c r="D11" s="27">
        <v>862.41677607657402</v>
      </c>
      <c r="E11" s="27">
        <v>45.642506189171677</v>
      </c>
      <c r="F11" s="26"/>
      <c r="H11" s="14"/>
      <c r="I11" s="14"/>
      <c r="J11" s="14"/>
      <c r="K11" s="14"/>
      <c r="L11" s="14"/>
    </row>
    <row r="12" spans="1:45" ht="12" customHeight="1">
      <c r="C12" s="4"/>
      <c r="D12" s="27"/>
      <c r="E12" s="27"/>
      <c r="F12" s="26"/>
      <c r="H12" s="14"/>
      <c r="I12" s="14"/>
      <c r="J12" s="14"/>
      <c r="K12" s="14"/>
      <c r="L12" s="14"/>
    </row>
    <row r="13" spans="1:45" ht="12" customHeight="1">
      <c r="C13" s="4" t="s">
        <v>127</v>
      </c>
      <c r="D13" s="27">
        <v>1324.6557059077477</v>
      </c>
      <c r="E13" s="27">
        <v>48.084095078115922</v>
      </c>
      <c r="F13" s="26"/>
      <c r="G13" s="26"/>
      <c r="H13" s="14"/>
      <c r="I13" s="14"/>
      <c r="J13" s="14"/>
      <c r="K13" s="14"/>
      <c r="L13" s="14"/>
    </row>
    <row r="14" spans="1:45" ht="12" customHeight="1">
      <c r="C14" s="4" t="s">
        <v>103</v>
      </c>
      <c r="D14" s="13">
        <v>1301.2170885327039</v>
      </c>
      <c r="E14" s="13">
        <v>144.82043140443994</v>
      </c>
      <c r="F14" s="26"/>
      <c r="G14" s="26"/>
      <c r="H14" s="14"/>
      <c r="I14" s="14"/>
      <c r="J14" s="14"/>
      <c r="K14" s="14"/>
      <c r="L14" s="14"/>
    </row>
    <row r="15" spans="1:45" ht="12" customHeight="1">
      <c r="C15" s="17" t="s">
        <v>95</v>
      </c>
      <c r="D15" s="13">
        <v>1266.6914437080929</v>
      </c>
      <c r="E15" s="13">
        <v>58.760961007180768</v>
      </c>
      <c r="F15" s="26"/>
      <c r="G15" s="26"/>
      <c r="H15" s="14"/>
      <c r="I15" s="14"/>
      <c r="J15" s="14"/>
      <c r="K15" s="14"/>
      <c r="L15" s="14"/>
    </row>
    <row r="16" spans="1:45" ht="12" customHeight="1">
      <c r="C16" s="4" t="s">
        <v>92</v>
      </c>
      <c r="D16" s="27">
        <v>1097.7872146875106</v>
      </c>
      <c r="E16" s="27">
        <v>57.945484158740719</v>
      </c>
      <c r="F16" s="26"/>
      <c r="G16" s="26"/>
      <c r="H16" s="14"/>
      <c r="I16" s="14"/>
      <c r="J16" s="14"/>
      <c r="K16" s="14"/>
      <c r="L16" s="14"/>
    </row>
    <row r="17" spans="3:12" ht="12" customHeight="1">
      <c r="C17" s="4" t="s">
        <v>101</v>
      </c>
      <c r="D17" s="27">
        <v>1030.146331817283</v>
      </c>
      <c r="E17" s="27">
        <v>59.262131004790994</v>
      </c>
      <c r="F17" s="26"/>
      <c r="G17" s="26"/>
      <c r="H17" s="14"/>
      <c r="I17" s="14"/>
      <c r="J17" s="14"/>
      <c r="K17" s="14"/>
      <c r="L17" s="14"/>
    </row>
    <row r="18" spans="3:12" ht="12" customHeight="1">
      <c r="C18" s="17" t="s">
        <v>131</v>
      </c>
      <c r="D18" s="27">
        <v>1014.8535717215461</v>
      </c>
      <c r="E18" s="27">
        <v>28.336002594292463</v>
      </c>
      <c r="F18" s="26"/>
      <c r="G18" s="26"/>
      <c r="H18" s="14"/>
      <c r="I18" s="14"/>
      <c r="J18" s="14"/>
      <c r="K18" s="14"/>
      <c r="L18" s="14"/>
    </row>
    <row r="19" spans="3:12" ht="12" customHeight="1">
      <c r="C19" s="4" t="s">
        <v>123</v>
      </c>
      <c r="D19" s="27">
        <v>861.03734182180267</v>
      </c>
      <c r="E19" s="27">
        <v>10.793731783470422</v>
      </c>
      <c r="F19" s="26"/>
      <c r="G19" s="26"/>
      <c r="H19" s="14"/>
      <c r="I19" s="14"/>
      <c r="J19" s="14"/>
      <c r="K19" s="14"/>
      <c r="L19" s="14"/>
    </row>
    <row r="20" spans="3:12" ht="12" customHeight="1">
      <c r="C20" s="4" t="s">
        <v>112</v>
      </c>
      <c r="D20" s="13">
        <v>751.97891572917786</v>
      </c>
      <c r="E20" s="13">
        <v>135.59256281456365</v>
      </c>
      <c r="F20" s="26"/>
      <c r="G20" s="26"/>
      <c r="H20" s="14"/>
      <c r="I20" s="14"/>
      <c r="J20" s="14"/>
      <c r="K20" s="14"/>
      <c r="L20" s="14"/>
    </row>
    <row r="21" spans="3:12" ht="12" customHeight="1">
      <c r="C21" s="4" t="s">
        <v>97</v>
      </c>
      <c r="D21" s="27">
        <v>749.57799388331694</v>
      </c>
      <c r="E21" s="27">
        <v>25.749907320231205</v>
      </c>
      <c r="F21" s="26"/>
      <c r="G21" s="26"/>
      <c r="H21" s="14"/>
      <c r="I21" s="14"/>
      <c r="J21" s="14"/>
      <c r="K21" s="14"/>
      <c r="L21" s="14"/>
    </row>
    <row r="22" spans="3:12" ht="12" customHeight="1">
      <c r="C22" s="4" t="s">
        <v>130</v>
      </c>
      <c r="D22" s="27">
        <v>670.97358597684376</v>
      </c>
      <c r="E22" s="27">
        <v>19.264116698828069</v>
      </c>
      <c r="F22" s="26"/>
      <c r="G22" s="26"/>
      <c r="H22" s="14"/>
      <c r="I22" s="14"/>
      <c r="J22" s="14"/>
      <c r="K22" s="14"/>
      <c r="L22" s="14"/>
    </row>
    <row r="23" spans="3:12" ht="12" customHeight="1">
      <c r="C23" s="4" t="s">
        <v>102</v>
      </c>
      <c r="D23" s="27">
        <v>573.91386166009158</v>
      </c>
      <c r="E23" s="27">
        <v>15.639222826248858</v>
      </c>
      <c r="F23" s="26"/>
      <c r="G23" s="26"/>
      <c r="H23" s="14"/>
      <c r="I23" s="14"/>
      <c r="J23" s="14"/>
      <c r="K23" s="14"/>
      <c r="L23" s="14"/>
    </row>
    <row r="24" spans="3:12" ht="12" customHeight="1">
      <c r="C24" s="4" t="s">
        <v>109</v>
      </c>
      <c r="D24" s="27">
        <v>521.97382023554235</v>
      </c>
      <c r="E24" s="27">
        <v>7.8570208590290838</v>
      </c>
      <c r="F24" s="26"/>
      <c r="G24" s="26"/>
      <c r="H24" s="14"/>
      <c r="I24" s="14"/>
      <c r="J24" s="14"/>
      <c r="K24" s="14"/>
      <c r="L24" s="14"/>
    </row>
    <row r="25" spans="3:12" ht="12" customHeight="1">
      <c r="C25" s="4" t="s">
        <v>125</v>
      </c>
      <c r="D25" s="27">
        <v>515.09551662150193</v>
      </c>
      <c r="E25" s="27">
        <v>219.43166268680741</v>
      </c>
      <c r="F25" s="26"/>
      <c r="G25" s="26"/>
      <c r="H25" s="14"/>
      <c r="I25" s="14"/>
      <c r="J25" s="14"/>
      <c r="K25" s="14"/>
      <c r="L25" s="14"/>
    </row>
    <row r="26" spans="3:12" ht="12" customHeight="1">
      <c r="C26" s="4" t="s">
        <v>121</v>
      </c>
      <c r="D26" s="27">
        <v>427.24781107744997</v>
      </c>
      <c r="E26" s="27">
        <v>14.23725316117609</v>
      </c>
      <c r="F26" s="26"/>
      <c r="G26" s="26"/>
      <c r="H26" s="14"/>
      <c r="I26" s="14"/>
      <c r="J26" s="14"/>
      <c r="K26" s="14"/>
      <c r="L26" s="14"/>
    </row>
    <row r="27" spans="3:12" ht="12" customHeight="1">
      <c r="C27" s="4" t="s">
        <v>19</v>
      </c>
      <c r="D27" s="27">
        <v>426.33826199236915</v>
      </c>
      <c r="E27" s="27">
        <v>12.077221051814025</v>
      </c>
      <c r="F27" s="26"/>
      <c r="G27" s="26"/>
      <c r="H27" s="14"/>
      <c r="I27" s="14"/>
      <c r="J27" s="14"/>
      <c r="K27" s="14"/>
      <c r="L27" s="14"/>
    </row>
    <row r="28" spans="3:12" ht="12" customHeight="1">
      <c r="C28" s="4" t="s">
        <v>104</v>
      </c>
      <c r="D28" s="27">
        <v>285.74775208933153</v>
      </c>
      <c r="E28" s="27">
        <v>21.172373455912943</v>
      </c>
      <c r="F28" s="26"/>
      <c r="G28" s="26"/>
      <c r="L28" s="4"/>
    </row>
    <row r="29" spans="3:12" ht="12" customHeight="1">
      <c r="C29" s="4" t="s">
        <v>128</v>
      </c>
      <c r="D29" s="27">
        <v>281.95137396617054</v>
      </c>
      <c r="E29" s="27">
        <v>1.7104794074953242</v>
      </c>
      <c r="F29" s="26"/>
      <c r="G29" s="26"/>
      <c r="L29" s="4"/>
    </row>
    <row r="30" spans="3:12" ht="12" customHeight="1">
      <c r="C30" s="4" t="s">
        <v>120</v>
      </c>
      <c r="D30" s="13">
        <v>262.71914642959075</v>
      </c>
      <c r="E30" s="13">
        <v>15.396421999963565</v>
      </c>
      <c r="F30" s="26"/>
      <c r="G30" s="26"/>
      <c r="L30" s="4"/>
    </row>
    <row r="31" spans="3:12" ht="12" customHeight="1">
      <c r="C31" s="4" t="s">
        <v>129</v>
      </c>
      <c r="D31" s="27">
        <v>254.02586542314418</v>
      </c>
      <c r="E31" s="27">
        <v>21.781485374479526</v>
      </c>
      <c r="F31" s="26"/>
      <c r="G31" s="26"/>
      <c r="L31" s="4"/>
    </row>
    <row r="32" spans="3:12" ht="12" customHeight="1">
      <c r="C32" s="4" t="s">
        <v>94</v>
      </c>
      <c r="D32" s="13">
        <v>200.1124372469155</v>
      </c>
      <c r="E32" s="13">
        <v>2.5783121326375111</v>
      </c>
      <c r="F32" s="26"/>
      <c r="G32" s="26"/>
      <c r="L32" s="4"/>
    </row>
    <row r="33" spans="1:26" ht="12" customHeight="1">
      <c r="C33" s="4" t="s">
        <v>93</v>
      </c>
      <c r="D33" s="27">
        <v>172.63277893910509</v>
      </c>
      <c r="E33" s="27">
        <v>5.5469286679211098</v>
      </c>
      <c r="F33" s="26"/>
      <c r="G33" s="26"/>
      <c r="L33" s="4"/>
    </row>
    <row r="34" spans="1:26" ht="12" customHeight="1">
      <c r="C34" s="4" t="s">
        <v>88</v>
      </c>
      <c r="D34" s="27">
        <v>106.99854299405</v>
      </c>
      <c r="E34" s="27">
        <v>4.3547542553165162</v>
      </c>
      <c r="F34" s="26"/>
      <c r="G34" s="26"/>
      <c r="L34" s="4"/>
    </row>
    <row r="35" spans="1:26" ht="12" customHeight="1">
      <c r="C35" s="4" t="s">
        <v>122</v>
      </c>
      <c r="D35" s="27">
        <v>103.13687651672356</v>
      </c>
      <c r="E35" s="27">
        <v>0.23459556533486495</v>
      </c>
      <c r="F35" s="26"/>
      <c r="G35" s="26"/>
      <c r="L35" s="4"/>
    </row>
    <row r="36" spans="1:26" ht="12" customHeight="1">
      <c r="C36" s="4"/>
      <c r="D36" s="27"/>
      <c r="E36" s="27"/>
      <c r="F36" s="26"/>
      <c r="G36" s="26"/>
      <c r="L36" s="4"/>
    </row>
    <row r="37" spans="1:26" ht="12" customHeight="1">
      <c r="C37" s="4" t="s">
        <v>116</v>
      </c>
      <c r="D37" s="27">
        <v>2211.0457604497956</v>
      </c>
      <c r="E37" s="27">
        <v>109.81028983038013</v>
      </c>
      <c r="F37" s="26"/>
      <c r="G37" s="26"/>
      <c r="L37" s="4"/>
    </row>
    <row r="38" spans="1:26" ht="12" customHeight="1">
      <c r="C38" s="4" t="s">
        <v>114</v>
      </c>
      <c r="D38" s="27">
        <v>668.6999049454156</v>
      </c>
      <c r="E38" s="27">
        <v>10.569895439957188</v>
      </c>
      <c r="F38" s="26"/>
      <c r="G38" s="26"/>
      <c r="L38" s="4"/>
    </row>
    <row r="39" spans="1:26" ht="12" customHeight="1">
      <c r="C39" s="30"/>
      <c r="D39" s="27"/>
      <c r="E39" s="27"/>
      <c r="F39" s="26"/>
      <c r="G39" s="26"/>
      <c r="L39" s="30"/>
    </row>
    <row r="40" spans="1:26" ht="12" customHeight="1">
      <c r="C40" s="4" t="s">
        <v>118</v>
      </c>
      <c r="D40" s="27">
        <v>56.367300722483513</v>
      </c>
      <c r="E40" s="27">
        <v>0.48976066026321269</v>
      </c>
      <c r="F40" s="26"/>
      <c r="L40" s="4"/>
    </row>
    <row r="41" spans="1:26" ht="12" customHeight="1">
      <c r="A41" s="1" t="s">
        <v>29</v>
      </c>
      <c r="C41" s="4" t="s">
        <v>117</v>
      </c>
      <c r="D41" s="27">
        <v>28.306070565369424</v>
      </c>
      <c r="E41" s="27">
        <v>0.18992510009631228</v>
      </c>
      <c r="L41" s="4"/>
    </row>
    <row r="42" spans="1:26" ht="12" customHeight="1">
      <c r="A42" s="1"/>
      <c r="H42" s="35"/>
      <c r="I42" s="35"/>
      <c r="J42" s="35"/>
      <c r="K42" s="35"/>
      <c r="M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2" customHeight="1">
      <c r="A43" s="1"/>
      <c r="C43" s="248" t="s">
        <v>85</v>
      </c>
      <c r="D43" s="213"/>
      <c r="E43" s="213"/>
      <c r="F43" s="213"/>
      <c r="G43" s="213"/>
      <c r="H43" s="213"/>
      <c r="I43" s="213"/>
      <c r="J43" s="213"/>
      <c r="K43" s="213"/>
      <c r="M43" s="215"/>
    </row>
    <row r="44" spans="1:26" ht="12" customHeight="1">
      <c r="C44" s="249" t="s">
        <v>134</v>
      </c>
      <c r="D44" s="35"/>
      <c r="E44" s="35"/>
      <c r="F44" s="35"/>
      <c r="G44" s="35"/>
      <c r="H44" s="35"/>
    </row>
    <row r="45" spans="1:26" ht="12" customHeight="1">
      <c r="A45" s="9" t="s">
        <v>11</v>
      </c>
    </row>
    <row r="46" spans="1:26">
      <c r="A46" s="10" t="s">
        <v>30</v>
      </c>
      <c r="D46" s="217"/>
      <c r="E46" s="217"/>
      <c r="G46" s="14"/>
      <c r="H46" s="14"/>
      <c r="I46" s="14"/>
    </row>
    <row r="47" spans="1:26">
      <c r="D47" s="215"/>
      <c r="E47" s="215"/>
    </row>
    <row r="48" spans="1:26">
      <c r="D48" s="217"/>
      <c r="E48" s="217"/>
      <c r="G48" s="14"/>
      <c r="H48" s="14"/>
      <c r="I48" s="14"/>
    </row>
  </sheetData>
  <sortState ref="N57:P82">
    <sortCondition descending="1" ref="N57:N82"/>
  </sortState>
  <phoneticPr fontId="2" type="noConversion"/>
  <pageMargins left="0.75" right="0.75" top="1" bottom="1" header="0.5" footer="0.5"/>
  <pageSetup paperSize="150" orientation="portrait" horizontalDpi="2400" verticalDpi="24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B76"/>
  <sheetViews>
    <sheetView showGridLines="0" tabSelected="1" topLeftCell="A13" zoomScaleNormal="100" workbookViewId="0"/>
  </sheetViews>
  <sheetFormatPr baseColWidth="10" defaultColWidth="9.140625" defaultRowHeight="12"/>
  <cols>
    <col min="1" max="2" width="8.7109375" style="58" customWidth="1"/>
    <col min="3" max="3" width="17" style="58" customWidth="1"/>
    <col min="4" max="6" width="15.140625" style="58" customWidth="1"/>
    <col min="7" max="7" width="10.28515625" style="58" customWidth="1"/>
    <col min="8" max="8" width="9.140625" style="58"/>
    <col min="9" max="9" width="16.85546875" style="58" customWidth="1"/>
    <col min="10" max="10" width="9.140625" style="58"/>
    <col min="11" max="11" width="9.140625" style="58" customWidth="1"/>
    <col min="12" max="12" width="25.28515625" style="58" customWidth="1"/>
    <col min="13" max="13" width="43.85546875" style="58" customWidth="1"/>
    <col min="14" max="16384" width="9.140625" style="58"/>
  </cols>
  <sheetData>
    <row r="3" spans="2:54">
      <c r="C3" s="9" t="s">
        <v>0</v>
      </c>
      <c r="M3" s="3"/>
    </row>
    <row r="4" spans="2:54">
      <c r="C4" s="9" t="s">
        <v>13</v>
      </c>
      <c r="M4" s="3"/>
    </row>
    <row r="5" spans="2:54">
      <c r="C5" s="236"/>
    </row>
    <row r="6" spans="2:54" ht="15.75">
      <c r="C6" s="98" t="s">
        <v>31</v>
      </c>
      <c r="M6" s="218"/>
    </row>
    <row r="7" spans="2:54" ht="12" customHeight="1">
      <c r="C7" s="235" t="s">
        <v>32</v>
      </c>
      <c r="M7" s="14"/>
    </row>
    <row r="8" spans="2:54" ht="12" customHeight="1"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</row>
    <row r="9" spans="2:54" ht="12" customHeight="1">
      <c r="B9" s="57"/>
      <c r="G9" s="57"/>
      <c r="H9" s="57"/>
      <c r="J9" s="61"/>
      <c r="K9" s="61"/>
      <c r="L9" s="61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</row>
    <row r="10" spans="2:54" ht="33.75" customHeight="1">
      <c r="B10" s="57"/>
      <c r="C10" s="159"/>
      <c r="D10" s="247" t="s">
        <v>34</v>
      </c>
      <c r="E10" s="247" t="s">
        <v>35</v>
      </c>
      <c r="F10" s="247" t="s">
        <v>36</v>
      </c>
      <c r="G10" s="57"/>
      <c r="H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</row>
    <row r="11" spans="2:54" ht="12" customHeight="1">
      <c r="B11" s="57"/>
      <c r="C11" s="160" t="s">
        <v>15</v>
      </c>
      <c r="D11" s="206">
        <v>175572.296</v>
      </c>
      <c r="E11" s="60">
        <v>491189.09499999997</v>
      </c>
      <c r="F11" s="60">
        <v>376423.29800000001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</row>
    <row r="12" spans="2:54" ht="12" customHeight="1">
      <c r="B12" s="57"/>
      <c r="C12" s="164"/>
      <c r="D12" s="207"/>
      <c r="E12" s="161"/>
      <c r="F12" s="161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</row>
    <row r="13" spans="2:54" ht="12" customHeight="1">
      <c r="B13" s="57"/>
      <c r="C13" s="158" t="s">
        <v>131</v>
      </c>
      <c r="D13" s="206">
        <v>23417.196</v>
      </c>
      <c r="E13" s="60">
        <v>165191.342</v>
      </c>
      <c r="F13" s="60">
        <v>76020.915999999997</v>
      </c>
      <c r="H13" s="162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</row>
    <row r="14" spans="2:54" ht="12" customHeight="1">
      <c r="B14" s="57"/>
      <c r="C14" s="158" t="s">
        <v>92</v>
      </c>
      <c r="D14" s="206">
        <v>23832.918000000001</v>
      </c>
      <c r="E14" s="60">
        <v>117892.484</v>
      </c>
      <c r="F14" s="60">
        <v>70663.941000000006</v>
      </c>
      <c r="H14" s="162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</row>
    <row r="15" spans="2:54" ht="12" customHeight="1">
      <c r="B15" s="57"/>
      <c r="C15" s="158" t="s">
        <v>102</v>
      </c>
      <c r="D15" s="206">
        <v>36166.455999999998</v>
      </c>
      <c r="E15" s="60">
        <v>143749.861</v>
      </c>
      <c r="F15" s="60">
        <v>29907.772000000001</v>
      </c>
      <c r="H15" s="162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</row>
    <row r="16" spans="2:54" ht="12" customHeight="1">
      <c r="B16" s="57"/>
      <c r="C16" s="158" t="s">
        <v>103</v>
      </c>
      <c r="D16" s="206">
        <v>30035.316999999999</v>
      </c>
      <c r="E16" s="60">
        <v>69565.707999999999</v>
      </c>
      <c r="F16" s="60">
        <v>54511.313999999998</v>
      </c>
      <c r="H16" s="162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</row>
    <row r="17" spans="2:44" ht="12" customHeight="1">
      <c r="B17" s="57"/>
      <c r="C17" s="158" t="s">
        <v>123</v>
      </c>
      <c r="D17" s="206">
        <v>31120.613000000001</v>
      </c>
      <c r="E17" s="60">
        <v>85688.384999999995</v>
      </c>
      <c r="F17" s="60">
        <v>27497.327000000001</v>
      </c>
      <c r="H17" s="162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</row>
    <row r="18" spans="2:44" ht="12" customHeight="1">
      <c r="B18" s="57"/>
      <c r="C18" s="158" t="s">
        <v>126</v>
      </c>
      <c r="D18" s="206">
        <v>2.13</v>
      </c>
      <c r="E18" s="60">
        <v>48365.332000000002</v>
      </c>
      <c r="F18" s="60">
        <v>27872.842000000001</v>
      </c>
      <c r="H18" s="162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</row>
    <row r="19" spans="2:44" ht="12" customHeight="1">
      <c r="B19" s="57"/>
      <c r="C19" s="158" t="s">
        <v>122</v>
      </c>
      <c r="D19" s="206">
        <v>8334.9390000000003</v>
      </c>
      <c r="E19" s="60">
        <v>33328.682000000001</v>
      </c>
      <c r="F19" s="60">
        <v>8507.107</v>
      </c>
      <c r="H19" s="162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</row>
    <row r="20" spans="2:44" ht="12" customHeight="1">
      <c r="B20" s="57"/>
      <c r="C20" s="158" t="s">
        <v>19</v>
      </c>
      <c r="D20" s="206">
        <v>4955.1360000000004</v>
      </c>
      <c r="E20" s="60">
        <v>34155.642999999996</v>
      </c>
      <c r="F20" s="60">
        <v>8562.2780000000002</v>
      </c>
      <c r="H20" s="162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</row>
    <row r="21" spans="2:44" ht="12" customHeight="1">
      <c r="B21" s="57"/>
      <c r="C21" s="158" t="s">
        <v>95</v>
      </c>
      <c r="D21" s="206">
        <v>7859.37</v>
      </c>
      <c r="E21" s="60">
        <v>23478.042000000001</v>
      </c>
      <c r="F21" s="60">
        <v>7118.8010000000004</v>
      </c>
      <c r="H21" s="162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</row>
    <row r="22" spans="2:44" ht="12" customHeight="1">
      <c r="B22" s="57"/>
      <c r="C22" s="158" t="s">
        <v>109</v>
      </c>
      <c r="D22" s="206">
        <v>2212.0889999999999</v>
      </c>
      <c r="E22" s="60">
        <v>28034.260999999999</v>
      </c>
      <c r="F22" s="60">
        <v>7438.3180000000002</v>
      </c>
      <c r="H22" s="162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</row>
    <row r="23" spans="2:44" ht="12" customHeight="1">
      <c r="B23" s="57"/>
      <c r="C23" s="158" t="s">
        <v>121</v>
      </c>
      <c r="D23" s="60">
        <v>86.986999999999995</v>
      </c>
      <c r="E23" s="60">
        <v>28715.562999999998</v>
      </c>
      <c r="F23" s="60">
        <v>5469.2209999999995</v>
      </c>
      <c r="H23" s="162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</row>
    <row r="24" spans="2:44" ht="12" customHeight="1">
      <c r="B24" s="57"/>
      <c r="C24" s="158" t="s">
        <v>119</v>
      </c>
      <c r="D24" s="60">
        <v>9.85</v>
      </c>
      <c r="E24" s="60">
        <v>24512.001</v>
      </c>
      <c r="F24" s="60">
        <v>8738.6419999999998</v>
      </c>
      <c r="H24" s="162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</row>
    <row r="25" spans="2:44" ht="12" customHeight="1">
      <c r="B25" s="57"/>
      <c r="C25" s="158" t="s">
        <v>101</v>
      </c>
      <c r="D25" s="60">
        <v>1948.883</v>
      </c>
      <c r="E25" s="60">
        <v>22716.103999999999</v>
      </c>
      <c r="F25" s="60">
        <v>8579.4380000000001</v>
      </c>
      <c r="H25" s="162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</row>
    <row r="26" spans="2:44" ht="12" customHeight="1">
      <c r="B26" s="57"/>
      <c r="C26" s="158" t="s">
        <v>127</v>
      </c>
      <c r="D26" s="206">
        <v>531.548</v>
      </c>
      <c r="E26" s="60">
        <v>19560.726999999999</v>
      </c>
      <c r="F26" s="60">
        <v>8235.0040000000008</v>
      </c>
      <c r="H26" s="162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</row>
    <row r="27" spans="2:44" ht="12" customHeight="1">
      <c r="B27" s="57"/>
      <c r="C27" s="158" t="s">
        <v>97</v>
      </c>
      <c r="D27" s="206">
        <v>2758.6660000000002</v>
      </c>
      <c r="E27" s="60">
        <v>12477.683000000001</v>
      </c>
      <c r="F27" s="60">
        <v>4818.598</v>
      </c>
      <c r="H27" s="162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</row>
    <row r="28" spans="2:44" ht="12" customHeight="1">
      <c r="B28" s="57"/>
      <c r="C28" s="158" t="s">
        <v>128</v>
      </c>
      <c r="D28" s="206">
        <v>1369.413</v>
      </c>
      <c r="E28" s="163">
        <v>14341.013999999999</v>
      </c>
      <c r="F28" s="163">
        <v>2224.3470000000002</v>
      </c>
      <c r="H28" s="162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</row>
    <row r="29" spans="2:44" ht="12" customHeight="1">
      <c r="B29" s="57"/>
      <c r="C29" s="158" t="s">
        <v>112</v>
      </c>
      <c r="D29" s="60">
        <v>67.506</v>
      </c>
      <c r="E29" s="60">
        <v>11382.103999999999</v>
      </c>
      <c r="F29" s="60">
        <v>4812.2309999999998</v>
      </c>
      <c r="H29" s="162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</row>
    <row r="30" spans="2:44" ht="12" customHeight="1">
      <c r="B30" s="57"/>
      <c r="C30" s="158" t="s">
        <v>113</v>
      </c>
      <c r="D30" s="60">
        <v>3.5999999999999997E-2</v>
      </c>
      <c r="E30" s="60">
        <v>10605.366</v>
      </c>
      <c r="F30" s="60">
        <v>2744.627</v>
      </c>
      <c r="H30" s="162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</row>
    <row r="31" spans="2:44" ht="12" customHeight="1">
      <c r="B31" s="57"/>
      <c r="C31" s="158" t="s">
        <v>94</v>
      </c>
      <c r="D31" s="60">
        <v>280.43900000000002</v>
      </c>
      <c r="E31" s="60">
        <v>8508.1090000000004</v>
      </c>
      <c r="F31" s="60">
        <v>2304.1030000000001</v>
      </c>
      <c r="H31" s="162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</row>
    <row r="32" spans="2:44" ht="12" customHeight="1">
      <c r="B32" s="57"/>
      <c r="C32" s="158" t="s">
        <v>124</v>
      </c>
      <c r="D32" s="206">
        <v>5.0000000000000001E-3</v>
      </c>
      <c r="E32" s="60">
        <v>6811.0590000000002</v>
      </c>
      <c r="F32" s="60">
        <v>3427.8490000000002</v>
      </c>
      <c r="H32" s="162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</row>
    <row r="33" spans="2:54" ht="12" customHeight="1">
      <c r="B33" s="57"/>
      <c r="C33" s="158" t="s">
        <v>93</v>
      </c>
      <c r="D33" s="206">
        <v>526.60900000000004</v>
      </c>
      <c r="E33" s="60">
        <v>6874.8</v>
      </c>
      <c r="F33" s="60">
        <v>1441.644</v>
      </c>
      <c r="H33" s="162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</row>
    <row r="34" spans="2:54" ht="12" customHeight="1">
      <c r="B34" s="57"/>
      <c r="C34" s="158" t="s">
        <v>104</v>
      </c>
      <c r="D34" s="60">
        <v>6.335</v>
      </c>
      <c r="E34" s="60">
        <v>4413.5370000000003</v>
      </c>
      <c r="F34" s="60">
        <v>1657.982</v>
      </c>
      <c r="H34" s="162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</row>
    <row r="35" spans="2:54" ht="12" customHeight="1">
      <c r="B35" s="57"/>
      <c r="C35" s="158" t="s">
        <v>18</v>
      </c>
      <c r="D35" s="60">
        <v>7.0000000000000001E-3</v>
      </c>
      <c r="E35" s="60">
        <v>5497.1210000000001</v>
      </c>
      <c r="F35" s="60">
        <v>510.60300000000001</v>
      </c>
      <c r="H35" s="162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</row>
    <row r="36" spans="2:54" ht="12" customHeight="1">
      <c r="B36" s="57"/>
      <c r="C36" s="158" t="s">
        <v>88</v>
      </c>
      <c r="D36" s="60">
        <v>2.3E-2</v>
      </c>
      <c r="E36" s="60">
        <v>4002.26</v>
      </c>
      <c r="F36" s="60">
        <v>1243.818</v>
      </c>
      <c r="H36" s="162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</row>
    <row r="37" spans="2:54" ht="12" customHeight="1">
      <c r="B37" s="57"/>
      <c r="C37" s="158" t="s">
        <v>125</v>
      </c>
      <c r="D37" s="60">
        <v>1.099</v>
      </c>
      <c r="E37" s="60">
        <v>3214.5349999999999</v>
      </c>
      <c r="F37" s="60">
        <v>339.096</v>
      </c>
      <c r="H37" s="162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</row>
    <row r="38" spans="2:54" ht="12" customHeight="1">
      <c r="B38" s="57"/>
      <c r="C38" s="158" t="s">
        <v>120</v>
      </c>
      <c r="D38" s="60">
        <v>24.524000000000001</v>
      </c>
      <c r="E38" s="60">
        <v>2094.6419999999998</v>
      </c>
      <c r="F38" s="60">
        <v>515.97900000000004</v>
      </c>
      <c r="H38" s="162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</row>
    <row r="39" spans="2:54" ht="12" customHeight="1">
      <c r="B39" s="57"/>
      <c r="C39" s="158" t="s">
        <v>130</v>
      </c>
      <c r="D39" s="206">
        <v>24.202000000000002</v>
      </c>
      <c r="E39" s="60">
        <v>1792.4829999999999</v>
      </c>
      <c r="F39" s="60">
        <v>585.96600000000001</v>
      </c>
      <c r="H39" s="162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</row>
    <row r="40" spans="2:54" ht="12" customHeight="1">
      <c r="B40" s="57"/>
      <c r="C40" s="158" t="s">
        <v>129</v>
      </c>
      <c r="D40" s="206">
        <v>0</v>
      </c>
      <c r="E40" s="60">
        <v>1008.599</v>
      </c>
      <c r="F40" s="60">
        <v>673.53399999999999</v>
      </c>
      <c r="H40" s="162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</row>
    <row r="41" spans="2:54" ht="12" customHeight="1">
      <c r="B41" s="57"/>
      <c r="C41" s="158"/>
      <c r="D41" s="59"/>
      <c r="E41" s="60"/>
      <c r="F41" s="60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</row>
    <row r="42" spans="2:54" ht="12" customHeight="1">
      <c r="B42" s="57"/>
      <c r="C42" s="212" t="s">
        <v>33</v>
      </c>
      <c r="D42" s="233"/>
      <c r="E42" s="233"/>
      <c r="F42" s="233"/>
      <c r="G42" s="57"/>
      <c r="H42" s="57"/>
      <c r="I42" s="162"/>
      <c r="J42" s="57"/>
      <c r="K42" s="57"/>
      <c r="M42" s="213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</row>
    <row r="43" spans="2:54" ht="12" customHeight="1">
      <c r="B43" s="57"/>
      <c r="G43" s="57"/>
      <c r="H43" s="57"/>
      <c r="I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</row>
    <row r="44" spans="2:54" ht="12" customHeight="1">
      <c r="B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</row>
    <row r="45" spans="2:54" ht="33.75" customHeight="1">
      <c r="B45" s="57"/>
      <c r="C45" s="159"/>
      <c r="D45" s="219"/>
      <c r="E45" s="219"/>
      <c r="F45" s="219"/>
      <c r="G45" s="57"/>
      <c r="H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</row>
    <row r="46" spans="2:54" ht="12" customHeight="1">
      <c r="D46" s="218"/>
      <c r="E46" s="218"/>
      <c r="F46" s="218"/>
      <c r="G46" s="57"/>
      <c r="H46" s="57"/>
    </row>
    <row r="47" spans="2:54" ht="33.75" customHeight="1">
      <c r="B47" s="57"/>
      <c r="C47" s="159"/>
      <c r="D47" s="219"/>
      <c r="E47" s="219"/>
      <c r="F47" s="219"/>
      <c r="G47" s="57"/>
      <c r="H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</row>
    <row r="48" spans="2:54" ht="12" customHeight="1">
      <c r="G48" s="57"/>
      <c r="H48" s="57"/>
    </row>
    <row r="49" spans="7:8" ht="12" customHeight="1">
      <c r="G49" s="57"/>
      <c r="H49" s="57"/>
    </row>
    <row r="50" spans="7:8" ht="12" customHeight="1">
      <c r="G50" s="57"/>
      <c r="H50" s="57"/>
    </row>
    <row r="51" spans="7:8" ht="12" customHeight="1">
      <c r="G51" s="57"/>
      <c r="H51" s="57"/>
    </row>
    <row r="52" spans="7:8" ht="12" customHeight="1">
      <c r="G52" s="57"/>
      <c r="H52" s="57"/>
    </row>
    <row r="53" spans="7:8" ht="12" customHeight="1">
      <c r="G53" s="57"/>
      <c r="H53" s="57"/>
    </row>
    <row r="54" spans="7:8" ht="12" customHeight="1">
      <c r="G54" s="57"/>
      <c r="H54" s="57"/>
    </row>
    <row r="55" spans="7:8">
      <c r="G55" s="57"/>
      <c r="H55" s="57"/>
    </row>
    <row r="56" spans="7:8">
      <c r="G56" s="57"/>
      <c r="H56" s="57"/>
    </row>
    <row r="57" spans="7:8">
      <c r="G57" s="57"/>
      <c r="H57" s="57"/>
    </row>
    <row r="58" spans="7:8">
      <c r="G58" s="57"/>
      <c r="H58" s="57"/>
    </row>
    <row r="59" spans="7:8">
      <c r="G59" s="57"/>
      <c r="H59" s="57"/>
    </row>
    <row r="60" spans="7:8">
      <c r="G60" s="57"/>
      <c r="H60" s="57"/>
    </row>
    <row r="61" spans="7:8">
      <c r="G61" s="57"/>
      <c r="H61" s="57"/>
    </row>
    <row r="62" spans="7:8">
      <c r="G62" s="57"/>
      <c r="H62" s="57"/>
    </row>
    <row r="63" spans="7:8">
      <c r="G63" s="57"/>
      <c r="H63" s="57"/>
    </row>
    <row r="64" spans="7:8">
      <c r="G64" s="57"/>
      <c r="H64" s="57"/>
    </row>
    <row r="65" spans="7:8">
      <c r="G65" s="57"/>
      <c r="H65" s="57"/>
    </row>
    <row r="66" spans="7:8">
      <c r="G66" s="57"/>
      <c r="H66" s="57"/>
    </row>
    <row r="67" spans="7:8">
      <c r="G67" s="57"/>
      <c r="H67" s="57"/>
    </row>
    <row r="68" spans="7:8">
      <c r="G68" s="57"/>
      <c r="H68" s="57"/>
    </row>
    <row r="69" spans="7:8">
      <c r="G69" s="57"/>
      <c r="H69" s="57"/>
    </row>
    <row r="70" spans="7:8">
      <c r="G70" s="57"/>
      <c r="H70" s="57"/>
    </row>
    <row r="71" spans="7:8">
      <c r="G71" s="57"/>
      <c r="H71" s="57"/>
    </row>
    <row r="72" spans="7:8">
      <c r="G72" s="57"/>
      <c r="H72" s="57"/>
    </row>
    <row r="73" spans="7:8">
      <c r="G73" s="57"/>
      <c r="H73" s="57"/>
    </row>
    <row r="74" spans="7:8">
      <c r="G74" s="57"/>
      <c r="H74" s="57"/>
    </row>
    <row r="75" spans="7:8">
      <c r="G75" s="57"/>
      <c r="H75" s="57"/>
    </row>
    <row r="76" spans="7:8">
      <c r="G76" s="57"/>
      <c r="H76" s="57"/>
    </row>
  </sheetData>
  <sortState ref="C7:G33">
    <sortCondition descending="1" ref="G6"/>
  </sortState>
  <pageMargins left="0.44431372549019615" right="0.44431372549019615" top="0.44431372549019615" bottom="0.44431372549019615" header="0.50980392156862753" footer="0.50980392156862753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K41"/>
  <sheetViews>
    <sheetView showGridLines="0" zoomScaleNormal="100" workbookViewId="0">
      <selection activeCell="C27" sqref="C27:D27"/>
    </sheetView>
  </sheetViews>
  <sheetFormatPr baseColWidth="10" defaultColWidth="9.140625" defaultRowHeight="12"/>
  <cols>
    <col min="1" max="2" width="8.7109375" style="2" customWidth="1"/>
    <col min="3" max="3" width="32.28515625" style="2" customWidth="1"/>
    <col min="4" max="4" width="18.7109375" style="2" customWidth="1"/>
    <col min="5" max="5" width="11.5703125" style="2" customWidth="1"/>
    <col min="6" max="6" width="9.140625" style="2"/>
    <col min="7" max="7" width="13.28515625" style="2" customWidth="1"/>
    <col min="8" max="12" width="9.140625" style="2"/>
    <col min="13" max="13" width="33.42578125" style="2" customWidth="1"/>
    <col min="14" max="14" width="27.85546875" style="2" customWidth="1"/>
    <col min="15" max="16384" width="9.140625" style="2"/>
  </cols>
  <sheetData>
    <row r="1" spans="1:14" ht="12" customHeight="1"/>
    <row r="2" spans="1:14" ht="12" customHeight="1">
      <c r="M2" s="3"/>
      <c r="N2" s="3"/>
    </row>
    <row r="3" spans="1:14" ht="12" customHeight="1">
      <c r="C3" s="9" t="s">
        <v>0</v>
      </c>
      <c r="N3" s="3"/>
    </row>
    <row r="4" spans="1:14" ht="12" customHeight="1">
      <c r="A4" s="19"/>
      <c r="C4" s="9" t="s">
        <v>13</v>
      </c>
      <c r="N4" s="3"/>
    </row>
    <row r="5" spans="1:14" s="3" customFormat="1" ht="12" customHeight="1">
      <c r="A5" s="1"/>
      <c r="C5" s="9"/>
    </row>
    <row r="6" spans="1:14" ht="15.75">
      <c r="C6" s="234" t="s">
        <v>37</v>
      </c>
      <c r="N6" s="209"/>
    </row>
    <row r="7" spans="1:14" ht="12" customHeight="1">
      <c r="A7" s="15"/>
      <c r="C7" s="235" t="s">
        <v>32</v>
      </c>
      <c r="N7" s="14"/>
    </row>
    <row r="8" spans="1:14" ht="12" customHeight="1">
      <c r="A8" s="15"/>
      <c r="C8" s="55"/>
      <c r="M8" s="220"/>
    </row>
    <row r="9" spans="1:14" ht="12" customHeight="1">
      <c r="A9" s="15"/>
      <c r="C9" s="55"/>
      <c r="M9" s="220"/>
    </row>
    <row r="10" spans="1:14" ht="12" customHeight="1">
      <c r="D10" s="12" t="s">
        <v>23</v>
      </c>
      <c r="E10" s="12" t="s">
        <v>22</v>
      </c>
    </row>
    <row r="11" spans="1:14" ht="12" customHeight="1">
      <c r="A11" s="15"/>
      <c r="B11" s="15"/>
      <c r="C11" s="2" t="s">
        <v>38</v>
      </c>
      <c r="D11" s="15">
        <v>73.186612999999994</v>
      </c>
      <c r="E11" s="15">
        <v>4.8007619999999998</v>
      </c>
      <c r="F11" s="165">
        <f>+E11+D11</f>
        <v>77.987375</v>
      </c>
      <c r="G11" s="33"/>
      <c r="H11" s="39"/>
      <c r="I11" s="39"/>
      <c r="J11" s="15"/>
    </row>
    <row r="12" spans="1:14" ht="12" customHeight="1">
      <c r="A12" s="15"/>
      <c r="B12" s="15"/>
      <c r="C12" s="2" t="s">
        <v>39</v>
      </c>
      <c r="D12" s="15">
        <v>63.056150000000002</v>
      </c>
      <c r="E12" s="15">
        <v>6.3621040000000004</v>
      </c>
      <c r="F12" s="165">
        <f t="shared" ref="F12:F25" si="0">+E12+D12</f>
        <v>69.418254000000005</v>
      </c>
      <c r="G12" s="33"/>
      <c r="H12" s="39"/>
      <c r="I12" s="39"/>
      <c r="J12" s="15"/>
    </row>
    <row r="13" spans="1:14" ht="12" customHeight="1">
      <c r="A13" s="15"/>
      <c r="B13" s="15"/>
      <c r="C13" s="2" t="s">
        <v>40</v>
      </c>
      <c r="D13" s="15">
        <v>68.421317000000002</v>
      </c>
      <c r="E13" s="15">
        <v>3.4900000000000003E-4</v>
      </c>
      <c r="F13" s="165">
        <f t="shared" si="0"/>
        <v>68.421666000000002</v>
      </c>
      <c r="G13" s="33"/>
      <c r="H13" s="39"/>
      <c r="I13" s="39"/>
      <c r="J13" s="15"/>
    </row>
    <row r="14" spans="1:14" ht="12" customHeight="1">
      <c r="A14" s="15"/>
      <c r="B14" s="15"/>
      <c r="C14" s="2" t="s">
        <v>41</v>
      </c>
      <c r="D14" s="15">
        <v>57.134458000000002</v>
      </c>
      <c r="E14" s="15">
        <v>7.255757</v>
      </c>
      <c r="F14" s="165">
        <f t="shared" si="0"/>
        <v>64.390214999999998</v>
      </c>
      <c r="G14" s="33"/>
      <c r="H14" s="39"/>
      <c r="I14" s="39"/>
      <c r="J14" s="15"/>
    </row>
    <row r="15" spans="1:14" ht="12" customHeight="1">
      <c r="A15" s="15"/>
      <c r="B15" s="15"/>
      <c r="C15" s="2" t="s">
        <v>42</v>
      </c>
      <c r="D15" s="15">
        <v>37.306708</v>
      </c>
      <c r="E15" s="15">
        <v>14.716106999999999</v>
      </c>
      <c r="F15" s="165">
        <f t="shared" si="0"/>
        <v>52.022815000000001</v>
      </c>
      <c r="G15" s="34"/>
      <c r="H15" s="39"/>
      <c r="I15" s="39"/>
      <c r="J15" s="15"/>
    </row>
    <row r="16" spans="1:14" ht="12" customHeight="1">
      <c r="A16" s="15"/>
      <c r="B16" s="15"/>
      <c r="C16" s="2" t="s">
        <v>43</v>
      </c>
      <c r="D16" s="15">
        <v>34.107875999999997</v>
      </c>
      <c r="E16" s="15">
        <v>12.693858000000001</v>
      </c>
      <c r="F16" s="165">
        <f t="shared" si="0"/>
        <v>46.801733999999996</v>
      </c>
      <c r="G16" s="34"/>
      <c r="H16" s="39"/>
      <c r="I16" s="39"/>
      <c r="J16" s="15"/>
    </row>
    <row r="17" spans="1:10" ht="12" customHeight="1">
      <c r="A17" s="15"/>
      <c r="B17" s="15"/>
      <c r="C17" s="2" t="s">
        <v>44</v>
      </c>
      <c r="D17" s="15">
        <v>41.451594</v>
      </c>
      <c r="E17" s="15">
        <v>4.082795</v>
      </c>
      <c r="F17" s="165">
        <f t="shared" si="0"/>
        <v>45.534388999999997</v>
      </c>
      <c r="G17" s="34"/>
      <c r="H17" s="39"/>
      <c r="I17" s="39"/>
      <c r="J17" s="15"/>
    </row>
    <row r="18" spans="1:10" ht="12" customHeight="1">
      <c r="A18" s="15"/>
      <c r="B18" s="15"/>
      <c r="C18" s="2" t="s">
        <v>45</v>
      </c>
      <c r="D18" s="15">
        <v>34.720953999999999</v>
      </c>
      <c r="E18" s="15">
        <v>9.8144159999999996</v>
      </c>
      <c r="F18" s="165">
        <f t="shared" si="0"/>
        <v>44.53537</v>
      </c>
      <c r="G18" s="34"/>
      <c r="H18" s="39"/>
      <c r="I18" s="39"/>
      <c r="J18" s="15"/>
    </row>
    <row r="19" spans="1:10" ht="12" customHeight="1">
      <c r="A19" s="15"/>
      <c r="B19" s="15"/>
      <c r="C19" s="2" t="s">
        <v>46</v>
      </c>
      <c r="D19" s="15">
        <v>29.380825999999999</v>
      </c>
      <c r="E19" s="15">
        <v>11.459873999999999</v>
      </c>
      <c r="F19" s="165">
        <f t="shared" si="0"/>
        <v>40.840699999999998</v>
      </c>
      <c r="G19" s="34"/>
      <c r="H19" s="39"/>
      <c r="I19" s="39"/>
      <c r="J19" s="15"/>
    </row>
    <row r="20" spans="1:10" ht="12" customHeight="1">
      <c r="A20" s="15"/>
      <c r="B20" s="15"/>
      <c r="C20" s="2" t="s">
        <v>47</v>
      </c>
      <c r="D20" s="15">
        <v>17.854182999999999</v>
      </c>
      <c r="E20" s="15">
        <v>14.185387</v>
      </c>
      <c r="F20" s="165">
        <f t="shared" si="0"/>
        <v>32.039569999999998</v>
      </c>
      <c r="G20" s="34"/>
      <c r="H20" s="92"/>
      <c r="I20" s="92"/>
      <c r="J20" s="15"/>
    </row>
    <row r="21" spans="1:10" ht="12" customHeight="1">
      <c r="A21" s="15"/>
      <c r="B21" s="15"/>
      <c r="C21" s="2" t="s">
        <v>48</v>
      </c>
      <c r="D21" s="15">
        <v>29.269546999999999</v>
      </c>
      <c r="E21" s="15">
        <v>8.6855000000000002E-2</v>
      </c>
      <c r="F21" s="165">
        <f t="shared" si="0"/>
        <v>29.356401999999999</v>
      </c>
      <c r="G21" s="34"/>
      <c r="H21" s="39"/>
      <c r="I21" s="39"/>
      <c r="J21" s="15"/>
    </row>
    <row r="22" spans="1:10" ht="12" customHeight="1">
      <c r="A22" s="15"/>
      <c r="B22" s="15"/>
      <c r="C22" s="2" t="s">
        <v>49</v>
      </c>
      <c r="D22" s="15">
        <v>27.264396000000001</v>
      </c>
      <c r="E22" s="15">
        <v>1.8360339999999999</v>
      </c>
      <c r="F22" s="165">
        <f t="shared" si="0"/>
        <v>29.100430000000003</v>
      </c>
      <c r="G22" s="34"/>
      <c r="H22" s="39"/>
      <c r="I22" s="39"/>
      <c r="J22" s="15"/>
    </row>
    <row r="23" spans="1:10" ht="12" customHeight="1">
      <c r="A23" s="15"/>
      <c r="B23" s="15"/>
      <c r="C23" s="2" t="s">
        <v>50</v>
      </c>
      <c r="D23" s="15">
        <v>21.57667</v>
      </c>
      <c r="E23" s="15">
        <v>6.3745979999999998</v>
      </c>
      <c r="F23" s="165">
        <f t="shared" si="0"/>
        <v>27.951267999999999</v>
      </c>
      <c r="G23" s="34"/>
      <c r="H23" s="39"/>
      <c r="I23" s="39"/>
      <c r="J23" s="15"/>
    </row>
    <row r="24" spans="1:10" ht="12" customHeight="1">
      <c r="A24" s="15"/>
      <c r="B24" s="15"/>
      <c r="C24" s="2" t="s">
        <v>51</v>
      </c>
      <c r="D24" s="15">
        <v>25.390231</v>
      </c>
      <c r="E24" s="15">
        <v>2.3835790000000001</v>
      </c>
      <c r="F24" s="165">
        <f t="shared" si="0"/>
        <v>27.773810000000001</v>
      </c>
      <c r="G24" s="34"/>
      <c r="H24" s="39"/>
      <c r="I24" s="39"/>
      <c r="J24" s="15"/>
    </row>
    <row r="25" spans="1:10" ht="12" customHeight="1">
      <c r="A25" s="15"/>
      <c r="B25" s="15"/>
      <c r="C25" s="2" t="s">
        <v>52</v>
      </c>
      <c r="D25" s="15">
        <v>23.164487000000001</v>
      </c>
      <c r="E25" s="15">
        <v>3.512067</v>
      </c>
      <c r="F25" s="165">
        <f t="shared" si="0"/>
        <v>26.676554000000003</v>
      </c>
      <c r="G25" s="34"/>
      <c r="H25" s="39"/>
      <c r="I25" s="39"/>
      <c r="J25" s="15"/>
    </row>
    <row r="26" spans="1:10" ht="12" customHeight="1">
      <c r="D26" s="15"/>
      <c r="G26" s="16"/>
      <c r="H26" s="91"/>
      <c r="I26" s="91"/>
    </row>
    <row r="27" spans="1:10" ht="12" customHeight="1">
      <c r="C27" s="18" t="s">
        <v>53</v>
      </c>
      <c r="D27" s="15"/>
      <c r="H27" s="93"/>
      <c r="I27" s="93"/>
    </row>
    <row r="28" spans="1:10" ht="12" customHeight="1">
      <c r="C28" s="257"/>
      <c r="D28" s="257"/>
      <c r="E28" s="1"/>
    </row>
    <row r="29" spans="1:10" ht="12" customHeight="1"/>
    <row r="30" spans="1:10" ht="12" customHeight="1">
      <c r="A30" s="9" t="s">
        <v>11</v>
      </c>
    </row>
    <row r="31" spans="1:10" ht="12" customHeight="1">
      <c r="A31" s="10" t="s">
        <v>54</v>
      </c>
    </row>
    <row r="32" spans="1:10" ht="12" customHeight="1"/>
    <row r="33" spans="4:37">
      <c r="D33" s="12"/>
      <c r="E33" s="12"/>
    </row>
    <row r="34" spans="4:37">
      <c r="D34" s="12"/>
      <c r="E34" s="12"/>
    </row>
    <row r="38" spans="4:37">
      <c r="H38" s="15"/>
      <c r="I38" s="15"/>
    </row>
    <row r="40" spans="4:37" s="36" customFormat="1">
      <c r="D40" s="37"/>
      <c r="E40" s="37"/>
      <c r="F40" s="37"/>
      <c r="G40" s="37"/>
      <c r="H40" s="37"/>
      <c r="I40" s="37"/>
      <c r="J40" s="37"/>
      <c r="K40" s="37"/>
      <c r="L40" s="37"/>
      <c r="M40" s="2"/>
      <c r="N40" s="2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</row>
    <row r="41" spans="4:37" s="17" customFormat="1">
      <c r="D41" s="14"/>
      <c r="E41" s="14"/>
      <c r="F41" s="14"/>
      <c r="G41" s="14"/>
      <c r="H41" s="14"/>
      <c r="I41" s="14"/>
      <c r="J41" s="14"/>
      <c r="K41" s="14"/>
      <c r="L41" s="14"/>
      <c r="M41" s="2"/>
      <c r="N41" s="2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</sheetData>
  <sortState ref="B11:R25">
    <sortCondition ref="B11"/>
  </sortState>
  <mergeCells count="1">
    <mergeCell ref="C28:D28"/>
  </mergeCells>
  <phoneticPr fontId="2" type="noConversion"/>
  <pageMargins left="0.75" right="0.75" top="1" bottom="1" header="0.5" footer="0.5"/>
  <pageSetup paperSize="150" orientation="portrait" horizontalDpi="2400" verticalDpi="24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28"/>
  <sheetViews>
    <sheetView showGridLines="0" workbookViewId="0"/>
  </sheetViews>
  <sheetFormatPr baseColWidth="10" defaultColWidth="9.140625" defaultRowHeight="12"/>
  <cols>
    <col min="13" max="13" width="46.7109375" customWidth="1"/>
    <col min="14" max="14" width="18.42578125" customWidth="1"/>
  </cols>
  <sheetData>
    <row r="3" spans="3:14">
      <c r="C3" s="9" t="s">
        <v>0</v>
      </c>
      <c r="N3" s="3"/>
    </row>
    <row r="4" spans="3:14">
      <c r="C4" s="9" t="s">
        <v>13</v>
      </c>
      <c r="N4" s="3"/>
    </row>
    <row r="5" spans="3:14">
      <c r="C5" s="22"/>
    </row>
    <row r="6" spans="3:14" ht="15.75">
      <c r="C6" s="234" t="s">
        <v>55</v>
      </c>
      <c r="N6" s="221"/>
    </row>
    <row r="7" spans="3:14">
      <c r="C7" s="235" t="s">
        <v>32</v>
      </c>
      <c r="N7" s="14"/>
    </row>
    <row r="8" spans="3:14">
      <c r="C8" s="19"/>
    </row>
    <row r="10" spans="3:14">
      <c r="C10" s="19" t="s">
        <v>56</v>
      </c>
      <c r="M10" s="221"/>
      <c r="N10" s="221"/>
    </row>
    <row r="11" spans="3:14">
      <c r="C11" s="19" t="s">
        <v>57</v>
      </c>
      <c r="M11" s="221"/>
      <c r="N11" s="221"/>
    </row>
    <row r="12" spans="3:14">
      <c r="C12" s="19" t="s">
        <v>58</v>
      </c>
      <c r="M12" s="221"/>
      <c r="N12" s="221"/>
    </row>
    <row r="13" spans="3:14">
      <c r="C13" s="19" t="s">
        <v>59</v>
      </c>
      <c r="M13" s="221"/>
      <c r="N13" s="221"/>
    </row>
    <row r="14" spans="3:14">
      <c r="C14" s="19"/>
      <c r="M14" s="221"/>
      <c r="N14" s="221"/>
    </row>
    <row r="15" spans="3:14">
      <c r="C15" s="19" t="s">
        <v>60</v>
      </c>
      <c r="M15" s="221"/>
      <c r="N15" s="221"/>
    </row>
    <row r="16" spans="3:14">
      <c r="C16" s="19" t="s">
        <v>61</v>
      </c>
      <c r="M16" s="221"/>
      <c r="N16" s="221"/>
    </row>
    <row r="17" spans="3:14">
      <c r="C17" s="19" t="s">
        <v>62</v>
      </c>
      <c r="M17" s="221"/>
      <c r="N17" s="221"/>
    </row>
    <row r="18" spans="3:14">
      <c r="C18" s="19" t="s">
        <v>63</v>
      </c>
      <c r="M18" s="221"/>
      <c r="N18" s="221"/>
    </row>
    <row r="19" spans="3:14">
      <c r="C19" s="19" t="s">
        <v>15</v>
      </c>
      <c r="M19" s="221"/>
      <c r="N19" s="221"/>
    </row>
    <row r="20" spans="3:14">
      <c r="C20" s="19" t="s">
        <v>64</v>
      </c>
      <c r="M20" s="221"/>
      <c r="N20" s="221"/>
    </row>
    <row r="21" spans="3:14">
      <c r="C21" s="19" t="s">
        <v>65</v>
      </c>
      <c r="M21" s="221"/>
      <c r="N21" s="221"/>
    </row>
    <row r="22" spans="3:14">
      <c r="C22" s="19" t="s">
        <v>66</v>
      </c>
      <c r="M22" s="221"/>
      <c r="N22" s="221"/>
    </row>
    <row r="23" spans="3:14">
      <c r="C23" s="19" t="s">
        <v>67</v>
      </c>
      <c r="M23" s="221"/>
      <c r="N23" s="221"/>
    </row>
    <row r="24" spans="3:14">
      <c r="C24" s="19" t="s">
        <v>68</v>
      </c>
      <c r="M24" s="221"/>
      <c r="N24" s="221"/>
    </row>
    <row r="25" spans="3:14">
      <c r="C25" s="19" t="s">
        <v>69</v>
      </c>
      <c r="M25" s="221"/>
      <c r="N25" s="221"/>
    </row>
    <row r="26" spans="3:14">
      <c r="C26" s="19" t="s">
        <v>70</v>
      </c>
      <c r="M26" s="221"/>
      <c r="N26" s="221"/>
    </row>
    <row r="28" spans="3:14">
      <c r="C28" s="208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Z42"/>
  <sheetViews>
    <sheetView showGridLines="0" zoomScaleNormal="100" workbookViewId="0"/>
  </sheetViews>
  <sheetFormatPr baseColWidth="10" defaultColWidth="9.140625" defaultRowHeight="12"/>
  <cols>
    <col min="1" max="2" width="8.7109375" style="62" customWidth="1"/>
    <col min="3" max="3" width="10.7109375" style="62" customWidth="1"/>
    <col min="4" max="5" width="9.42578125" style="62" bestFit="1" customWidth="1"/>
    <col min="6" max="10" width="9.28515625" style="62" bestFit="1" customWidth="1"/>
    <col min="11" max="11" width="8.140625" style="62" customWidth="1"/>
    <col min="12" max="12" width="9.42578125" style="62" bestFit="1" customWidth="1"/>
    <col min="13" max="16" width="9.28515625" style="62" customWidth="1"/>
    <col min="17" max="17" width="9.28515625" style="62" bestFit="1" customWidth="1"/>
    <col min="18" max="18" width="9.28515625" style="62" customWidth="1"/>
    <col min="19" max="19" width="7.5703125" style="62" bestFit="1" customWidth="1"/>
    <col min="20" max="22" width="9.140625" style="62"/>
    <col min="23" max="23" width="29.85546875" style="62" customWidth="1"/>
    <col min="24" max="24" width="78.140625" style="62" customWidth="1"/>
    <col min="25" max="25" width="10.7109375" style="62" customWidth="1"/>
    <col min="26" max="16384" width="9.140625" style="62"/>
  </cols>
  <sheetData>
    <row r="3" spans="3:26">
      <c r="C3" s="9" t="s">
        <v>0</v>
      </c>
      <c r="X3" s="3"/>
      <c r="Y3" s="3"/>
      <c r="Z3"/>
    </row>
    <row r="4" spans="3:26">
      <c r="C4" s="9" t="s">
        <v>13</v>
      </c>
      <c r="X4" s="3"/>
      <c r="Y4" s="3"/>
      <c r="Z4"/>
    </row>
    <row r="5" spans="3:26">
      <c r="C5" s="237"/>
    </row>
    <row r="6" spans="3:26" ht="15.75">
      <c r="C6" s="110" t="s">
        <v>72</v>
      </c>
      <c r="D6" s="110"/>
      <c r="E6" s="110"/>
      <c r="F6" s="110"/>
      <c r="G6" s="110"/>
      <c r="H6" s="110"/>
      <c r="I6" s="110"/>
      <c r="J6" s="110"/>
      <c r="K6" s="110"/>
      <c r="Y6" s="222"/>
    </row>
    <row r="7" spans="3:26" ht="12.75">
      <c r="C7" s="99" t="s">
        <v>73</v>
      </c>
      <c r="D7" s="78"/>
      <c r="E7" s="77"/>
      <c r="F7" s="79"/>
      <c r="G7" s="80"/>
      <c r="H7" s="80"/>
      <c r="I7" s="81"/>
      <c r="J7" s="81"/>
      <c r="K7" s="77"/>
      <c r="Y7" s="14"/>
    </row>
    <row r="9" spans="3:26" ht="16.5" customHeight="1">
      <c r="C9" s="69"/>
      <c r="D9" s="69"/>
      <c r="E9" s="69"/>
      <c r="F9" s="69"/>
      <c r="G9" s="69"/>
      <c r="H9" s="69"/>
      <c r="I9" s="69"/>
      <c r="J9" s="69"/>
      <c r="K9" s="69"/>
      <c r="L9" s="64"/>
      <c r="M9" s="64"/>
      <c r="N9" s="64"/>
      <c r="O9" s="64"/>
      <c r="P9" s="64"/>
      <c r="Q9" s="64"/>
      <c r="R9" s="64"/>
      <c r="S9" s="64"/>
      <c r="T9" s="64"/>
      <c r="U9" s="64"/>
      <c r="W9" s="69"/>
      <c r="Y9" s="69"/>
    </row>
    <row r="10" spans="3:26">
      <c r="C10" s="69"/>
      <c r="D10" s="170">
        <v>2002</v>
      </c>
      <c r="E10" s="170">
        <v>2003</v>
      </c>
      <c r="F10" s="170">
        <v>2004</v>
      </c>
      <c r="G10" s="170">
        <v>2005</v>
      </c>
      <c r="H10" s="170">
        <v>2006</v>
      </c>
      <c r="I10" s="170">
        <v>2007</v>
      </c>
      <c r="J10" s="170">
        <v>2008</v>
      </c>
      <c r="K10" s="170">
        <v>2009</v>
      </c>
      <c r="L10" s="171">
        <v>2010</v>
      </c>
      <c r="M10" s="171">
        <v>2011</v>
      </c>
      <c r="N10" s="170">
        <v>2012</v>
      </c>
      <c r="O10" s="170">
        <v>2013</v>
      </c>
      <c r="P10" s="170">
        <v>2014</v>
      </c>
      <c r="Q10" s="170">
        <v>2015</v>
      </c>
      <c r="R10" s="170">
        <v>2016</v>
      </c>
      <c r="S10" s="170">
        <v>2017</v>
      </c>
      <c r="T10" s="64"/>
      <c r="U10" s="64"/>
      <c r="W10" s="69"/>
      <c r="Y10" s="69"/>
    </row>
    <row r="11" spans="3:26">
      <c r="C11" s="166" t="s">
        <v>15</v>
      </c>
      <c r="D11" s="167">
        <v>439.55640499999998</v>
      </c>
      <c r="E11" s="167">
        <v>438.85901899999988</v>
      </c>
      <c r="F11" s="167">
        <v>434.66495900000001</v>
      </c>
      <c r="G11" s="167">
        <v>416.06525599999998</v>
      </c>
      <c r="H11" s="167">
        <v>429.68300999999997</v>
      </c>
      <c r="I11" s="167">
        <v>438.89730099999997</v>
      </c>
      <c r="J11" s="167">
        <v>438.96277199999992</v>
      </c>
      <c r="K11" s="167">
        <v>429.81891499999995</v>
      </c>
      <c r="L11" s="167">
        <v>425.1722850000001</v>
      </c>
      <c r="M11" s="167">
        <v>412.801672</v>
      </c>
      <c r="N11" s="167">
        <v>398.20486299999993</v>
      </c>
      <c r="O11" s="167">
        <v>400.02857100000006</v>
      </c>
      <c r="P11" s="167">
        <v>393.127273</v>
      </c>
      <c r="Q11" s="167">
        <v>395.43200799999988</v>
      </c>
      <c r="R11" s="167">
        <v>396.52263999999997</v>
      </c>
      <c r="S11" s="167">
        <v>414.80774600000001</v>
      </c>
      <c r="T11" s="168"/>
      <c r="U11" s="64"/>
      <c r="W11" s="166"/>
      <c r="Y11" s="166"/>
    </row>
    <row r="12" spans="3:26">
      <c r="C12" s="64"/>
      <c r="D12" s="64"/>
      <c r="E12" s="64"/>
      <c r="F12" s="169"/>
      <c r="G12" s="66"/>
      <c r="H12" s="66"/>
      <c r="I12" s="66"/>
      <c r="J12" s="66"/>
      <c r="K12" s="66"/>
      <c r="L12" s="64"/>
      <c r="M12" s="64"/>
      <c r="N12" s="64"/>
      <c r="O12" s="64"/>
      <c r="P12" s="64"/>
      <c r="Q12" s="64"/>
      <c r="R12" s="64"/>
      <c r="S12" s="64"/>
      <c r="T12" s="64"/>
      <c r="U12" s="64"/>
      <c r="W12" s="64"/>
      <c r="Y12" s="64"/>
    </row>
    <row r="13" spans="3:26">
      <c r="C13" s="103" t="s">
        <v>86</v>
      </c>
      <c r="E13" s="64"/>
      <c r="F13" s="67"/>
      <c r="G13" s="66"/>
      <c r="H13" s="66"/>
      <c r="I13" s="65"/>
      <c r="J13" s="65"/>
      <c r="K13" s="64"/>
      <c r="Q13" s="68"/>
      <c r="R13" s="68"/>
      <c r="S13" s="68"/>
      <c r="Y13" s="223"/>
    </row>
    <row r="14" spans="3:26">
      <c r="C14" s="244" t="s">
        <v>141</v>
      </c>
      <c r="Y14" s="63"/>
    </row>
    <row r="16" spans="3:26">
      <c r="E16" s="64"/>
      <c r="F16" s="67"/>
      <c r="G16" s="66"/>
      <c r="H16" s="66"/>
      <c r="I16" s="65"/>
      <c r="J16" s="65"/>
      <c r="K16" s="64"/>
    </row>
    <row r="17" spans="5:11">
      <c r="E17" s="64"/>
      <c r="F17" s="67"/>
      <c r="G17" s="66"/>
      <c r="H17" s="66"/>
      <c r="I17" s="65"/>
      <c r="J17" s="65"/>
      <c r="K17" s="64"/>
    </row>
    <row r="18" spans="5:11">
      <c r="E18" s="64"/>
      <c r="F18" s="67"/>
      <c r="G18" s="66"/>
      <c r="H18" s="66"/>
      <c r="I18" s="65"/>
      <c r="J18" s="65"/>
      <c r="K18" s="64"/>
    </row>
    <row r="19" spans="5:11">
      <c r="E19" s="64"/>
      <c r="F19" s="67"/>
      <c r="G19" s="66"/>
      <c r="H19" s="66"/>
      <c r="I19" s="65"/>
      <c r="J19" s="65"/>
      <c r="K19" s="64"/>
    </row>
    <row r="20" spans="5:11">
      <c r="E20" s="64"/>
      <c r="F20" s="67"/>
      <c r="G20" s="66"/>
      <c r="H20" s="66"/>
      <c r="I20" s="65"/>
      <c r="J20" s="65"/>
      <c r="K20" s="64"/>
    </row>
    <row r="21" spans="5:11">
      <c r="E21" s="64"/>
      <c r="F21" s="64"/>
      <c r="G21" s="64"/>
      <c r="H21" s="64"/>
      <c r="I21" s="64"/>
      <c r="J21" s="64"/>
      <c r="K21" s="64"/>
    </row>
    <row r="22" spans="5:11">
      <c r="E22" s="64"/>
      <c r="F22" s="64"/>
      <c r="G22" s="64"/>
      <c r="H22" s="64"/>
      <c r="I22" s="64"/>
      <c r="J22" s="64"/>
      <c r="K22" s="64"/>
    </row>
    <row r="23" spans="5:11">
      <c r="E23" s="64"/>
      <c r="F23" s="64"/>
      <c r="G23" s="64"/>
      <c r="H23" s="64"/>
      <c r="I23" s="64"/>
      <c r="J23" s="64"/>
      <c r="K23" s="64"/>
    </row>
    <row r="24" spans="5:11">
      <c r="E24" s="64"/>
      <c r="F24" s="64"/>
      <c r="G24" s="64"/>
      <c r="H24" s="64"/>
      <c r="I24" s="64"/>
      <c r="J24" s="64"/>
      <c r="K24" s="64"/>
    </row>
    <row r="25" spans="5:11">
      <c r="E25" s="64"/>
      <c r="F25" s="64"/>
      <c r="G25" s="64"/>
      <c r="H25" s="64"/>
      <c r="I25" s="64"/>
      <c r="J25" s="64"/>
      <c r="K25" s="64"/>
    </row>
    <row r="26" spans="5:11">
      <c r="E26" s="64"/>
      <c r="F26" s="64"/>
      <c r="G26" s="64"/>
      <c r="H26" s="64"/>
      <c r="I26" s="64"/>
      <c r="J26" s="64"/>
      <c r="K26" s="64"/>
    </row>
    <row r="27" spans="5:11">
      <c r="E27" s="64"/>
      <c r="F27" s="64"/>
      <c r="G27" s="64"/>
      <c r="H27" s="64"/>
      <c r="I27" s="64"/>
      <c r="J27" s="64"/>
      <c r="K27" s="64"/>
    </row>
    <row r="42" spans="3:25">
      <c r="C42" s="45"/>
      <c r="W42" s="45"/>
      <c r="Y42" s="45"/>
    </row>
  </sheetData>
  <pageMargins left="0.18470588235294122" right="0.19647058823529415" top="0.44352941176470595" bottom="0.44352941176470595" header="0.50980392156862753" footer="0.50980392156862753"/>
  <pageSetup paperSize="9" scale="48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"/>
  <sheetViews>
    <sheetView showGridLines="0" zoomScaleNormal="100" workbookViewId="0"/>
  </sheetViews>
  <sheetFormatPr baseColWidth="10" defaultColWidth="9.140625" defaultRowHeight="12"/>
  <cols>
    <col min="1" max="2" width="8.7109375" style="62" customWidth="1"/>
    <col min="3" max="3" width="19.140625" style="62" bestFit="1" customWidth="1"/>
    <col min="4" max="12" width="13.7109375" style="62" customWidth="1"/>
    <col min="13" max="13" width="9.7109375" style="62" customWidth="1"/>
    <col min="14" max="14" width="11" style="64" customWidth="1"/>
    <col min="15" max="15" width="26" style="62" customWidth="1"/>
    <col min="16" max="16" width="64.28515625" style="64" customWidth="1"/>
    <col min="17" max="17" width="24.28515625" style="62" customWidth="1"/>
    <col min="18" max="18" width="9.28515625" style="62" bestFit="1" customWidth="1"/>
    <col min="19" max="21" width="6.42578125" style="62" customWidth="1"/>
    <col min="22" max="16384" width="9.140625" style="62"/>
  </cols>
  <sheetData>
    <row r="1" spans="1:21" ht="12" customHeight="1"/>
    <row r="2" spans="1:21" ht="12" customHeight="1"/>
    <row r="3" spans="1:21" ht="12" customHeight="1">
      <c r="C3" s="9" t="s">
        <v>0</v>
      </c>
      <c r="P3" s="3"/>
      <c r="Q3" s="3"/>
    </row>
    <row r="4" spans="1:21" ht="12" customHeight="1">
      <c r="C4" s="9" t="s">
        <v>13</v>
      </c>
      <c r="P4" s="3"/>
      <c r="Q4" s="3"/>
    </row>
    <row r="5" spans="1:21" ht="12" customHeight="1">
      <c r="C5" s="237"/>
    </row>
    <row r="6" spans="1:21" ht="15.75">
      <c r="C6" s="110" t="s">
        <v>74</v>
      </c>
      <c r="D6" s="110"/>
      <c r="E6" s="110"/>
      <c r="F6" s="110"/>
      <c r="G6" s="110"/>
      <c r="H6" s="110"/>
      <c r="I6" s="110"/>
      <c r="J6" s="110"/>
      <c r="K6" s="110"/>
      <c r="L6" s="110"/>
      <c r="M6" s="76"/>
      <c r="N6" s="75"/>
      <c r="P6" s="75"/>
      <c r="Q6" s="222"/>
    </row>
    <row r="7" spans="1:21" ht="12" customHeight="1">
      <c r="C7" s="95" t="s">
        <v>75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P7" s="69"/>
      <c r="Q7" s="230"/>
    </row>
    <row r="8" spans="1:21" ht="12" customHeight="1">
      <c r="C8" s="95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95"/>
      <c r="P8" s="69"/>
      <c r="Q8" s="95"/>
    </row>
    <row r="9" spans="1:21" ht="12" customHeight="1"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</row>
    <row r="10" spans="1:21" ht="12" customHeight="1">
      <c r="C10" s="82" t="s">
        <v>76</v>
      </c>
      <c r="D10" s="83">
        <v>2014</v>
      </c>
      <c r="E10" s="84">
        <v>2015</v>
      </c>
      <c r="F10" s="84">
        <v>2016</v>
      </c>
      <c r="G10" s="258">
        <v>2017</v>
      </c>
      <c r="H10" s="259"/>
      <c r="I10" s="260"/>
      <c r="J10" s="259"/>
      <c r="K10" s="261"/>
      <c r="L10" s="262" t="s">
        <v>133</v>
      </c>
      <c r="M10" s="69"/>
      <c r="N10" s="74"/>
      <c r="O10"/>
      <c r="P10"/>
      <c r="Q10"/>
    </row>
    <row r="11" spans="1:21" ht="24" customHeight="1">
      <c r="C11" s="85" t="s">
        <v>76</v>
      </c>
      <c r="D11" s="86" t="s">
        <v>24</v>
      </c>
      <c r="E11" s="85" t="s">
        <v>24</v>
      </c>
      <c r="F11" s="85" t="s">
        <v>24</v>
      </c>
      <c r="G11" s="86" t="s">
        <v>80</v>
      </c>
      <c r="H11" s="85" t="s">
        <v>81</v>
      </c>
      <c r="I11" s="88" t="s">
        <v>82</v>
      </c>
      <c r="J11" s="89" t="s">
        <v>83</v>
      </c>
      <c r="K11" s="90" t="s">
        <v>24</v>
      </c>
      <c r="L11" s="263"/>
      <c r="M11" s="69"/>
      <c r="N11" s="71"/>
      <c r="O11"/>
      <c r="P11"/>
      <c r="Q11"/>
    </row>
    <row r="12" spans="1:21" ht="12" customHeight="1">
      <c r="C12" s="87" t="s">
        <v>15</v>
      </c>
      <c r="D12" s="182">
        <v>393127.27299999999</v>
      </c>
      <c r="E12" s="183">
        <v>395432.00799999986</v>
      </c>
      <c r="F12" s="183">
        <v>396522.63999999996</v>
      </c>
      <c r="G12" s="182">
        <v>207978.36800000002</v>
      </c>
      <c r="H12" s="183">
        <v>206829.37800000003</v>
      </c>
      <c r="I12" s="182">
        <v>14019.584000000001</v>
      </c>
      <c r="J12" s="183">
        <v>400788.16200000007</v>
      </c>
      <c r="K12" s="184">
        <v>414807.74599999998</v>
      </c>
      <c r="L12" s="200">
        <v>4.6113649399691425</v>
      </c>
      <c r="M12" s="69"/>
      <c r="N12" s="71"/>
      <c r="O12"/>
      <c r="P12"/>
      <c r="Q12"/>
    </row>
    <row r="13" spans="1:21" ht="12" customHeight="1">
      <c r="B13" s="173"/>
      <c r="C13" s="104" t="s">
        <v>119</v>
      </c>
      <c r="D13" s="185">
        <v>820.97799999999995</v>
      </c>
      <c r="E13" s="186">
        <v>844.27</v>
      </c>
      <c r="F13" s="186">
        <v>1117.68</v>
      </c>
      <c r="G13" s="185">
        <v>634.45600000000002</v>
      </c>
      <c r="H13" s="186">
        <v>636.00900000000001</v>
      </c>
      <c r="I13" s="185">
        <v>949.95899999999995</v>
      </c>
      <c r="J13" s="186">
        <v>320.50599999999997</v>
      </c>
      <c r="K13" s="187">
        <v>1270.4650000000001</v>
      </c>
      <c r="L13" s="201">
        <v>13.669833941736464</v>
      </c>
      <c r="M13" s="69"/>
      <c r="N13" s="71"/>
      <c r="O13"/>
      <c r="P13"/>
      <c r="Q13"/>
      <c r="U13" s="70"/>
    </row>
    <row r="14" spans="1:21" ht="12" customHeight="1">
      <c r="B14" s="173"/>
      <c r="C14" s="105" t="s">
        <v>94</v>
      </c>
      <c r="D14" s="188">
        <v>1.105</v>
      </c>
      <c r="E14" s="189">
        <v>1.7689999999999999</v>
      </c>
      <c r="F14" s="189">
        <v>3.319</v>
      </c>
      <c r="G14" s="188">
        <v>0.15</v>
      </c>
      <c r="H14" s="189">
        <v>2.2410000000000001</v>
      </c>
      <c r="I14" s="188">
        <v>0</v>
      </c>
      <c r="J14" s="189">
        <v>2.391</v>
      </c>
      <c r="K14" s="190">
        <v>2.391</v>
      </c>
      <c r="L14" s="202">
        <v>-27.960228984633929</v>
      </c>
      <c r="M14" s="69"/>
      <c r="N14" s="71"/>
      <c r="O14"/>
      <c r="P14"/>
      <c r="Q14"/>
      <c r="U14" s="70"/>
    </row>
    <row r="15" spans="1:21" ht="12" customHeight="1">
      <c r="B15" s="174"/>
      <c r="C15" s="105" t="s">
        <v>101</v>
      </c>
      <c r="D15" s="188">
        <v>41352.601000000002</v>
      </c>
      <c r="E15" s="189">
        <v>41646.800999999999</v>
      </c>
      <c r="F15" s="189">
        <v>41583.466</v>
      </c>
      <c r="G15" s="188">
        <v>21507.252</v>
      </c>
      <c r="H15" s="189">
        <v>21378.713</v>
      </c>
      <c r="I15" s="188">
        <v>424.64800000000002</v>
      </c>
      <c r="J15" s="189">
        <v>42461.317000000003</v>
      </c>
      <c r="K15" s="190">
        <v>42885.964999999997</v>
      </c>
      <c r="L15" s="202">
        <v>3.1322521311715423</v>
      </c>
      <c r="M15" s="69"/>
      <c r="N15" s="71"/>
      <c r="O15"/>
      <c r="P15"/>
      <c r="Q15"/>
      <c r="U15" s="70"/>
    </row>
    <row r="16" spans="1:21" ht="12" customHeight="1">
      <c r="A16" s="173"/>
      <c r="B16" s="174"/>
      <c r="C16" s="105" t="s">
        <v>92</v>
      </c>
      <c r="D16" s="188">
        <v>30779.593000000001</v>
      </c>
      <c r="E16" s="189">
        <v>30087.237000000001</v>
      </c>
      <c r="F16" s="189">
        <v>30848.567999999999</v>
      </c>
      <c r="G16" s="188">
        <v>15321.416999999999</v>
      </c>
      <c r="H16" s="189">
        <v>15452.81</v>
      </c>
      <c r="I16" s="188">
        <v>2247.5419999999999</v>
      </c>
      <c r="J16" s="189">
        <v>28526.685000000001</v>
      </c>
      <c r="K16" s="190">
        <v>30774.226999999999</v>
      </c>
      <c r="L16" s="202">
        <v>-0.24098687498232962</v>
      </c>
      <c r="M16" s="69"/>
      <c r="N16" s="71"/>
      <c r="O16"/>
      <c r="P16"/>
      <c r="Q16"/>
      <c r="U16" s="70"/>
    </row>
    <row r="17" spans="1:21" ht="12" customHeight="1">
      <c r="A17" s="174"/>
      <c r="B17" s="173"/>
      <c r="C17" s="105" t="s">
        <v>120</v>
      </c>
      <c r="D17" s="188">
        <v>13653.775</v>
      </c>
      <c r="E17" s="189">
        <v>14164.058000000001</v>
      </c>
      <c r="F17" s="189">
        <v>14333.352000000001</v>
      </c>
      <c r="G17" s="188">
        <v>7401.6989999999996</v>
      </c>
      <c r="H17" s="189">
        <v>7448.5519999999997</v>
      </c>
      <c r="I17" s="188">
        <v>14.266999999999999</v>
      </c>
      <c r="J17" s="189">
        <v>14835.984</v>
      </c>
      <c r="K17" s="190">
        <v>14850.251</v>
      </c>
      <c r="L17" s="202">
        <v>3.6062673964889713</v>
      </c>
      <c r="M17" s="69"/>
      <c r="N17" s="71"/>
      <c r="O17"/>
      <c r="P17"/>
      <c r="Q17"/>
      <c r="U17" s="70"/>
    </row>
    <row r="18" spans="1:21" ht="12" customHeight="1">
      <c r="A18" s="173"/>
      <c r="B18" s="173"/>
      <c r="C18" s="105" t="s">
        <v>121</v>
      </c>
      <c r="D18" s="188">
        <v>2755.4349999999999</v>
      </c>
      <c r="E18" s="189">
        <v>2751.1080000000002</v>
      </c>
      <c r="F18" s="189">
        <v>2717.2040000000002</v>
      </c>
      <c r="G18" s="188">
        <v>1394.075</v>
      </c>
      <c r="H18" s="189">
        <v>1380.0650000000001</v>
      </c>
      <c r="I18" s="188">
        <v>4.79</v>
      </c>
      <c r="J18" s="189">
        <v>2769.35</v>
      </c>
      <c r="K18" s="190">
        <v>2774.1400000000003</v>
      </c>
      <c r="L18" s="202">
        <v>2.0953892309889088</v>
      </c>
      <c r="M18" s="69"/>
      <c r="N18" s="71"/>
      <c r="O18"/>
      <c r="P18"/>
      <c r="Q18"/>
      <c r="U18" s="70"/>
    </row>
    <row r="19" spans="1:21" ht="12" customHeight="1">
      <c r="A19" s="173"/>
      <c r="B19" s="174"/>
      <c r="C19" s="105" t="s">
        <v>122</v>
      </c>
      <c r="D19" s="188">
        <v>66533.426999999996</v>
      </c>
      <c r="E19" s="189">
        <v>65680.096999999994</v>
      </c>
      <c r="F19" s="189">
        <v>65248.139000000003</v>
      </c>
      <c r="G19" s="188">
        <v>35021.201999999997</v>
      </c>
      <c r="H19" s="189">
        <v>35002.027999999998</v>
      </c>
      <c r="I19" s="188">
        <v>439.483</v>
      </c>
      <c r="J19" s="189">
        <v>69583.747000000003</v>
      </c>
      <c r="K19" s="190">
        <v>70023.23</v>
      </c>
      <c r="L19" s="202">
        <v>7.3183558537968318</v>
      </c>
      <c r="M19" s="69"/>
      <c r="N19" s="71"/>
      <c r="O19"/>
      <c r="P19"/>
      <c r="Q19"/>
      <c r="U19" s="70"/>
    </row>
    <row r="20" spans="1:21" ht="12" customHeight="1">
      <c r="B20" s="173"/>
      <c r="C20" s="105" t="s">
        <v>102</v>
      </c>
      <c r="D20" s="188">
        <v>23485.95</v>
      </c>
      <c r="E20" s="189">
        <v>24522.294999999998</v>
      </c>
      <c r="F20" s="189">
        <v>26323.383000000002</v>
      </c>
      <c r="G20" s="188">
        <v>13976.186</v>
      </c>
      <c r="H20" s="189">
        <v>13923.057000000001</v>
      </c>
      <c r="I20" s="188">
        <v>3003.5770000000002</v>
      </c>
      <c r="J20" s="189">
        <v>24895.666000000001</v>
      </c>
      <c r="K20" s="190">
        <v>27899.243000000002</v>
      </c>
      <c r="L20" s="202">
        <v>5.9865405597753218</v>
      </c>
      <c r="M20" s="69"/>
      <c r="N20" s="71"/>
      <c r="O20"/>
      <c r="P20"/>
      <c r="Q20"/>
      <c r="U20" s="70"/>
    </row>
    <row r="21" spans="1:21" ht="12" customHeight="1">
      <c r="B21" s="173"/>
      <c r="C21" s="105" t="s">
        <v>103</v>
      </c>
      <c r="D21" s="188">
        <v>26637.732</v>
      </c>
      <c r="E21" s="189">
        <v>26132.648000000001</v>
      </c>
      <c r="F21" s="189">
        <v>24514.293000000001</v>
      </c>
      <c r="G21" s="188">
        <v>12640.6</v>
      </c>
      <c r="H21" s="189">
        <v>12452.674999999999</v>
      </c>
      <c r="I21" s="188">
        <v>716.73299999999995</v>
      </c>
      <c r="J21" s="189">
        <v>24376.542000000001</v>
      </c>
      <c r="K21" s="190">
        <v>25093.275000000001</v>
      </c>
      <c r="L21" s="202">
        <v>2.3618139833769591</v>
      </c>
      <c r="M21" s="69"/>
      <c r="N21" s="71"/>
      <c r="O21"/>
      <c r="P21"/>
      <c r="Q21"/>
      <c r="U21" s="70"/>
    </row>
    <row r="22" spans="1:21" ht="12" customHeight="1">
      <c r="B22" s="175"/>
      <c r="C22" s="105" t="s">
        <v>93</v>
      </c>
      <c r="D22" s="188">
        <v>23523.091</v>
      </c>
      <c r="E22" s="189">
        <v>27271.251</v>
      </c>
      <c r="F22" s="189">
        <v>29660.755000000001</v>
      </c>
      <c r="G22" s="188">
        <v>15975.539000000001</v>
      </c>
      <c r="H22" s="189">
        <v>15351.342000000001</v>
      </c>
      <c r="I22" s="188">
        <v>75.561000000000007</v>
      </c>
      <c r="J22" s="189">
        <v>31251.32</v>
      </c>
      <c r="K22" s="190">
        <v>31326.881000000001</v>
      </c>
      <c r="L22" s="202">
        <v>5.6172744085577042</v>
      </c>
      <c r="M22" s="69"/>
      <c r="N22" s="71"/>
      <c r="O22"/>
      <c r="P22"/>
      <c r="Q22"/>
      <c r="U22" s="70"/>
    </row>
    <row r="23" spans="1:21" ht="12" customHeight="1">
      <c r="B23" s="173"/>
      <c r="C23" s="105" t="s">
        <v>123</v>
      </c>
      <c r="D23" s="188">
        <v>72224.505000000005</v>
      </c>
      <c r="E23" s="189">
        <v>70267.73</v>
      </c>
      <c r="F23" s="189">
        <v>67273.001000000004</v>
      </c>
      <c r="G23" s="188">
        <v>36934.946000000004</v>
      </c>
      <c r="H23" s="189">
        <v>36941.148999999998</v>
      </c>
      <c r="I23" s="188">
        <v>3746.6529999999998</v>
      </c>
      <c r="J23" s="189">
        <v>70129.441999999995</v>
      </c>
      <c r="K23" s="190">
        <v>73876.095000000001</v>
      </c>
      <c r="L23" s="202">
        <v>9.815370062055063</v>
      </c>
      <c r="M23" s="69"/>
      <c r="N23" s="71"/>
      <c r="O23"/>
      <c r="P23"/>
      <c r="Q23"/>
      <c r="U23" s="70"/>
    </row>
    <row r="24" spans="1:21" ht="12" customHeight="1">
      <c r="B24" s="173"/>
      <c r="C24" s="105" t="s">
        <v>124</v>
      </c>
      <c r="D24" s="188">
        <v>76.302000000000007</v>
      </c>
      <c r="E24" s="189">
        <v>67.882000000000005</v>
      </c>
      <c r="F24" s="189">
        <v>58.667000000000002</v>
      </c>
      <c r="G24" s="188">
        <v>46.292999999999999</v>
      </c>
      <c r="H24" s="189">
        <v>25.771999999999998</v>
      </c>
      <c r="I24" s="188">
        <v>21.241</v>
      </c>
      <c r="J24" s="189">
        <v>50.823999999999998</v>
      </c>
      <c r="K24" s="190">
        <v>72.064999999999998</v>
      </c>
      <c r="L24" s="202">
        <v>22.837370242214526</v>
      </c>
      <c r="M24" s="69"/>
      <c r="N24" s="71"/>
      <c r="O24"/>
      <c r="P24"/>
      <c r="Q24"/>
      <c r="U24" s="70"/>
    </row>
    <row r="25" spans="1:21" ht="12" customHeight="1">
      <c r="B25" s="173"/>
      <c r="C25" s="105" t="s">
        <v>104</v>
      </c>
      <c r="D25" s="188">
        <v>861.85400000000004</v>
      </c>
      <c r="E25" s="189">
        <v>660.52700000000004</v>
      </c>
      <c r="F25" s="189">
        <v>723.11400000000003</v>
      </c>
      <c r="G25" s="188">
        <v>486.57100000000003</v>
      </c>
      <c r="H25" s="189">
        <v>507.43</v>
      </c>
      <c r="I25" s="188">
        <v>0</v>
      </c>
      <c r="J25" s="189">
        <v>994.00099999999998</v>
      </c>
      <c r="K25" s="190">
        <v>994.00099999999998</v>
      </c>
      <c r="L25" s="202">
        <v>37.461174863161276</v>
      </c>
      <c r="M25" s="69"/>
      <c r="N25" s="71"/>
      <c r="O25"/>
      <c r="P25"/>
      <c r="Q25"/>
      <c r="U25" s="70"/>
    </row>
    <row r="26" spans="1:21" ht="12" customHeight="1">
      <c r="B26" s="173"/>
      <c r="C26" s="105" t="s">
        <v>88</v>
      </c>
      <c r="D26" s="188">
        <v>280.488</v>
      </c>
      <c r="E26" s="189">
        <v>285.89499999999998</v>
      </c>
      <c r="F26" s="189">
        <v>302.74700000000001</v>
      </c>
      <c r="G26" s="188">
        <v>141.27699999999999</v>
      </c>
      <c r="H26" s="189">
        <v>156.05099999999999</v>
      </c>
      <c r="I26" s="188">
        <v>0</v>
      </c>
      <c r="J26" s="189">
        <v>297.32799999999997</v>
      </c>
      <c r="K26" s="190">
        <v>297.32799999999997</v>
      </c>
      <c r="L26" s="202">
        <v>-1.7899434181015916</v>
      </c>
      <c r="M26" s="69"/>
      <c r="N26" s="71"/>
      <c r="O26"/>
      <c r="P26"/>
      <c r="Q26"/>
      <c r="U26" s="70"/>
    </row>
    <row r="27" spans="1:21" ht="12" customHeight="1">
      <c r="B27" s="173"/>
      <c r="C27" s="105" t="s">
        <v>18</v>
      </c>
      <c r="D27" s="188">
        <v>9668.875</v>
      </c>
      <c r="E27" s="189">
        <v>9910.0239999999994</v>
      </c>
      <c r="F27" s="189">
        <v>10690.333000000001</v>
      </c>
      <c r="G27" s="188">
        <v>5643.46</v>
      </c>
      <c r="H27" s="189">
        <v>5642.1379999999999</v>
      </c>
      <c r="I27" s="188">
        <v>211.01900000000001</v>
      </c>
      <c r="J27" s="189">
        <v>11074.579</v>
      </c>
      <c r="K27" s="190">
        <v>11285.598</v>
      </c>
      <c r="L27" s="202">
        <v>5.5682549832638539</v>
      </c>
      <c r="M27" s="69"/>
      <c r="N27" s="71"/>
      <c r="O27"/>
      <c r="P27"/>
      <c r="Q27"/>
      <c r="U27" s="70"/>
    </row>
    <row r="28" spans="1:21" ht="12" customHeight="1">
      <c r="B28" s="174"/>
      <c r="C28" s="105" t="s">
        <v>91</v>
      </c>
      <c r="D28" s="188">
        <v>1819.069</v>
      </c>
      <c r="E28" s="189">
        <v>1910.143</v>
      </c>
      <c r="F28" s="189">
        <v>1905.675</v>
      </c>
      <c r="G28" s="188">
        <v>963.14300000000003</v>
      </c>
      <c r="H28" s="189">
        <v>964.72400000000005</v>
      </c>
      <c r="I28" s="188">
        <v>0</v>
      </c>
      <c r="J28" s="189">
        <v>1927.867</v>
      </c>
      <c r="K28" s="190">
        <v>1927.8670000000002</v>
      </c>
      <c r="L28" s="202">
        <v>1.164521757382575</v>
      </c>
      <c r="M28" s="69"/>
      <c r="N28" s="71"/>
      <c r="O28"/>
      <c r="P28"/>
      <c r="Q28"/>
      <c r="U28" s="70"/>
    </row>
    <row r="29" spans="1:21" ht="12" customHeight="1">
      <c r="B29" s="173"/>
      <c r="C29" s="105" t="s">
        <v>109</v>
      </c>
      <c r="D29" s="188">
        <v>2224.0720000000001</v>
      </c>
      <c r="E29" s="189">
        <v>2421.2669999999998</v>
      </c>
      <c r="F29" s="189">
        <v>2601.7069999999999</v>
      </c>
      <c r="G29" s="188">
        <v>1291.6099999999999</v>
      </c>
      <c r="H29" s="189">
        <v>1293.1590000000001</v>
      </c>
      <c r="I29" s="188">
        <v>3.7999999999999999E-2</v>
      </c>
      <c r="J29" s="189">
        <v>2584.7310000000002</v>
      </c>
      <c r="K29" s="190">
        <v>2584.7690000000002</v>
      </c>
      <c r="L29" s="202">
        <v>-0.65103410952884744</v>
      </c>
      <c r="M29" s="69"/>
      <c r="N29" s="71"/>
      <c r="O29"/>
      <c r="P29"/>
      <c r="Q29"/>
      <c r="U29" s="70"/>
    </row>
    <row r="30" spans="1:21" ht="12" customHeight="1">
      <c r="B30" s="173"/>
      <c r="C30" s="105" t="s">
        <v>19</v>
      </c>
      <c r="D30" s="188">
        <v>550.67499999999995</v>
      </c>
      <c r="E30" s="189">
        <v>582.60199999999998</v>
      </c>
      <c r="F30" s="189">
        <v>679.02800000000002</v>
      </c>
      <c r="G30" s="188">
        <v>369.44200000000001</v>
      </c>
      <c r="H30" s="189">
        <v>370.74299999999999</v>
      </c>
      <c r="I30" s="188">
        <v>63.476999999999997</v>
      </c>
      <c r="J30" s="189">
        <v>676.70799999999997</v>
      </c>
      <c r="K30" s="190">
        <v>740.18499999999995</v>
      </c>
      <c r="L30" s="202">
        <v>9.0065505398893677</v>
      </c>
      <c r="M30" s="69"/>
      <c r="N30" s="71"/>
      <c r="O30"/>
      <c r="P30"/>
      <c r="Q30"/>
      <c r="U30" s="70"/>
    </row>
    <row r="31" spans="1:21" ht="12" customHeight="1">
      <c r="B31" s="173"/>
      <c r="C31" s="105" t="s">
        <v>128</v>
      </c>
      <c r="D31" s="188">
        <v>0.58899999999999997</v>
      </c>
      <c r="E31" s="189">
        <v>0.68200000000000005</v>
      </c>
      <c r="F31" s="189">
        <v>8.0000000000000002E-3</v>
      </c>
      <c r="G31" s="188">
        <v>7.0000000000000001E-3</v>
      </c>
      <c r="H31" s="189">
        <v>3.0000000000000001E-3</v>
      </c>
      <c r="I31" s="188">
        <v>0.01</v>
      </c>
      <c r="J31" s="189">
        <v>0</v>
      </c>
      <c r="K31" s="190">
        <v>0.01</v>
      </c>
      <c r="L31" s="202">
        <v>25</v>
      </c>
      <c r="M31" s="69"/>
      <c r="N31" s="71"/>
      <c r="O31"/>
      <c r="P31"/>
      <c r="Q31"/>
      <c r="U31" s="70"/>
    </row>
    <row r="32" spans="1:21" ht="12" customHeight="1">
      <c r="B32" s="173"/>
      <c r="C32" s="105" t="s">
        <v>129</v>
      </c>
      <c r="D32" s="188">
        <v>26.908999999999999</v>
      </c>
      <c r="E32" s="189">
        <v>33.835000000000001</v>
      </c>
      <c r="F32" s="189">
        <v>28.443000000000001</v>
      </c>
      <c r="G32" s="188">
        <v>18.529</v>
      </c>
      <c r="H32" s="189">
        <v>19.286999999999999</v>
      </c>
      <c r="I32" s="188">
        <v>0</v>
      </c>
      <c r="J32" s="189">
        <v>37.816000000000003</v>
      </c>
      <c r="K32" s="190">
        <v>37.816000000000003</v>
      </c>
      <c r="L32" s="202">
        <v>32.9536265513483</v>
      </c>
      <c r="M32" s="69"/>
      <c r="N32" s="71"/>
      <c r="O32"/>
      <c r="P32"/>
      <c r="Q32"/>
      <c r="U32" s="70"/>
    </row>
    <row r="33" spans="2:21" ht="12" customHeight="1">
      <c r="B33" s="173"/>
      <c r="C33" s="105" t="s">
        <v>97</v>
      </c>
      <c r="D33" s="188">
        <v>18470.737000000001</v>
      </c>
      <c r="E33" s="189">
        <v>18884.331999999999</v>
      </c>
      <c r="F33" s="189">
        <v>19222.343000000001</v>
      </c>
      <c r="G33" s="188">
        <v>9799.6229999999996</v>
      </c>
      <c r="H33" s="189">
        <v>9689.0560000000005</v>
      </c>
      <c r="I33" s="188">
        <v>7.25</v>
      </c>
      <c r="J33" s="189">
        <v>19481.429</v>
      </c>
      <c r="K33" s="190">
        <v>19488.679</v>
      </c>
      <c r="L33" s="202">
        <v>1.3855543000143022</v>
      </c>
      <c r="M33" s="69"/>
      <c r="N33" s="71"/>
      <c r="O33"/>
      <c r="P33"/>
      <c r="Q33"/>
      <c r="U33" s="70"/>
    </row>
    <row r="34" spans="2:21" ht="12" customHeight="1">
      <c r="B34" s="173"/>
      <c r="C34" s="105" t="s">
        <v>95</v>
      </c>
      <c r="D34" s="188">
        <v>29244.292000000001</v>
      </c>
      <c r="E34" s="189">
        <v>29500.335999999999</v>
      </c>
      <c r="F34" s="189">
        <v>29800.328000000001</v>
      </c>
      <c r="G34" s="188">
        <v>15384.040999999999</v>
      </c>
      <c r="H34" s="189">
        <v>14881.415000000001</v>
      </c>
      <c r="I34" s="188">
        <v>174.68799999999999</v>
      </c>
      <c r="J34" s="189">
        <v>30090.768</v>
      </c>
      <c r="K34" s="190">
        <v>30265.455999999998</v>
      </c>
      <c r="L34" s="202">
        <v>1.5608150353244366</v>
      </c>
      <c r="M34" s="69"/>
      <c r="N34" s="71"/>
      <c r="O34"/>
      <c r="P34"/>
      <c r="Q34"/>
      <c r="U34" s="70"/>
    </row>
    <row r="35" spans="2:21" ht="12" customHeight="1">
      <c r="B35" s="173"/>
      <c r="C35" s="106" t="s">
        <v>131</v>
      </c>
      <c r="D35" s="191">
        <v>28135.219000000001</v>
      </c>
      <c r="E35" s="192">
        <v>27805.219000000001</v>
      </c>
      <c r="F35" s="192">
        <v>26887.087</v>
      </c>
      <c r="G35" s="191">
        <v>13026.85</v>
      </c>
      <c r="H35" s="192">
        <v>13310.959000000001</v>
      </c>
      <c r="I35" s="191">
        <v>1918.6479999999999</v>
      </c>
      <c r="J35" s="192">
        <v>24419.161</v>
      </c>
      <c r="K35" s="193">
        <v>26337.809000000001</v>
      </c>
      <c r="L35" s="203">
        <v>-2.0429063215364307</v>
      </c>
      <c r="M35" s="69"/>
      <c r="N35" s="71"/>
      <c r="O35"/>
      <c r="P35"/>
      <c r="Q35"/>
      <c r="U35" s="70"/>
    </row>
    <row r="36" spans="2:21" ht="12" customHeight="1">
      <c r="C36" s="107" t="s">
        <v>115</v>
      </c>
      <c r="D36" s="194">
        <v>723.37400000000002</v>
      </c>
      <c r="E36" s="195">
        <v>736.78800000000001</v>
      </c>
      <c r="F36" s="195">
        <v>544.38099999999997</v>
      </c>
      <c r="G36" s="194">
        <v>458.84</v>
      </c>
      <c r="H36" s="195">
        <v>457.95100000000002</v>
      </c>
      <c r="I36" s="194">
        <v>0</v>
      </c>
      <c r="J36" s="195">
        <v>916.79100000000005</v>
      </c>
      <c r="K36" s="196">
        <v>916.79099999999994</v>
      </c>
      <c r="L36" s="204">
        <v>68.409808571570281</v>
      </c>
      <c r="M36" s="69"/>
      <c r="N36" s="71"/>
      <c r="O36"/>
      <c r="P36"/>
      <c r="Q36"/>
    </row>
    <row r="37" spans="2:21" ht="12" customHeight="1">
      <c r="C37" s="108" t="s">
        <v>140</v>
      </c>
      <c r="D37" s="191">
        <v>6103.4970000000003</v>
      </c>
      <c r="E37" s="192">
        <v>6713.5919999999996</v>
      </c>
      <c r="F37" s="192">
        <v>6265.5020000000004</v>
      </c>
      <c r="G37" s="191">
        <v>3078.8620000000001</v>
      </c>
      <c r="H37" s="192">
        <v>3273.3620000000001</v>
      </c>
      <c r="I37" s="191">
        <v>109.179</v>
      </c>
      <c r="J37" s="192">
        <v>6243.0450000000001</v>
      </c>
      <c r="K37" s="193">
        <v>6352.2240000000002</v>
      </c>
      <c r="L37" s="203">
        <v>1.3841189421055056</v>
      </c>
      <c r="M37" s="69"/>
      <c r="N37" s="71"/>
      <c r="O37"/>
      <c r="P37"/>
      <c r="Q37"/>
    </row>
    <row r="38" spans="2:21" ht="12" customHeight="1">
      <c r="C38" s="107" t="s">
        <v>77</v>
      </c>
      <c r="D38" s="194">
        <v>107.81399999999999</v>
      </c>
      <c r="E38" s="195">
        <v>98.974000000000004</v>
      </c>
      <c r="F38" s="195">
        <v>110.127</v>
      </c>
      <c r="G38" s="194">
        <v>61.98</v>
      </c>
      <c r="H38" s="195">
        <v>56.555</v>
      </c>
      <c r="I38" s="194">
        <v>0</v>
      </c>
      <c r="J38" s="195">
        <v>118.535</v>
      </c>
      <c r="K38" s="196">
        <v>118.535</v>
      </c>
      <c r="L38" s="204">
        <v>7.6348216150444514</v>
      </c>
      <c r="M38" s="69"/>
      <c r="N38" s="71"/>
      <c r="O38"/>
      <c r="P38"/>
      <c r="Q38"/>
    </row>
    <row r="39" spans="2:21" ht="12" customHeight="1">
      <c r="C39" s="109" t="s">
        <v>118</v>
      </c>
      <c r="D39" s="197">
        <v>2149.9960000000001</v>
      </c>
      <c r="E39" s="198">
        <v>2232.5219999999999</v>
      </c>
      <c r="F39" s="198">
        <v>1250.145</v>
      </c>
      <c r="G39" s="197">
        <v>683.35</v>
      </c>
      <c r="H39" s="198">
        <v>693.93899999999996</v>
      </c>
      <c r="I39" s="197">
        <v>118.23699999999999</v>
      </c>
      <c r="J39" s="198">
        <v>1259.0519999999999</v>
      </c>
      <c r="K39" s="199">
        <v>1377.289</v>
      </c>
      <c r="L39" s="205">
        <v>10.170340240532095</v>
      </c>
      <c r="M39" s="69"/>
      <c r="N39" s="71"/>
      <c r="O39"/>
      <c r="P39"/>
      <c r="Q39"/>
    </row>
    <row r="40" spans="2:21" ht="12" customHeight="1">
      <c r="C40" s="73"/>
      <c r="D40" s="69"/>
      <c r="E40" s="69"/>
      <c r="F40" s="69"/>
      <c r="G40" s="69"/>
      <c r="H40" s="69"/>
      <c r="I40" s="69"/>
      <c r="J40" s="69"/>
      <c r="K40" s="69"/>
      <c r="L40" s="72"/>
      <c r="M40" s="69"/>
      <c r="N40" s="71"/>
      <c r="O40" s="73"/>
      <c r="P40" s="71"/>
      <c r="Q40" s="73"/>
    </row>
    <row r="41" spans="2:21" ht="12" customHeight="1">
      <c r="C41" s="245" t="s">
        <v>87</v>
      </c>
      <c r="D41" s="172"/>
      <c r="E41" s="172"/>
      <c r="F41" s="172"/>
      <c r="G41" s="172"/>
      <c r="H41" s="176"/>
      <c r="I41" s="176"/>
      <c r="J41" s="176"/>
      <c r="K41" s="176"/>
      <c r="L41" s="176"/>
      <c r="M41" s="69"/>
      <c r="N41" s="71"/>
      <c r="O41" s="225"/>
      <c r="P41" s="226"/>
      <c r="Q41" s="225"/>
    </row>
    <row r="42" spans="2:21" ht="12" customHeight="1">
      <c r="C42" s="224" t="s">
        <v>78</v>
      </c>
      <c r="D42" s="224"/>
      <c r="E42" s="224"/>
      <c r="F42" s="224"/>
      <c r="G42" s="224"/>
      <c r="H42" s="224"/>
      <c r="I42" s="224"/>
      <c r="J42" s="224"/>
      <c r="K42" s="224"/>
      <c r="L42" s="224"/>
      <c r="M42" s="69"/>
      <c r="O42" s="227"/>
      <c r="P42" s="228"/>
      <c r="Q42" s="227"/>
    </row>
    <row r="43" spans="2:21" ht="12" customHeight="1">
      <c r="C43" s="176" t="s">
        <v>79</v>
      </c>
      <c r="D43" s="176"/>
      <c r="E43" s="176"/>
      <c r="F43" s="176"/>
      <c r="G43" s="177"/>
      <c r="H43" s="177"/>
      <c r="I43" s="178"/>
      <c r="J43" s="179"/>
      <c r="K43" s="179"/>
      <c r="L43" s="180"/>
      <c r="M43" s="69"/>
      <c r="O43" s="229"/>
      <c r="P43" s="228"/>
      <c r="Q43" s="229"/>
      <c r="R43" s="64"/>
    </row>
    <row r="44" spans="2:21" ht="12" customHeight="1">
      <c r="C44" s="246" t="s">
        <v>132</v>
      </c>
      <c r="D44" s="176"/>
      <c r="E44" s="176"/>
      <c r="F44" s="176"/>
      <c r="G44" s="176"/>
      <c r="H44" s="176"/>
      <c r="I44" s="176"/>
      <c r="J44" s="176"/>
      <c r="K44" s="176"/>
      <c r="L44" s="176"/>
      <c r="O44" s="181"/>
      <c r="Q44" s="181"/>
    </row>
    <row r="45" spans="2:21" ht="12" customHeight="1"/>
    <row r="46" spans="2:21" ht="12" customHeight="1"/>
    <row r="47" spans="2:21" ht="12" customHeight="1"/>
  </sheetData>
  <mergeCells count="2">
    <mergeCell ref="G10:K10"/>
    <mergeCell ref="L10:L11"/>
  </mergeCells>
  <pageMargins left="0.44431372549019615" right="0.44431372549019615" top="0.44431372549019615" bottom="0.44431372549019615" header="0.50980392156862753" footer="0.5098039215686275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2</vt:i4>
      </vt:variant>
    </vt:vector>
  </HeadingPairs>
  <TitlesOfParts>
    <vt:vector size="10" baseType="lpstr">
      <vt:lpstr>Abbildung 1</vt:lpstr>
      <vt:lpstr>Tabelle 1</vt:lpstr>
      <vt:lpstr>Abbildung 2</vt:lpstr>
      <vt:lpstr>Abbildung 3</vt:lpstr>
      <vt:lpstr>Abbildung 4</vt:lpstr>
      <vt:lpstr>Karte 1</vt:lpstr>
      <vt:lpstr>Abbildung 5</vt:lpstr>
      <vt:lpstr>Tabelle 2</vt:lpstr>
      <vt:lpstr>'Abbildung 5'!Druckbereich</vt:lpstr>
      <vt:lpstr>'Tabelle 2'!Druckbereich</vt:lpstr>
    </vt:vector>
  </TitlesOfParts>
  <Company>INFORMA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</dc:creator>
  <cp:lastModifiedBy>Breuning, Larissa</cp:lastModifiedBy>
  <cp:lastPrinted>2011-11-17T15:06:01Z</cp:lastPrinted>
  <dcterms:created xsi:type="dcterms:W3CDTF">2006-08-21T13:09:34Z</dcterms:created>
  <dcterms:modified xsi:type="dcterms:W3CDTF">2020-11-16T10:12:39Z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