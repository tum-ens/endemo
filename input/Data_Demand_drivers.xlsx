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epish\PycharmProjects\endemo_git\pythonProject\endemo\input\"/>
    </mc:Choice>
  </mc:AlternateContent>
  <xr:revisionPtr revIDLastSave="0" documentId="13_ncr:1_{040450BF-5D52-4F39-A58E-F9AEB9DAA31E}" xr6:coauthVersionLast="47" xr6:coauthVersionMax="47" xr10:uidLastSave="{00000000-0000-0000-0000-000000000000}"/>
  <bookViews>
    <workbookView xWindow="-108" yWindow="-108" windowWidth="23256" windowHeight="12456" xr2:uid="{00000000-000D-0000-FFFF-FFFF00000000}"/>
  </bookViews>
  <sheets>
    <sheet name="Data" sheetId="2" r:id="rId1"/>
    <sheet name="info"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5" i="2" l="1"/>
  <c r="BP5" i="2" s="1"/>
  <c r="BQ5" i="2" s="1"/>
  <c r="BR5" i="2" s="1"/>
  <c r="BS5" i="2" s="1"/>
  <c r="BT5" i="2" s="1"/>
  <c r="BU5" i="2" s="1"/>
  <c r="BV5" i="2" s="1"/>
  <c r="BW5" i="2" s="1"/>
  <c r="BX5" i="2" s="1"/>
  <c r="BY5" i="2" s="1"/>
  <c r="BZ5" i="2" s="1"/>
  <c r="CA5" i="2" s="1"/>
  <c r="CB5" i="2" s="1"/>
  <c r="CC5" i="2" s="1"/>
  <c r="CD5" i="2" s="1"/>
  <c r="CE5" i="2" s="1"/>
  <c r="CF5" i="2" s="1"/>
  <c r="CG5" i="2" s="1"/>
  <c r="CH5" i="2" s="1"/>
  <c r="CI5" i="2" s="1"/>
  <c r="CJ5" i="2" s="1"/>
  <c r="CK5" i="2" s="1"/>
  <c r="CL5" i="2" s="1"/>
  <c r="CM5" i="2" s="1"/>
  <c r="CN5" i="2" s="1"/>
  <c r="CO5" i="2" s="1"/>
  <c r="CP5" i="2" s="1"/>
  <c r="CQ5" i="2" s="1"/>
  <c r="CR5" i="2" s="1"/>
  <c r="BQ4" i="2"/>
  <c r="BR4" i="2" s="1"/>
  <c r="BS4" i="2" s="1"/>
  <c r="BT4" i="2" s="1"/>
  <c r="BU4" i="2" s="1"/>
  <c r="BV4" i="2" s="1"/>
  <c r="BW4" i="2" s="1"/>
  <c r="BX4" i="2" s="1"/>
  <c r="BY4" i="2" s="1"/>
  <c r="BZ4" i="2" s="1"/>
  <c r="CA4" i="2" s="1"/>
  <c r="CB4" i="2" s="1"/>
  <c r="CC4" i="2" s="1"/>
  <c r="CD4" i="2" s="1"/>
  <c r="CE4" i="2" s="1"/>
  <c r="CF4" i="2" s="1"/>
  <c r="CG4" i="2" s="1"/>
  <c r="CH4" i="2" s="1"/>
  <c r="CI4" i="2" s="1"/>
  <c r="CJ4" i="2" s="1"/>
  <c r="CK4" i="2" s="1"/>
  <c r="CL4" i="2" s="1"/>
  <c r="CM4" i="2" s="1"/>
  <c r="CN4" i="2" s="1"/>
  <c r="CO4" i="2" s="1"/>
  <c r="CP4" i="2" s="1"/>
  <c r="CQ4" i="2" s="1"/>
  <c r="CR4" i="2" s="1"/>
  <c r="CS4" i="2" s="1"/>
  <c r="CT4" i="2" s="1"/>
  <c r="CU4" i="2" s="1"/>
  <c r="CV4" i="2" s="1"/>
  <c r="CW4" i="2" s="1"/>
  <c r="CX4" i="2" s="1"/>
  <c r="CY4" i="2" s="1"/>
  <c r="CZ4" i="2" s="1"/>
  <c r="DA4" i="2" s="1"/>
  <c r="DB4" i="2" s="1"/>
  <c r="DC4" i="2" s="1"/>
  <c r="DD4" i="2" s="1"/>
  <c r="DE4" i="2" s="1"/>
  <c r="DF4" i="2" s="1"/>
  <c r="DG4" i="2" s="1"/>
  <c r="DH4" i="2" s="1"/>
  <c r="DI4" i="2" s="1"/>
  <c r="DJ4" i="2" s="1"/>
  <c r="DK4" i="2" s="1"/>
  <c r="DL4" i="2" s="1"/>
  <c r="DM4" i="2" s="1"/>
  <c r="DN4" i="2" s="1"/>
  <c r="DO4" i="2" s="1"/>
  <c r="DP4" i="2" s="1"/>
  <c r="DQ4" i="2" s="1"/>
  <c r="DR4" i="2" s="1"/>
  <c r="DS4" i="2" s="1"/>
  <c r="DT4" i="2" s="1"/>
  <c r="DU4" i="2" s="1"/>
  <c r="DV4" i="2" s="1"/>
  <c r="DW4" i="2" s="1"/>
  <c r="DX4" i="2" s="1"/>
  <c r="DY4" i="2" s="1"/>
  <c r="DZ4" i="2" s="1"/>
  <c r="EA4" i="2" s="1"/>
  <c r="EB4" i="2" s="1"/>
  <c r="EC4" i="2" s="1"/>
  <c r="ED4" i="2" s="1"/>
  <c r="EE4" i="2" s="1"/>
  <c r="EF4" i="2" s="1"/>
  <c r="EG4" i="2" s="1"/>
  <c r="EH4" i="2" s="1"/>
  <c r="EI4" i="2" s="1"/>
  <c r="EJ4" i="2" s="1"/>
  <c r="EK4" i="2" s="1"/>
  <c r="EL4" i="2" s="1"/>
  <c r="EM4" i="2" s="1"/>
  <c r="EN4" i="2" s="1"/>
  <c r="EO4" i="2" s="1"/>
  <c r="EP4" i="2" s="1"/>
  <c r="BP3" i="2"/>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BT2" i="2"/>
  <c r="BU2" i="2" s="1"/>
  <c r="BV2" i="2" s="1"/>
  <c r="BW2" i="2" s="1"/>
  <c r="BX2" i="2" s="1"/>
  <c r="BY2" i="2" s="1"/>
  <c r="BZ2" i="2" s="1"/>
  <c r="CA2" i="2" s="1"/>
  <c r="CB2" i="2" s="1"/>
  <c r="CC2" i="2" s="1"/>
  <c r="CD2" i="2" s="1"/>
  <c r="CE2" i="2" s="1"/>
  <c r="CF2" i="2" s="1"/>
  <c r="CG2" i="2" s="1"/>
  <c r="CH2" i="2" s="1"/>
  <c r="CI2" i="2" s="1"/>
  <c r="CJ2" i="2" s="1"/>
  <c r="CK2" i="2" s="1"/>
  <c r="CL2" i="2" s="1"/>
  <c r="CM2" i="2" s="1"/>
  <c r="CN2" i="2" s="1"/>
  <c r="CO2" i="2" s="1"/>
  <c r="CP2" i="2" s="1"/>
  <c r="CQ2" i="2" s="1"/>
  <c r="CR2" i="2" s="1"/>
  <c r="CS2" i="2" s="1"/>
  <c r="CT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ED2" i="2" s="1"/>
  <c r="EE2" i="2" s="1"/>
  <c r="EF2" i="2" s="1"/>
  <c r="EG2" i="2" s="1"/>
  <c r="EH2" i="2" s="1"/>
  <c r="EI2" i="2" s="1"/>
  <c r="EJ2" i="2" s="1"/>
  <c r="EK2" i="2" s="1"/>
  <c r="EL2" i="2" s="1"/>
  <c r="EM2" i="2" s="1"/>
  <c r="EN2" i="2" s="1"/>
  <c r="EO2" i="2" s="1"/>
  <c r="EP2" i="2" s="1"/>
  <c r="BN2" i="2"/>
  <c r="BO2" i="2" s="1"/>
  <c r="BP2" i="2" s="1"/>
  <c r="BQ2" i="2" s="1"/>
  <c r="BR2" i="2" s="1"/>
  <c r="BS2" i="2" s="1"/>
</calcChain>
</file>

<file path=xl/sharedStrings.xml><?xml version="1.0" encoding="utf-8"?>
<sst xmlns="http://schemas.openxmlformats.org/spreadsheetml/2006/main" count="222" uniqueCount="214">
  <si>
    <t>Region</t>
  </si>
  <si>
    <t>Variable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</si>
  <si>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</si>
  <si>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</si>
  <si>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</si>
  <si>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</si>
  <si>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</si>
  <si>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</si>
  <si>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</si>
  <si>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</si>
  <si>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</si>
  <si>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</si>
  <si>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</si>
  <si>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</si>
  <si>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</si>
  <si>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</si>
  <si>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</si>
  <si>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</si>
  <si>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</si>
  <si>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</si>
  <si>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</si>
  <si>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</si>
  <si>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</si>
  <si>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</si>
  <si>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</si>
  <si>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</si>
  <si>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</si>
  <si>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</si>
  <si>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</si>
  <si>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</si>
  <si>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</si>
  <si>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</si>
  <si>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</si>
  <si>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</si>
  <si>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</si>
  <si>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</si>
  <si>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</si>
  <si>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</si>
  <si>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</si>
  <si>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</si>
  <si>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</si>
  <si>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</si>
  <si>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</si>
  <si>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</si>
  <si>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</si>
  <si>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</si>
  <si>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</si>
  <si>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</si>
  <si>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</si>
  <si>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</si>
  <si>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</si>
  <si>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</si>
  <si>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</si>
  <si>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</si>
  <si>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</si>
  <si>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</si>
  <si>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</si>
  <si>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</si>
  <si>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</si>
  <si>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</si>
  <si>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</si>
  <si>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</si>
  <si>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</si>
  <si>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</si>
  <si>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</si>
  <si>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</si>
  <si>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</si>
  <si>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</si>
  <si>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</si>
  <si>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</si>
  <si>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</si>
  <si>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</si>
  <si>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</si>
  <si>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</si>
  <si>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</si>
  <si>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</si>
  <si>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</si>
  <si>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</si>
  <si>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</si>
  <si>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</si>
  <si>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</si>
  <si>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</si>
  <si>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</si>
  <si>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</si>
  <si>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</si>
  <si>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</si>
  <si>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</si>
  <si>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</si>
  <si>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</si>
  <si>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</si>
  <si>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</si>
  <si>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</si>
  <si>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</si>
  <si>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</si>
  <si>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</si>
  <si>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</si>
  <si>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</si>
  <si>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</si>
  <si>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</si>
  <si>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</si>
  <si>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</si>
  <si>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</si>
  <si>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</si>
  <si>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</si>
  <si>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</si>
  <si>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</si>
  <si>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</si>
  <si>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</si>
  <si>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</si>
  <si>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</si>
  <si>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</si>
  <si>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</si>
  <si>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</si>
  <si>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</si>
  <si>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</si>
  <si>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</si>
  <si>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</si>
  <si>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</si>
  <si>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</si>
  <si>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</si>
  <si>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</si>
  <si>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</si>
  <si>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</si>
  <si>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</si>
  <si>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</si>
  <si>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</si>
  <si>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</si>
  <si>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</si>
  <si>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</si>
  <si>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</si>
  <si>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</si>
  <si>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</si>
  <si>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</si>
  <si>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</si>
  <si>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</si>
  <si>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</si>
  <si>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</si>
  <si>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</si>
  <si>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</si>
  <si>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</si>
  <si>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</si>
  <si>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</si>
  <si>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</si>
  <si>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ELEC_PR</t>
  </si>
  <si>
    <t>Germany</t>
  </si>
  <si>
    <t>GDP</t>
  </si>
  <si>
    <t>POP</t>
  </si>
  <si>
    <t>Europe</t>
  </si>
  <si>
    <t>SIZE_HH</t>
  </si>
  <si>
    <t>Unit</t>
  </si>
  <si>
    <t>Price of electricity (US cents per kWh) (DB16-20 methodology)</t>
  </si>
  <si>
    <t>GDP per capita (constant 2015 US$)</t>
  </si>
  <si>
    <t>Person</t>
  </si>
  <si>
    <t>PersPerHoushold</t>
  </si>
  <si>
    <t>DEU</t>
  </si>
  <si>
    <t>Abbreviation</t>
  </si>
  <si>
    <t>Top-Region</t>
  </si>
  <si>
    <t>Description:</t>
  </si>
  <si>
    <t>Publisher</t>
  </si>
  <si>
    <t>Title</t>
  </si>
  <si>
    <t>Web</t>
  </si>
  <si>
    <t>Accessed</t>
  </si>
  <si>
    <t>Source:</t>
  </si>
  <si>
    <t>[1]</t>
  </si>
  <si>
    <t>World Data Bank</t>
  </si>
  <si>
    <t>World Development Indicators</t>
  </si>
  <si>
    <t>https://databank.worldbank.org/source/world-development-indicators</t>
  </si>
  <si>
    <t>Oktober 2022</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</si>
  <si>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</si>
  <si>
    <t>https://datacatalog.worldbank.org/public-licenses#cc-by</t>
  </si>
  <si>
    <t>till 2021</t>
  </si>
  <si>
    <t>source\assumtion</t>
  </si>
  <si>
    <t>Last update</t>
  </si>
  <si>
    <t>Data Information</t>
  </si>
  <si>
    <t>Copyright notice</t>
  </si>
  <si>
    <t>License type</t>
  </si>
  <si>
    <t xml:space="preserve">Eurostat </t>
  </si>
  <si>
    <t>Population on 1 January by age and sex, [demo_pjan]</t>
  </si>
  <si>
    <t>https://ec.europa.eu/eurostat/databrowser/view/demo_pjan/default/table?lang=en</t>
  </si>
  <si>
    <t>16.08.2023</t>
  </si>
  <si>
    <t>AGE</t>
  </si>
  <si>
    <t>Total</t>
  </si>
  <si>
    <t>https://ec.europa.eu/eurostat/web/main/about-us/policies/copyright</t>
  </si>
  <si>
    <t>https://creativecommons.org/licenses/by/4.0/</t>
  </si>
  <si>
    <t>[3]</t>
  </si>
  <si>
    <t>Statistisches Bundesamt (Destatis)</t>
  </si>
  <si>
    <t>Entwicklung der Privathaushalte bis 2035: Ergebnisse der Haushaltsvorausberechnung - 2017</t>
  </si>
  <si>
    <t>https://www.destatis.de/DE/Themen/Gesellschaft-Umwelt/Bevoelkerung/Haushalte-Familien/Publikationen/Downloads-Haushalte/entwicklung-privathaushalte-5124001179004.pdf?__blob=publicationFile&amp;v=3; 2050 Annahme OTH</t>
  </si>
  <si>
    <t xml:space="preserve"> 28.02.2017</t>
  </si>
  <si>
    <t>03.11.2023</t>
  </si>
  <si>
    <t>till 2022</t>
  </si>
  <si>
    <t>[2]</t>
  </si>
  <si>
    <t>data years</t>
  </si>
  <si>
    <t>[4]</t>
  </si>
  <si>
    <t>World Bank Group, Doing Business project (http://www.doingbusiness.org/).</t>
  </si>
  <si>
    <t>The price of electricity is measured in U.S. cents per kWh. A monthly electricity consumption is assumed, for which a bill is then computed for a warehouse based in the largest business city of the economy for the month of March. The bill is then expressed back as a unit of kWh. The index is computed based on the methodology in the DB16-20 studies.</t>
  </si>
  <si>
    <t>2014-2019</t>
  </si>
  <si>
    <t>Glossary | DataBank</t>
  </si>
  <si>
    <t>27.08.2025</t>
  </si>
  <si>
    <t>[2], A2</t>
  </si>
  <si>
    <t xml:space="preserve">Assumptions: </t>
  </si>
  <si>
    <t>A1</t>
  </si>
  <si>
    <t>A2</t>
  </si>
  <si>
    <t>A3</t>
  </si>
  <si>
    <t>A4</t>
  </si>
  <si>
    <t>from 2022 the price increses by 1% yearly</t>
  </si>
  <si>
    <t>from 2021 the increase rate is 0,6 %</t>
  </si>
  <si>
    <t>from 2022 population of Germany decreases by 0,4% annually</t>
  </si>
  <si>
    <t>from 2020 HH_size of Germany decreases by 0,2% annually</t>
  </si>
  <si>
    <t>[1], A1</t>
  </si>
  <si>
    <t>[3], A3</t>
  </si>
  <si>
    <t>[4], A4</t>
  </si>
  <si>
    <t>till 2020</t>
  </si>
  <si>
    <t>This file contains the demand drivers used as input to the model. It is of an exemplary charachter. Historical data is sourced from external studies and official statistics, with each source specified in the document. Future projections beyond the historical period are our own assumptions, based on analysis of trends and model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</si>
</sst>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1" x14ac:knownFonts="1">
    <font>
      <sz val="11"/>
      <color theme="1"/>
      <name val="Calibri"/>
      <family val="2"/>
      <scheme val="minor"/>
    </font>
    <font>
      <b/>
      <sz val="11"/>
      <name val="Calibri"/>
      <family val="2"/>
    </font>
    <font>
      <b/>
      <sz val="11"/>
      <color theme="1"/>
      <name val="Calibri"/>
      <family val="2"/>
      <scheme val="minor"/>
    </font>
    <font>
      <sz val="10"/>
      <name val="Arial"/>
      <family val="2"/>
    </font>
    <font>
      <sz val="11"/>
      <color theme="1"/>
      <name val="Calibri"/>
      <family val="2"/>
      <scheme val="minor"/>
    </font>
    <font>
      <u/>
      <sz val="11"/>
      <color theme="10"/>
      <name val="Calibri"/>
      <family val="2"/>
      <scheme val="minor"/>
    </font>
    <font>
      <sz val="8"/>
      <name val="Times"/>
      <family val="1"/>
    </font>
    <font>
      <u/>
      <sz val="11"/>
      <color rgb="FF0000FF"/>
      <name val="Calibri"/>
      <family val="2"/>
    </font>
    <font>
      <sz val="10"/>
      <name val="Arial"/>
      <family val="2"/>
      <charset val="238"/>
    </font>
    <font>
      <sz val="11"/>
      <name val="Calibri"/>
      <family val="2"/>
      <scheme val="minor"/>
    </font>
    <font>
      <sz val="9"/>
      <color rgb="FF455F7C"/>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applyNumberFormat="0" applyFill="0" applyBorder="0" applyAlignment="0" applyProtection="0"/>
    <xf numFmtId="0" fontId="6" fillId="0" borderId="0"/>
  </cellStyleXfs>
  <cellXfs count="23">
    <xf numFmtId="0" fontId="0" fillId="0" borderId="0" xfId="0"/>
    <xf numFmtId="0" fontId="1" fillId="0" borderId="1" xfId="0" applyFont="1" applyBorder="1" applyAlignment="1">
      <alignment horizontal="center" vertical="top"/>
    </xf>
    <xf numFmtId="49" fontId="0" fillId="0" borderId="0" xfId="0" applyNumberFormat="1"/>
    <xf numFmtId="0" fontId="2" fillId="0" borderId="1" xfId="0" applyFont="1" applyBorder="1" applyAlignment="1">
      <alignment horizontal="center" vertical="top"/>
    </xf>
    <xf numFmtId="0" fontId="0" fillId="0" borderId="0" xfId="0" applyAlignment="1">
      <alignment horizontal="center" vertical="center"/>
    </xf>
    <xf numFmtId="0" fontId="3" fillId="0" borderId="0" xfId="0" applyFont="1" applyAlignment="1">
      <alignment horizontal="center" vertical="center"/>
    </xf>
    <xf numFmtId="0" fontId="0" fillId="2" borderId="0" xfId="0" applyFill="1"/>
    <xf numFmtId="3" fontId="3" fillId="0" borderId="0" xfId="0" applyNumberFormat="1" applyFont="1"/>
    <xf numFmtId="2" fontId="3" fillId="0" borderId="0" xfId="0" applyNumberFormat="1" applyFont="1"/>
    <xf numFmtId="0" fontId="4" fillId="0" borderId="0" xfId="0" applyFont="1"/>
    <xf numFmtId="0" fontId="6" fillId="0" borderId="0" xfId="2"/>
    <xf numFmtId="0" fontId="7" fillId="0" borderId="0" xfId="2" applyFont="1"/>
    <xf numFmtId="0" fontId="5" fillId="0" borderId="0" xfId="1"/>
    <xf numFmtId="0" fontId="8" fillId="0" borderId="0" xfId="0" applyFont="1"/>
    <xf numFmtId="0" fontId="0" fillId="0" borderId="0" xfId="0" applyAlignment="1">
      <alignment horizontal="center" vertical="center" wrapText="1"/>
    </xf>
    <xf numFmtId="164" fontId="3" fillId="0" borderId="0" xfId="0" applyNumberFormat="1" applyFont="1" applyAlignment="1">
      <alignment vertical="center"/>
    </xf>
    <xf numFmtId="0" fontId="3" fillId="0" borderId="0" xfId="0" applyFont="1"/>
    <xf numFmtId="0" fontId="9" fillId="0" borderId="0" xfId="1" applyFont="1"/>
    <xf numFmtId="0" fontId="0" fillId="0" borderId="0" xfId="0" applyAlignment="1">
      <alignment horizontal="right"/>
    </xf>
    <xf numFmtId="0" fontId="10" fillId="0" borderId="0" xfId="0" applyFont="1"/>
    <xf numFmtId="0" fontId="2" fillId="0" borderId="0" xfId="0" applyFont="1"/>
    <xf numFmtId="0" fontId="0" fillId="0" borderId="0" xfId="0" applyAlignment="1">
      <alignment horizontal="center" wrapText="1"/>
    </xf>
    <xf numFmtId="0" fontId="0" fillId="0" borderId="0" xfId="0" applyAlignment="1">
      <alignment horizontal="center"/>
    </xf>
  </cellXfs>
  <cellStyles count="3">
    <cellStyle name="Hyperlink" xfId="1" builtinId="8"/>
    <cellStyle name="Normal" xfId="0" builtinId="0"/>
    <cellStyle name="Normal 2" xfId="2" xr:uid="{7438D29F-0DEE-4E26-82EE-15276B5BB1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destatis.de/DE/Themen/Gesellschaft-Umwelt/Bevoelkerung/Haushalte-Familien/Publikationen/Downloads-Haushalte/entwicklung-privathaushalte-5124001179004.pdf?__blob=publicationFile&amp;v=3;%202050%20Annahme%20OTH" TargetMode="External"/><Relationship Id="rId2" Type="http://schemas.openxmlformats.org/officeDocument/2006/relationships/hyperlink" Target="https://databank.worldbank.org/source/world-development-indicators" TargetMode="External"/><Relationship Id="rId1" Type="http://schemas.openxmlformats.org/officeDocument/2006/relationships/hyperlink" Target="https://ec.europa.eu/eurostat/databrowser/view/demo_pjan/default/table?lang=en" TargetMode="External"/><Relationship Id="rId5" Type="http://schemas.openxmlformats.org/officeDocument/2006/relationships/printerSettings" Target="../printerSettings/printerSettings1.bin"/><Relationship Id="rId4" Type="http://schemas.openxmlformats.org/officeDocument/2006/relationships/hyperlink" Target="https://databank.worldbank.org/metadataglossary/doing-business/series/IC.ELC.PRI.KH.DB16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6D40-C6CE-4BB3-A6BF-13F6582E9179}">
  <dimension ref="A1:EQ6"/>
  <sheetViews>
    <sheetView tabSelected="1" workbookViewId="0">
      <pane xSplit="5" ySplit="1" topLeftCell="DZ2" activePane="bottomRight" state="frozen"/>
      <selection pane="topRight" activeCell="F1" sqref="F1"/>
      <selection pane="bottomLeft" activeCell="A2" sqref="A2"/>
      <selection pane="bottomRight" activeCell="L13" sqref="L13"/>
    </sheetView>
  </sheetViews>
  <sheetFormatPr defaultRowHeight="14.4" x14ac:dyDescent="0.3"/>
  <cols>
    <col min="69" max="69" width="11" bestFit="1" customWidth="1"/>
  </cols>
  <sheetData>
    <row r="1" spans="1:147" x14ac:dyDescent="0.3">
      <c r="A1" s="3" t="s">
        <v>156</v>
      </c>
      <c r="B1" t="s">
        <v>155</v>
      </c>
      <c r="C1" s="1" t="s">
        <v>0</v>
      </c>
      <c r="D1" s="1" t="s">
        <v>1</v>
      </c>
      <c r="E1" s="1" t="s">
        <v>149</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100</v>
      </c>
      <c r="DA1" s="1" t="s">
        <v>101</v>
      </c>
      <c r="DB1" s="1" t="s">
        <v>102</v>
      </c>
      <c r="DC1" s="1" t="s">
        <v>103</v>
      </c>
      <c r="DD1" s="1" t="s">
        <v>104</v>
      </c>
      <c r="DE1" s="1" t="s">
        <v>105</v>
      </c>
      <c r="DF1" s="1" t="s">
        <v>106</v>
      </c>
      <c r="DG1" s="1" t="s">
        <v>107</v>
      </c>
      <c r="DH1" s="1" t="s">
        <v>108</v>
      </c>
      <c r="DI1" s="1" t="s">
        <v>109</v>
      </c>
      <c r="DJ1" s="1" t="s">
        <v>110</v>
      </c>
      <c r="DK1" s="1" t="s">
        <v>111</v>
      </c>
      <c r="DL1" s="1" t="s">
        <v>112</v>
      </c>
      <c r="DM1" s="1" t="s">
        <v>113</v>
      </c>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C1" s="1" t="s">
        <v>129</v>
      </c>
      <c r="ED1" s="1" t="s">
        <v>130</v>
      </c>
      <c r="EE1" s="1" t="s">
        <v>131</v>
      </c>
      <c r="EF1" s="1" t="s">
        <v>132</v>
      </c>
      <c r="EG1" s="1" t="s">
        <v>133</v>
      </c>
      <c r="EH1" s="1" t="s">
        <v>134</v>
      </c>
      <c r="EI1" s="1" t="s">
        <v>135</v>
      </c>
      <c r="EJ1" s="1" t="s">
        <v>136</v>
      </c>
      <c r="EK1" s="1" t="s">
        <v>137</v>
      </c>
      <c r="EL1" s="1" t="s">
        <v>138</v>
      </c>
      <c r="EM1" s="1" t="s">
        <v>139</v>
      </c>
      <c r="EN1" s="1" t="s">
        <v>140</v>
      </c>
      <c r="EO1" s="1" t="s">
        <v>141</v>
      </c>
      <c r="EP1" s="1" t="s">
        <v>142</v>
      </c>
      <c r="EQ1" s="1" t="s">
        <v>171</v>
      </c>
    </row>
    <row r="2" spans="1:147" x14ac:dyDescent="0.3">
      <c r="A2" t="s">
        <v>147</v>
      </c>
      <c r="C2" t="s">
        <v>144</v>
      </c>
      <c r="D2" t="s">
        <v>143</v>
      </c>
      <c r="E2" t="s">
        <v>150</v>
      </c>
      <c r="BH2">
        <v>29.2</v>
      </c>
      <c r="BI2">
        <v>28.5</v>
      </c>
      <c r="BJ2">
        <v>26.6</v>
      </c>
      <c r="BK2">
        <v>33.799999999999997</v>
      </c>
      <c r="BL2">
        <v>32.200000000000003</v>
      </c>
      <c r="BM2">
        <v>25.6</v>
      </c>
      <c r="BN2">
        <f>BM2*1.01</f>
        <v>25.856000000000002</v>
      </c>
      <c r="BO2">
        <f t="shared" ref="BO2:DZ2" si="0">BN2*1.01</f>
        <v>26.114560000000001</v>
      </c>
      <c r="BP2">
        <f t="shared" si="0"/>
        <v>26.3757056</v>
      </c>
      <c r="BQ2">
        <f t="shared" si="0"/>
        <v>26.639462655999999</v>
      </c>
      <c r="BR2">
        <f t="shared" si="0"/>
        <v>26.90585728256</v>
      </c>
      <c r="BS2">
        <f t="shared" si="0"/>
        <v>27.174915855385599</v>
      </c>
      <c r="BT2">
        <f t="shared" si="0"/>
        <v>27.446665013939455</v>
      </c>
      <c r="BU2">
        <f t="shared" si="0"/>
        <v>27.72113166407885</v>
      </c>
      <c r="BV2">
        <f t="shared" si="0"/>
        <v>27.998342980719638</v>
      </c>
      <c r="BW2">
        <f t="shared" si="0"/>
        <v>28.278326410526834</v>
      </c>
      <c r="BX2">
        <f t="shared" si="0"/>
        <v>28.561109674632103</v>
      </c>
      <c r="BY2">
        <f t="shared" si="0"/>
        <v>28.846720771378425</v>
      </c>
      <c r="BZ2">
        <f t="shared" si="0"/>
        <v>29.135187979092208</v>
      </c>
      <c r="CA2">
        <f t="shared" si="0"/>
        <v>29.426539858883132</v>
      </c>
      <c r="CB2">
        <f t="shared" si="0"/>
        <v>29.720805257471962</v>
      </c>
      <c r="CC2">
        <f t="shared" si="0"/>
        <v>30.018013310046683</v>
      </c>
      <c r="CD2">
        <f t="shared" si="0"/>
        <v>30.318193443147152</v>
      </c>
      <c r="CE2">
        <f t="shared" si="0"/>
        <v>30.621375377578623</v>
      </c>
      <c r="CF2">
        <f t="shared" si="0"/>
        <v>30.927589131354409</v>
      </c>
      <c r="CG2">
        <f t="shared" si="0"/>
        <v>31.236865022667953</v>
      </c>
      <c r="CH2">
        <f t="shared" si="0"/>
        <v>31.549233672894633</v>
      </c>
      <c r="CI2">
        <f t="shared" si="0"/>
        <v>31.864726009623581</v>
      </c>
      <c r="CJ2">
        <f t="shared" si="0"/>
        <v>32.183373269719816</v>
      </c>
      <c r="CK2">
        <f t="shared" si="0"/>
        <v>32.505207002417016</v>
      </c>
      <c r="CL2">
        <f t="shared" si="0"/>
        <v>32.830259072441187</v>
      </c>
      <c r="CM2">
        <f t="shared" si="0"/>
        <v>33.158561663165599</v>
      </c>
      <c r="CN2">
        <f t="shared" si="0"/>
        <v>33.490147279797256</v>
      </c>
      <c r="CO2">
        <f t="shared" si="0"/>
        <v>33.825048752595229</v>
      </c>
      <c r="CP2">
        <f t="shared" si="0"/>
        <v>34.163299240121184</v>
      </c>
      <c r="CQ2">
        <f t="shared" si="0"/>
        <v>34.504932232522393</v>
      </c>
      <c r="CR2">
        <f t="shared" si="0"/>
        <v>34.849981554847616</v>
      </c>
      <c r="CS2">
        <f t="shared" si="0"/>
        <v>35.198481370396095</v>
      </c>
      <c r="CT2">
        <f t="shared" si="0"/>
        <v>35.55046618410006</v>
      </c>
      <c r="CU2">
        <f t="shared" si="0"/>
        <v>35.905970845941063</v>
      </c>
      <c r="CV2">
        <f t="shared" si="0"/>
        <v>36.265030554400475</v>
      </c>
      <c r="CW2">
        <f t="shared" si="0"/>
        <v>36.627680859944483</v>
      </c>
      <c r="CX2">
        <f t="shared" si="0"/>
        <v>36.993957668543928</v>
      </c>
      <c r="CY2">
        <f t="shared" si="0"/>
        <v>37.363897245229367</v>
      </c>
      <c r="CZ2">
        <f t="shared" si="0"/>
        <v>37.737536217681658</v>
      </c>
      <c r="DA2">
        <f t="shared" si="0"/>
        <v>38.114911579858472</v>
      </c>
      <c r="DB2">
        <f t="shared" si="0"/>
        <v>38.496060695657057</v>
      </c>
      <c r="DC2">
        <f t="shared" si="0"/>
        <v>38.881021302613625</v>
      </c>
      <c r="DD2">
        <f t="shared" si="0"/>
        <v>39.269831515639758</v>
      </c>
      <c r="DE2">
        <f t="shared" si="0"/>
        <v>39.662529830796153</v>
      </c>
      <c r="DF2">
        <f t="shared" si="0"/>
        <v>40.059155129104113</v>
      </c>
      <c r="DG2">
        <f t="shared" si="0"/>
        <v>40.459746680395156</v>
      </c>
      <c r="DH2">
        <f t="shared" si="0"/>
        <v>40.864344147199105</v>
      </c>
      <c r="DI2">
        <f t="shared" si="0"/>
        <v>41.2729875886711</v>
      </c>
      <c r="DJ2">
        <f t="shared" si="0"/>
        <v>41.685717464557811</v>
      </c>
      <c r="DK2">
        <f t="shared" si="0"/>
        <v>42.102574639203389</v>
      </c>
      <c r="DL2">
        <f t="shared" si="0"/>
        <v>42.523600385595422</v>
      </c>
      <c r="DM2">
        <f t="shared" si="0"/>
        <v>42.94883638945138</v>
      </c>
      <c r="DN2">
        <f t="shared" si="0"/>
        <v>43.378324753345893</v>
      </c>
      <c r="DO2">
        <f t="shared" si="0"/>
        <v>43.812108000879356</v>
      </c>
      <c r="DP2">
        <f t="shared" si="0"/>
        <v>44.250229080888147</v>
      </c>
      <c r="DQ2">
        <f t="shared" si="0"/>
        <v>44.692731371697029</v>
      </c>
      <c r="DR2">
        <f t="shared" si="0"/>
        <v>45.139658685413998</v>
      </c>
      <c r="DS2">
        <f t="shared" si="0"/>
        <v>45.591055272268136</v>
      </c>
      <c r="DT2">
        <f t="shared" si="0"/>
        <v>46.046965824990821</v>
      </c>
      <c r="DU2">
        <f t="shared" si="0"/>
        <v>46.507435483240727</v>
      </c>
      <c r="DV2">
        <f t="shared" si="0"/>
        <v>46.972509838073137</v>
      </c>
      <c r="DW2">
        <f t="shared" si="0"/>
        <v>47.442234936453872</v>
      </c>
      <c r="DX2">
        <f t="shared" si="0"/>
        <v>47.91665728581841</v>
      </c>
      <c r="DY2">
        <f t="shared" si="0"/>
        <v>48.395823858676593</v>
      </c>
      <c r="DZ2">
        <f t="shared" si="0"/>
        <v>48.879782097263359</v>
      </c>
      <c r="EA2">
        <f t="shared" ref="EA2:EP2" si="1">DZ2*1.01</f>
        <v>49.368579918235994</v>
      </c>
      <c r="EB2">
        <f t="shared" si="1"/>
        <v>49.862265717418353</v>
      </c>
      <c r="EC2">
        <f t="shared" si="1"/>
        <v>50.360888374592534</v>
      </c>
      <c r="ED2">
        <f t="shared" si="1"/>
        <v>50.86449725833846</v>
      </c>
      <c r="EE2">
        <f t="shared" si="1"/>
        <v>51.373142230921843</v>
      </c>
      <c r="EF2">
        <f t="shared" si="1"/>
        <v>51.886873653231063</v>
      </c>
      <c r="EG2">
        <f t="shared" si="1"/>
        <v>52.405742389763375</v>
      </c>
      <c r="EH2">
        <f t="shared" si="1"/>
        <v>52.929799813661006</v>
      </c>
      <c r="EI2">
        <f t="shared" si="1"/>
        <v>53.459097811797619</v>
      </c>
      <c r="EJ2">
        <f t="shared" si="1"/>
        <v>53.993688789915595</v>
      </c>
      <c r="EK2">
        <f t="shared" si="1"/>
        <v>54.533625677814754</v>
      </c>
      <c r="EL2">
        <f t="shared" si="1"/>
        <v>55.078961934592904</v>
      </c>
      <c r="EM2">
        <f t="shared" si="1"/>
        <v>55.629751553938831</v>
      </c>
      <c r="EN2">
        <f t="shared" si="1"/>
        <v>56.186049069478223</v>
      </c>
      <c r="EO2">
        <f t="shared" si="1"/>
        <v>56.747909560173007</v>
      </c>
      <c r="EP2">
        <f t="shared" si="1"/>
        <v>57.31538865577474</v>
      </c>
      <c r="EQ2" s="4" t="s">
        <v>209</v>
      </c>
    </row>
    <row r="3" spans="1:147" x14ac:dyDescent="0.3">
      <c r="A3" t="s">
        <v>147</v>
      </c>
      <c r="B3" s="2" t="s">
        <v>154</v>
      </c>
      <c r="C3" t="s">
        <v>144</v>
      </c>
      <c r="D3" t="s">
        <v>145</v>
      </c>
      <c r="E3" t="s">
        <v>151</v>
      </c>
      <c r="AT3">
        <v>34490.075768861861</v>
      </c>
      <c r="AU3">
        <v>35011.068457502981</v>
      </c>
      <c r="AV3">
        <v>34883.058073544526</v>
      </c>
      <c r="AW3">
        <v>34619.664067018464</v>
      </c>
      <c r="AX3">
        <v>35034.080608618147</v>
      </c>
      <c r="AY3">
        <v>35310.470466927203</v>
      </c>
      <c r="AZ3">
        <v>36699.446781035993</v>
      </c>
      <c r="BA3">
        <v>37842.357791356335</v>
      </c>
      <c r="BB3">
        <v>38278.31300825307</v>
      </c>
      <c r="BC3">
        <v>36190.392886069814</v>
      </c>
      <c r="BD3">
        <v>37760.913628399619</v>
      </c>
      <c r="BE3">
        <v>39977.341709535707</v>
      </c>
      <c r="BF3">
        <v>40069.353956074236</v>
      </c>
      <c r="BG3">
        <v>40135.015831983706</v>
      </c>
      <c r="BH3">
        <v>40851.161730485488</v>
      </c>
      <c r="BI3">
        <v>41103.256436376832</v>
      </c>
      <c r="BJ3">
        <v>41682.032243351117</v>
      </c>
      <c r="BK3">
        <v>42639.554408728553</v>
      </c>
      <c r="BL3">
        <v>42973.289957303183</v>
      </c>
      <c r="BM3">
        <v>43329.050689306598</v>
      </c>
      <c r="BN3">
        <v>41315.313570662343</v>
      </c>
      <c r="BO3">
        <v>42526.553689066757</v>
      </c>
      <c r="BP3">
        <f>BO3*1.006</f>
        <v>42781.713011201158</v>
      </c>
      <c r="BQ3">
        <f t="shared" ref="BQ3:EB3" si="2">BP3*1.006</f>
        <v>43038.403289268368</v>
      </c>
      <c r="BR3">
        <f t="shared" si="2"/>
        <v>43296.633709003981</v>
      </c>
      <c r="BS3">
        <f t="shared" si="2"/>
        <v>43556.413511258004</v>
      </c>
      <c r="BT3">
        <f t="shared" si="2"/>
        <v>43817.751992325553</v>
      </c>
      <c r="BU3">
        <f t="shared" si="2"/>
        <v>44080.658504279505</v>
      </c>
      <c r="BV3">
        <f t="shared" si="2"/>
        <v>44345.142455305184</v>
      </c>
      <c r="BW3">
        <f t="shared" si="2"/>
        <v>44611.213310037012</v>
      </c>
      <c r="BX3">
        <f t="shared" si="2"/>
        <v>44878.880589897235</v>
      </c>
      <c r="BY3">
        <f t="shared" si="2"/>
        <v>45148.153873436619</v>
      </c>
      <c r="BZ3">
        <f t="shared" si="2"/>
        <v>45419.04279667724</v>
      </c>
      <c r="CA3">
        <f t="shared" si="2"/>
        <v>45691.557053457305</v>
      </c>
      <c r="CB3">
        <f t="shared" si="2"/>
        <v>45965.706395778048</v>
      </c>
      <c r="CC3">
        <f t="shared" si="2"/>
        <v>46241.500634152719</v>
      </c>
      <c r="CD3">
        <f t="shared" si="2"/>
        <v>46518.949637957638</v>
      </c>
      <c r="CE3">
        <f t="shared" si="2"/>
        <v>46798.06333578538</v>
      </c>
      <c r="CF3">
        <f t="shared" si="2"/>
        <v>47078.85171580009</v>
      </c>
      <c r="CG3">
        <f t="shared" si="2"/>
        <v>47361.324826094889</v>
      </c>
      <c r="CH3">
        <f t="shared" si="2"/>
        <v>47645.492775051462</v>
      </c>
      <c r="CI3">
        <f t="shared" si="2"/>
        <v>47931.365731701771</v>
      </c>
      <c r="CJ3">
        <f t="shared" si="2"/>
        <v>48218.953926091985</v>
      </c>
      <c r="CK3">
        <f t="shared" si="2"/>
        <v>48508.267649648536</v>
      </c>
      <c r="CL3">
        <f t="shared" si="2"/>
        <v>48799.317255546426</v>
      </c>
      <c r="CM3">
        <f t="shared" si="2"/>
        <v>49092.113159079709</v>
      </c>
      <c r="CN3">
        <f t="shared" si="2"/>
        <v>49386.665838034191</v>
      </c>
      <c r="CO3">
        <f t="shared" si="2"/>
        <v>49682.985833062397</v>
      </c>
      <c r="CP3">
        <f t="shared" si="2"/>
        <v>49981.083748060773</v>
      </c>
      <c r="CQ3">
        <f t="shared" si="2"/>
        <v>50280.970250549137</v>
      </c>
      <c r="CR3">
        <f t="shared" si="2"/>
        <v>50582.656072052428</v>
      </c>
      <c r="CS3">
        <f t="shared" si="2"/>
        <v>50886.152008484743</v>
      </c>
      <c r="CT3">
        <f t="shared" si="2"/>
        <v>51191.468920535655</v>
      </c>
      <c r="CU3">
        <f t="shared" si="2"/>
        <v>51498.617734058869</v>
      </c>
      <c r="CV3">
        <f t="shared" si="2"/>
        <v>51807.609440463224</v>
      </c>
      <c r="CW3">
        <f t="shared" si="2"/>
        <v>52118.455097106002</v>
      </c>
      <c r="CX3">
        <f t="shared" si="2"/>
        <v>52431.165827688637</v>
      </c>
      <c r="CY3">
        <f t="shared" si="2"/>
        <v>52745.752822654773</v>
      </c>
      <c r="CZ3">
        <f t="shared" si="2"/>
        <v>53062.227339590703</v>
      </c>
      <c r="DA3">
        <f t="shared" si="2"/>
        <v>53380.600703628246</v>
      </c>
      <c r="DB3">
        <f t="shared" si="2"/>
        <v>53700.884307850014</v>
      </c>
      <c r="DC3">
        <f t="shared" si="2"/>
        <v>54023.089613697113</v>
      </c>
      <c r="DD3">
        <f t="shared" si="2"/>
        <v>54347.228151379299</v>
      </c>
      <c r="DE3">
        <f t="shared" si="2"/>
        <v>54673.311520287578</v>
      </c>
      <c r="DF3">
        <f t="shared" si="2"/>
        <v>55001.351389409305</v>
      </c>
      <c r="DG3">
        <f t="shared" si="2"/>
        <v>55331.359497745761</v>
      </c>
      <c r="DH3">
        <f t="shared" si="2"/>
        <v>55663.347654732235</v>
      </c>
      <c r="DI3">
        <f t="shared" si="2"/>
        <v>55997.327740660628</v>
      </c>
      <c r="DJ3">
        <f t="shared" si="2"/>
        <v>56333.311707104593</v>
      </c>
      <c r="DK3">
        <f t="shared" si="2"/>
        <v>56671.311577347224</v>
      </c>
      <c r="DL3">
        <f t="shared" si="2"/>
        <v>57011.339446811304</v>
      </c>
      <c r="DM3">
        <f t="shared" si="2"/>
        <v>57353.40748349217</v>
      </c>
      <c r="DN3">
        <f t="shared" si="2"/>
        <v>57697.527928393123</v>
      </c>
      <c r="DO3">
        <f t="shared" si="2"/>
        <v>58043.713095963481</v>
      </c>
      <c r="DP3">
        <f t="shared" si="2"/>
        <v>58391.975374539259</v>
      </c>
      <c r="DQ3">
        <f t="shared" si="2"/>
        <v>58742.327226786496</v>
      </c>
      <c r="DR3">
        <f t="shared" si="2"/>
        <v>59094.781190147216</v>
      </c>
      <c r="DS3">
        <f t="shared" si="2"/>
        <v>59449.349877288099</v>
      </c>
      <c r="DT3">
        <f t="shared" si="2"/>
        <v>59806.045976551832</v>
      </c>
      <c r="DU3">
        <f t="shared" si="2"/>
        <v>60164.882252411146</v>
      </c>
      <c r="DV3">
        <f t="shared" si="2"/>
        <v>60525.871545925613</v>
      </c>
      <c r="DW3">
        <f t="shared" si="2"/>
        <v>60889.026775201164</v>
      </c>
      <c r="DX3">
        <f t="shared" si="2"/>
        <v>61254.360935852368</v>
      </c>
      <c r="DY3">
        <f t="shared" si="2"/>
        <v>61621.887101467481</v>
      </c>
      <c r="DZ3">
        <f t="shared" si="2"/>
        <v>61991.618424076289</v>
      </c>
      <c r="EA3">
        <f t="shared" si="2"/>
        <v>62363.568134620749</v>
      </c>
      <c r="EB3">
        <f t="shared" si="2"/>
        <v>62737.749543428472</v>
      </c>
      <c r="EC3">
        <f t="shared" ref="EC3:EP3" si="3">EB3*1.006</f>
        <v>63114.176040689046</v>
      </c>
      <c r="ED3">
        <f t="shared" si="3"/>
        <v>63492.861096933178</v>
      </c>
      <c r="EE3">
        <f t="shared" si="3"/>
        <v>63873.818263514775</v>
      </c>
      <c r="EF3">
        <f t="shared" si="3"/>
        <v>64257.061173095863</v>
      </c>
      <c r="EG3">
        <f t="shared" si="3"/>
        <v>64642.603540134442</v>
      </c>
      <c r="EH3">
        <f t="shared" si="3"/>
        <v>65030.459161375249</v>
      </c>
      <c r="EI3">
        <f t="shared" si="3"/>
        <v>65420.641916343498</v>
      </c>
      <c r="EJ3">
        <f t="shared" si="3"/>
        <v>65813.165767841565</v>
      </c>
      <c r="EK3">
        <f t="shared" si="3"/>
        <v>66208.044762448611</v>
      </c>
      <c r="EL3">
        <f t="shared" si="3"/>
        <v>66605.293031023306</v>
      </c>
      <c r="EM3">
        <f t="shared" si="3"/>
        <v>67004.924789209443</v>
      </c>
      <c r="EN3">
        <f t="shared" si="3"/>
        <v>67406.954337944699</v>
      </c>
      <c r="EO3">
        <f t="shared" si="3"/>
        <v>67811.396063972366</v>
      </c>
      <c r="EP3">
        <f t="shared" si="3"/>
        <v>68218.264440356201</v>
      </c>
      <c r="EQ3" s="4" t="s">
        <v>199</v>
      </c>
    </row>
    <row r="4" spans="1:147" x14ac:dyDescent="0.3">
      <c r="A4" t="s">
        <v>147</v>
      </c>
      <c r="C4" t="s">
        <v>144</v>
      </c>
      <c r="D4" t="s">
        <v>146</v>
      </c>
      <c r="E4" t="s">
        <v>152</v>
      </c>
      <c r="F4" s="7">
        <v>72542990</v>
      </c>
      <c r="G4" s="7">
        <v>73086809</v>
      </c>
      <c r="H4" s="7">
        <v>73668454</v>
      </c>
      <c r="I4" s="7">
        <v>74383113</v>
      </c>
      <c r="J4" s="7">
        <v>75045592</v>
      </c>
      <c r="K4" s="7">
        <v>75591082</v>
      </c>
      <c r="L4" s="7">
        <v>76336308</v>
      </c>
      <c r="M4" s="7">
        <v>76864314</v>
      </c>
      <c r="N4" s="7">
        <v>77038358</v>
      </c>
      <c r="O4" s="7">
        <v>77550269</v>
      </c>
      <c r="P4" s="7">
        <v>78269095</v>
      </c>
      <c r="Q4" s="7">
        <v>78069482</v>
      </c>
      <c r="R4" s="7">
        <v>78556202</v>
      </c>
      <c r="S4" s="7">
        <v>78820701</v>
      </c>
      <c r="T4" s="7">
        <v>79052630</v>
      </c>
      <c r="U4" s="7">
        <v>78882235</v>
      </c>
      <c r="V4" s="7">
        <v>78464873</v>
      </c>
      <c r="W4" s="7">
        <v>78209026</v>
      </c>
      <c r="X4" s="7">
        <v>78110602</v>
      </c>
      <c r="Y4" s="7">
        <v>78073038</v>
      </c>
      <c r="Z4" s="7">
        <v>78179662</v>
      </c>
      <c r="AA4" s="7">
        <v>78397490</v>
      </c>
      <c r="AB4" s="7">
        <v>78418324</v>
      </c>
      <c r="AC4" s="7">
        <v>78248407</v>
      </c>
      <c r="AD4" s="7">
        <v>78008156</v>
      </c>
      <c r="AE4" s="7">
        <v>77709213</v>
      </c>
      <c r="AF4" s="7">
        <v>77660533</v>
      </c>
      <c r="AG4" s="8">
        <v>77780338</v>
      </c>
      <c r="AH4" s="8">
        <v>77899502</v>
      </c>
      <c r="AI4" s="8">
        <v>78389735</v>
      </c>
      <c r="AJ4" s="8">
        <v>79112831</v>
      </c>
      <c r="AK4" s="8">
        <v>79753227</v>
      </c>
      <c r="AL4" s="8">
        <v>80274564</v>
      </c>
      <c r="AM4" s="8">
        <v>80974632</v>
      </c>
      <c r="AN4" s="8">
        <v>81338093</v>
      </c>
      <c r="AO4" s="8">
        <v>81538603</v>
      </c>
      <c r="AP4" s="8">
        <v>81817499</v>
      </c>
      <c r="AQ4" s="8">
        <v>82012162</v>
      </c>
      <c r="AR4" s="8">
        <v>82057379</v>
      </c>
      <c r="AS4" s="8">
        <v>82037011</v>
      </c>
      <c r="AT4" s="8">
        <v>82163475</v>
      </c>
      <c r="AU4" s="7">
        <v>82259540</v>
      </c>
      <c r="AV4" s="7">
        <v>82440309</v>
      </c>
      <c r="AW4" s="7">
        <v>82536680</v>
      </c>
      <c r="AX4" s="7">
        <v>82531671</v>
      </c>
      <c r="AY4" s="7">
        <v>82500849</v>
      </c>
      <c r="AZ4" s="7">
        <v>82437995</v>
      </c>
      <c r="BA4" s="7">
        <v>82314906</v>
      </c>
      <c r="BB4" s="7">
        <v>82217837</v>
      </c>
      <c r="BC4" s="7">
        <v>82002356</v>
      </c>
      <c r="BD4" s="7">
        <v>81802257</v>
      </c>
      <c r="BE4" s="7">
        <v>80222065</v>
      </c>
      <c r="BF4" s="7">
        <v>80327900</v>
      </c>
      <c r="BG4" s="7">
        <v>80523746</v>
      </c>
      <c r="BH4" s="7">
        <v>80767463</v>
      </c>
      <c r="BI4" s="7">
        <v>81197537</v>
      </c>
      <c r="BJ4" s="7">
        <v>82175684</v>
      </c>
      <c r="BK4" s="7">
        <v>82521653</v>
      </c>
      <c r="BL4" s="7">
        <v>82792351</v>
      </c>
      <c r="BM4" s="7">
        <v>83019213</v>
      </c>
      <c r="BN4" s="7">
        <v>83166711</v>
      </c>
      <c r="BO4" s="7">
        <v>83155031</v>
      </c>
      <c r="BP4">
        <v>83237124</v>
      </c>
      <c r="BQ4">
        <f>BP4*0.996</f>
        <v>82904175.503999993</v>
      </c>
      <c r="BR4">
        <f t="shared" ref="BR4:EC4" si="4">BQ4*0.996</f>
        <v>82572558.801983997</v>
      </c>
      <c r="BS4">
        <f t="shared" si="4"/>
        <v>82242268.566776067</v>
      </c>
      <c r="BT4">
        <f t="shared" si="4"/>
        <v>81913299.492508963</v>
      </c>
      <c r="BU4">
        <f t="shared" si="4"/>
        <v>81585646.29453893</v>
      </c>
      <c r="BV4">
        <f t="shared" si="4"/>
        <v>81259303.709360778</v>
      </c>
      <c r="BW4">
        <f t="shared" si="4"/>
        <v>80934266.494523332</v>
      </c>
      <c r="BX4">
        <f t="shared" si="4"/>
        <v>80610529.428545237</v>
      </c>
      <c r="BY4">
        <f t="shared" si="4"/>
        <v>80288087.310831055</v>
      </c>
      <c r="BZ4">
        <f t="shared" si="4"/>
        <v>79966934.961587727</v>
      </c>
      <c r="CA4">
        <f t="shared" si="4"/>
        <v>79647067.221741378</v>
      </c>
      <c r="CB4">
        <f t="shared" si="4"/>
        <v>79328478.95285441</v>
      </c>
      <c r="CC4">
        <f t="shared" si="4"/>
        <v>79011165.03704299</v>
      </c>
      <c r="CD4">
        <f t="shared" si="4"/>
        <v>78695120.376894817</v>
      </c>
      <c r="CE4">
        <f t="shared" si="4"/>
        <v>78380339.895387232</v>
      </c>
      <c r="CF4">
        <f t="shared" si="4"/>
        <v>78066818.535805687</v>
      </c>
      <c r="CG4">
        <f t="shared" si="4"/>
        <v>77754551.261662468</v>
      </c>
      <c r="CH4">
        <f t="shared" si="4"/>
        <v>77443533.056615815</v>
      </c>
      <c r="CI4">
        <f t="shared" si="4"/>
        <v>77133758.924389347</v>
      </c>
      <c r="CJ4">
        <f t="shared" si="4"/>
        <v>76825223.888691783</v>
      </c>
      <c r="CK4">
        <f t="shared" si="4"/>
        <v>76517922.993137017</v>
      </c>
      <c r="CL4">
        <f t="shared" si="4"/>
        <v>76211851.301164463</v>
      </c>
      <c r="CM4">
        <f t="shared" si="4"/>
        <v>75907003.895959809</v>
      </c>
      <c r="CN4">
        <f t="shared" si="4"/>
        <v>75603375.880375966</v>
      </c>
      <c r="CO4">
        <f t="shared" si="4"/>
        <v>75300962.376854464</v>
      </c>
      <c r="CP4">
        <f t="shared" si="4"/>
        <v>74999758.527347043</v>
      </c>
      <c r="CQ4">
        <f t="shared" si="4"/>
        <v>74699759.493237659</v>
      </c>
      <c r="CR4">
        <f t="shared" si="4"/>
        <v>74400960.455264702</v>
      </c>
      <c r="CS4">
        <f t="shared" si="4"/>
        <v>74103356.613443643</v>
      </c>
      <c r="CT4">
        <f t="shared" si="4"/>
        <v>73806943.186989874</v>
      </c>
      <c r="CU4">
        <f t="shared" si="4"/>
        <v>73511715.41424191</v>
      </c>
      <c r="CV4">
        <f t="shared" si="4"/>
        <v>73217668.552584946</v>
      </c>
      <c r="CW4">
        <f t="shared" si="4"/>
        <v>72924797.878374606</v>
      </c>
      <c r="CX4">
        <f t="shared" si="4"/>
        <v>72633098.686861113</v>
      </c>
      <c r="CY4">
        <f t="shared" si="4"/>
        <v>72342566.292113662</v>
      </c>
      <c r="CZ4">
        <f t="shared" si="4"/>
        <v>72053196.026945204</v>
      </c>
      <c r="DA4">
        <f t="shared" si="4"/>
        <v>71764983.242837429</v>
      </c>
      <c r="DB4">
        <f t="shared" si="4"/>
        <v>71477923.309866086</v>
      </c>
      <c r="DC4">
        <f t="shared" si="4"/>
        <v>71192011.61662662</v>
      </c>
      <c r="DD4">
        <f t="shared" si="4"/>
        <v>70907243.570160121</v>
      </c>
      <c r="DE4">
        <f t="shared" si="4"/>
        <v>70623614.59587948</v>
      </c>
      <c r="DF4">
        <f t="shared" si="4"/>
        <v>70341120.137495965</v>
      </c>
      <c r="DG4">
        <f t="shared" si="4"/>
        <v>70059755.656945974</v>
      </c>
      <c r="DH4">
        <f t="shared" si="4"/>
        <v>69779516.634318188</v>
      </c>
      <c r="DI4">
        <f t="shared" si="4"/>
        <v>69500398.567780912</v>
      </c>
      <c r="DJ4">
        <f t="shared" si="4"/>
        <v>69222396.973509789</v>
      </c>
      <c r="DK4">
        <f t="shared" si="4"/>
        <v>68945507.385615751</v>
      </c>
      <c r="DL4">
        <f t="shared" si="4"/>
        <v>68669725.35607329</v>
      </c>
      <c r="DM4">
        <f t="shared" si="4"/>
        <v>68395046.454649001</v>
      </c>
      <c r="DN4">
        <f t="shared" si="4"/>
        <v>68121466.268830404</v>
      </c>
      <c r="DO4">
        <f t="shared" si="4"/>
        <v>67848980.403755084</v>
      </c>
      <c r="DP4">
        <f t="shared" si="4"/>
        <v>67577584.482140064</v>
      </c>
      <c r="DQ4">
        <f t="shared" si="4"/>
        <v>67307274.144211501</v>
      </c>
      <c r="DR4">
        <f t="shared" si="4"/>
        <v>67038045.047634654</v>
      </c>
      <c r="DS4">
        <f t="shared" si="4"/>
        <v>66769892.867444113</v>
      </c>
      <c r="DT4">
        <f t="shared" si="4"/>
        <v>66502813.295974337</v>
      </c>
      <c r="DU4">
        <f t="shared" si="4"/>
        <v>66236802.042790443</v>
      </c>
      <c r="DV4">
        <f t="shared" si="4"/>
        <v>65971854.834619284</v>
      </c>
      <c r="DW4">
        <f t="shared" si="4"/>
        <v>65707967.415280804</v>
      </c>
      <c r="DX4">
        <f t="shared" si="4"/>
        <v>65445135.545619681</v>
      </c>
      <c r="DY4">
        <f t="shared" si="4"/>
        <v>65183355.003437206</v>
      </c>
      <c r="DZ4">
        <f t="shared" si="4"/>
        <v>64922621.583423458</v>
      </c>
      <c r="EA4">
        <f t="shared" si="4"/>
        <v>64662931.097089767</v>
      </c>
      <c r="EB4">
        <f t="shared" si="4"/>
        <v>64404279.372701406</v>
      </c>
      <c r="EC4">
        <f t="shared" si="4"/>
        <v>64146662.255210601</v>
      </c>
      <c r="ED4">
        <f t="shared" ref="ED4:EP4" si="5">EC4*0.996</f>
        <v>63890075.606189758</v>
      </c>
      <c r="EE4">
        <f t="shared" si="5"/>
        <v>63634515.303764999</v>
      </c>
      <c r="EF4">
        <f t="shared" si="5"/>
        <v>63379977.242549941</v>
      </c>
      <c r="EG4">
        <f t="shared" si="5"/>
        <v>63126457.333579741</v>
      </c>
      <c r="EH4">
        <f t="shared" si="5"/>
        <v>62873951.504245423</v>
      </c>
      <c r="EI4">
        <f t="shared" si="5"/>
        <v>62622455.698228441</v>
      </c>
      <c r="EJ4">
        <f t="shared" si="5"/>
        <v>62371965.875435524</v>
      </c>
      <c r="EK4">
        <f t="shared" si="5"/>
        <v>62122478.011933781</v>
      </c>
      <c r="EL4">
        <f t="shared" si="5"/>
        <v>61873988.099886045</v>
      </c>
      <c r="EM4">
        <f t="shared" si="5"/>
        <v>61626492.1474865</v>
      </c>
      <c r="EN4">
        <f t="shared" si="5"/>
        <v>61379986.178896554</v>
      </c>
      <c r="EO4">
        <f t="shared" si="5"/>
        <v>61134466.234180965</v>
      </c>
      <c r="EP4">
        <f t="shared" si="5"/>
        <v>60889928.36924424</v>
      </c>
      <c r="EQ4" s="4" t="s">
        <v>210</v>
      </c>
    </row>
    <row r="5" spans="1:147" x14ac:dyDescent="0.3">
      <c r="A5" t="s">
        <v>147</v>
      </c>
      <c r="C5" t="s">
        <v>144</v>
      </c>
      <c r="D5" t="s">
        <v>148</v>
      </c>
      <c r="E5" t="s">
        <v>153</v>
      </c>
      <c r="AZ5">
        <v>2.1</v>
      </c>
      <c r="BA5">
        <v>2.1</v>
      </c>
      <c r="BB5">
        <v>2.1</v>
      </c>
      <c r="BC5">
        <v>2.1</v>
      </c>
      <c r="BD5">
        <v>2</v>
      </c>
      <c r="BE5">
        <v>2</v>
      </c>
      <c r="BF5">
        <v>2</v>
      </c>
      <c r="BG5">
        <v>2</v>
      </c>
      <c r="BH5">
        <v>2</v>
      </c>
      <c r="BI5">
        <v>2</v>
      </c>
      <c r="BJ5">
        <v>2</v>
      </c>
      <c r="BK5">
        <v>2</v>
      </c>
      <c r="BL5">
        <v>2</v>
      </c>
      <c r="BM5">
        <v>2</v>
      </c>
      <c r="BN5" s="6">
        <v>2</v>
      </c>
      <c r="BO5">
        <f>BN5*0.998</f>
        <v>1.996</v>
      </c>
      <c r="BP5">
        <f t="shared" ref="BP5:CR5" si="6">BO5*0.998</f>
        <v>1.992008</v>
      </c>
      <c r="BQ5">
        <f t="shared" si="6"/>
        <v>1.988023984</v>
      </c>
      <c r="BR5">
        <f t="shared" si="6"/>
        <v>1.984047936032</v>
      </c>
      <c r="BS5">
        <f t="shared" si="6"/>
        <v>1.980079840159936</v>
      </c>
      <c r="BT5">
        <f t="shared" si="6"/>
        <v>1.9761196804796162</v>
      </c>
      <c r="BU5">
        <f t="shared" si="6"/>
        <v>1.9721674411186569</v>
      </c>
      <c r="BV5">
        <f t="shared" si="6"/>
        <v>1.9682231062364197</v>
      </c>
      <c r="BW5">
        <f t="shared" si="6"/>
        <v>1.9642866600239468</v>
      </c>
      <c r="BX5">
        <f t="shared" si="6"/>
        <v>1.960358086703899</v>
      </c>
      <c r="BY5">
        <f t="shared" si="6"/>
        <v>1.9564373705304912</v>
      </c>
      <c r="BZ5">
        <f t="shared" si="6"/>
        <v>1.9525244957894301</v>
      </c>
      <c r="CA5">
        <f t="shared" si="6"/>
        <v>1.9486194467978513</v>
      </c>
      <c r="CB5">
        <f t="shared" si="6"/>
        <v>1.9447222079042557</v>
      </c>
      <c r="CC5">
        <f t="shared" si="6"/>
        <v>1.9408327634884472</v>
      </c>
      <c r="CD5">
        <f t="shared" si="6"/>
        <v>1.9369510979614704</v>
      </c>
      <c r="CE5">
        <f t="shared" si="6"/>
        <v>1.9330771957655475</v>
      </c>
      <c r="CF5">
        <f t="shared" si="6"/>
        <v>1.9292110413740164</v>
      </c>
      <c r="CG5">
        <f t="shared" si="6"/>
        <v>1.9253526192912684</v>
      </c>
      <c r="CH5">
        <f t="shared" si="6"/>
        <v>1.9215019140526859</v>
      </c>
      <c r="CI5">
        <f t="shared" si="6"/>
        <v>1.9176589102245805</v>
      </c>
      <c r="CJ5">
        <f t="shared" si="6"/>
        <v>1.9138235924041314</v>
      </c>
      <c r="CK5">
        <f t="shared" si="6"/>
        <v>1.9099959452193231</v>
      </c>
      <c r="CL5">
        <f t="shared" si="6"/>
        <v>1.9061759533288845</v>
      </c>
      <c r="CM5">
        <f t="shared" si="6"/>
        <v>1.9023636014222267</v>
      </c>
      <c r="CN5">
        <f t="shared" si="6"/>
        <v>1.8985588742193822</v>
      </c>
      <c r="CO5">
        <f t="shared" si="6"/>
        <v>1.8947617564709434</v>
      </c>
      <c r="CP5">
        <f t="shared" si="6"/>
        <v>1.8909722329580014</v>
      </c>
      <c r="CQ5">
        <f t="shared" si="6"/>
        <v>1.8871902884920855</v>
      </c>
      <c r="CR5">
        <f t="shared" si="6"/>
        <v>1.8834159079151014</v>
      </c>
      <c r="EQ5" s="5" t="s">
        <v>211</v>
      </c>
    </row>
    <row r="6" spans="1:147" x14ac:dyDescent="0.3">
      <c r="BN6" s="6"/>
      <c r="EQ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0ABB-A5C7-48EE-AECF-53807E9AC34B}">
  <dimension ref="A1:Q19"/>
  <sheetViews>
    <sheetView workbookViewId="0">
      <selection activeCell="I21" sqref="I21"/>
    </sheetView>
  </sheetViews>
  <sheetFormatPr defaultRowHeight="14.4" x14ac:dyDescent="0.3"/>
  <cols>
    <col min="1" max="1" width="14.44140625" customWidth="1"/>
  </cols>
  <sheetData>
    <row r="1" spans="1:17" ht="45.6" customHeight="1" x14ac:dyDescent="0.3">
      <c r="A1" s="14" t="s">
        <v>157</v>
      </c>
      <c r="B1" s="21" t="s">
        <v>213</v>
      </c>
      <c r="C1" s="21"/>
      <c r="D1" s="21"/>
      <c r="E1" s="21"/>
      <c r="F1" s="21"/>
      <c r="G1" s="21"/>
      <c r="H1" s="21"/>
      <c r="I1" s="21"/>
      <c r="J1" s="21"/>
    </row>
    <row r="2" spans="1:17" ht="14.4" hidden="1" customHeight="1" x14ac:dyDescent="0.3">
      <c r="B2" s="21"/>
      <c r="C2" s="21"/>
      <c r="D2" s="21"/>
      <c r="E2" s="21"/>
      <c r="F2" s="21"/>
      <c r="G2" s="21"/>
      <c r="H2" s="21"/>
      <c r="I2" s="21"/>
      <c r="J2" s="21"/>
    </row>
    <row r="4" spans="1:17" x14ac:dyDescent="0.3">
      <c r="J4" s="9"/>
    </row>
    <row r="5" spans="1:17" x14ac:dyDescent="0.3">
      <c r="C5" s="9"/>
      <c r="D5" s="10"/>
      <c r="F5" s="11"/>
      <c r="G5" s="9"/>
      <c r="H5" s="9"/>
      <c r="I5" s="12"/>
    </row>
    <row r="6" spans="1:17" x14ac:dyDescent="0.3">
      <c r="B6" s="13"/>
      <c r="C6" s="9"/>
      <c r="F6" s="12"/>
      <c r="I6" s="12"/>
    </row>
    <row r="9" spans="1:17" x14ac:dyDescent="0.3">
      <c r="A9" t="s">
        <v>162</v>
      </c>
      <c r="D9" s="20" t="s">
        <v>158</v>
      </c>
      <c r="E9" s="20" t="s">
        <v>159</v>
      </c>
      <c r="F9" s="20" t="s">
        <v>160</v>
      </c>
      <c r="G9" s="20" t="s">
        <v>161</v>
      </c>
      <c r="H9" s="20" t="s">
        <v>172</v>
      </c>
      <c r="I9" s="20" t="s">
        <v>173</v>
      </c>
      <c r="J9" s="20"/>
      <c r="K9" s="20" t="s">
        <v>174</v>
      </c>
      <c r="L9" s="20" t="s">
        <v>175</v>
      </c>
      <c r="M9" s="20"/>
      <c r="N9" s="20"/>
      <c r="O9" s="20"/>
      <c r="P9" s="20"/>
      <c r="Q9" s="20" t="s">
        <v>192</v>
      </c>
    </row>
    <row r="10" spans="1:17" x14ac:dyDescent="0.3">
      <c r="B10" t="s">
        <v>163</v>
      </c>
      <c r="D10" t="s">
        <v>194</v>
      </c>
      <c r="E10" t="s">
        <v>150</v>
      </c>
      <c r="F10" s="12" t="s">
        <v>197</v>
      </c>
      <c r="G10" s="15" t="s">
        <v>198</v>
      </c>
      <c r="J10" t="s">
        <v>195</v>
      </c>
      <c r="Q10" t="s">
        <v>196</v>
      </c>
    </row>
    <row r="11" spans="1:17" x14ac:dyDescent="0.3">
      <c r="B11" t="s">
        <v>191</v>
      </c>
      <c r="D11" t="s">
        <v>164</v>
      </c>
      <c r="E11" t="s">
        <v>165</v>
      </c>
      <c r="F11" s="12" t="s">
        <v>166</v>
      </c>
      <c r="G11" t="s">
        <v>167</v>
      </c>
      <c r="I11" t="s">
        <v>151</v>
      </c>
      <c r="J11" t="s">
        <v>168</v>
      </c>
      <c r="L11" t="s">
        <v>169</v>
      </c>
      <c r="Q11" t="s">
        <v>170</v>
      </c>
    </row>
    <row r="12" spans="1:17" x14ac:dyDescent="0.3">
      <c r="B12" t="s">
        <v>184</v>
      </c>
      <c r="D12" t="s">
        <v>176</v>
      </c>
      <c r="E12" t="s">
        <v>177</v>
      </c>
      <c r="F12" s="12" t="s">
        <v>178</v>
      </c>
      <c r="G12" s="15" t="s">
        <v>179</v>
      </c>
      <c r="H12" s="15">
        <v>45110.958333333336</v>
      </c>
      <c r="I12" s="16" t="s">
        <v>180</v>
      </c>
      <c r="J12" s="16" t="s">
        <v>181</v>
      </c>
      <c r="K12" t="s">
        <v>182</v>
      </c>
      <c r="L12" t="s">
        <v>183</v>
      </c>
      <c r="Q12" t="s">
        <v>190</v>
      </c>
    </row>
    <row r="13" spans="1:17" x14ac:dyDescent="0.3">
      <c r="B13" s="16" t="s">
        <v>193</v>
      </c>
      <c r="D13" t="s">
        <v>185</v>
      </c>
      <c r="E13" s="17" t="s">
        <v>186</v>
      </c>
      <c r="F13" s="12" t="s">
        <v>187</v>
      </c>
      <c r="H13" t="s">
        <v>188</v>
      </c>
      <c r="I13" t="s">
        <v>189</v>
      </c>
      <c r="Q13" t="s">
        <v>212</v>
      </c>
    </row>
    <row r="14" spans="1:17" x14ac:dyDescent="0.3">
      <c r="C14" s="22"/>
      <c r="D14" s="22"/>
    </row>
    <row r="15" spans="1:17" x14ac:dyDescent="0.3">
      <c r="B15" s="16"/>
      <c r="F15" s="17"/>
      <c r="G15" s="12"/>
    </row>
    <row r="16" spans="1:17" x14ac:dyDescent="0.3">
      <c r="A16" t="s">
        <v>200</v>
      </c>
      <c r="B16" t="s">
        <v>201</v>
      </c>
      <c r="C16" s="18"/>
      <c r="D16" t="s">
        <v>205</v>
      </c>
    </row>
    <row r="17" spans="2:6" x14ac:dyDescent="0.3">
      <c r="B17" t="s">
        <v>202</v>
      </c>
      <c r="D17" t="s">
        <v>206</v>
      </c>
      <c r="E17" s="19"/>
      <c r="F17" s="12"/>
    </row>
    <row r="18" spans="2:6" x14ac:dyDescent="0.3">
      <c r="B18" t="s">
        <v>203</v>
      </c>
      <c r="D18" t="s">
        <v>207</v>
      </c>
    </row>
    <row r="19" spans="2:6" x14ac:dyDescent="0.3">
      <c r="B19" t="s">
        <v>204</v>
      </c>
      <c r="D19" t="s">
        <v>208</v>
      </c>
    </row>
  </sheetData>
  <mergeCells count="2">
    <mergeCell ref="B1:J2"/>
    <mergeCell ref="C14:D14"/>
  </mergeCells>
  <hyperlinks>
    <hyperlink ref="F12" r:id="rId1" xr:uid="{9FE10D52-E1B1-402A-8448-D88517BECB26}"/>
    <hyperlink ref="F11" r:id="rId2" xr:uid="{E588FBE5-EB9A-454B-A1DF-057B9C1050A2}"/>
    <hyperlink ref="F13" r:id="rId3" xr:uid="{A2AC3766-73F6-4880-A1B2-63D3528A4A65}"/>
    <hyperlink ref="F10" r:id="rId4" display="https://databank.worldbank.org/metadataglossary/doing-business/series/IC.ELC.PRI.KH.DB1619" xr:uid="{2911BBA3-601C-459B-8CFD-F6ECA7ED2E35}"/>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Amadu Epishev</dc:creator>
  <cp:lastModifiedBy>Amadu Epishev</cp:lastModifiedBy>
  <dcterms:created xsi:type="dcterms:W3CDTF">2015-06-05T18:19:34Z</dcterms:created>
  <dcterms:modified xsi:type="dcterms:W3CDTF">2025-08-29T10:01:39Z</dcterms:modified>
</cp:coreProperties>
</file>