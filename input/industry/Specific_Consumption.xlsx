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5DCE3189-6354-4E3C-9119-A885BCC9FDF5}" xr6:coauthVersionLast="47" xr6:coauthVersionMax="47" xr10:uidLastSave="{00000000-0000-0000-0000-000000000000}"/>
  <bookViews>
    <workbookView xWindow="30315" yWindow="1485" windowWidth="20175" windowHeight="13230" firstSheet="4" activeTab="4" xr2:uid="{2F4E5CD1-8644-4C39-AFB8-65F19E3A2B23}"/>
  </bookViews>
  <sheets>
    <sheet name="steel" sheetId="9" r:id="rId1"/>
    <sheet name="steel_prim" sheetId="46" r:id="rId2"/>
    <sheet name="steel_sec" sheetId="45" r:id="rId3"/>
    <sheet name="steel_direct" sheetId="7" r:id="rId4"/>
    <sheet name="alu_prim" sheetId="3" r:id="rId5"/>
    <sheet name="alu_sec" sheetId="17" r:id="rId6"/>
    <sheet name="copper_prim" sheetId="38" r:id="rId7"/>
    <sheet name="glass" sheetId="11" r:id="rId8"/>
    <sheet name="copper_sec" sheetId="39" r:id="rId9"/>
    <sheet name="cement" sheetId="5" r:id="rId10"/>
    <sheet name="paper" sheetId="10" r:id="rId11"/>
    <sheet name="chlorine" sheetId="12" r:id="rId12"/>
    <sheet name="ammonia" sheetId="8" r:id="rId13"/>
    <sheet name="ammonia_classic" sheetId="40" r:id="rId14"/>
    <sheet name="methanol" sheetId="13" r:id="rId15"/>
    <sheet name="methanol_classic" sheetId="41" r:id="rId16"/>
    <sheet name="ethylene" sheetId="14" r:id="rId17"/>
    <sheet name="ethylene_classic" sheetId="44" r:id="rId18"/>
    <sheet name="propylene" sheetId="15" r:id="rId19"/>
    <sheet name="propylene_classic" sheetId="42" r:id="rId20"/>
    <sheet name="olefins" sheetId="48" r:id="rId21"/>
    <sheet name="olefins_classic" sheetId="49" r:id="rId22"/>
    <sheet name="aromatics" sheetId="16" r:id="rId23"/>
    <sheet name="aromatics_classic" sheetId="43" r:id="rId24"/>
    <sheet name="Info" sheetId="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7" l="1"/>
  <c r="C2" i="17"/>
  <c r="D2" i="3"/>
  <c r="C2" i="3"/>
  <c r="D2" i="49" l="1"/>
  <c r="B2" i="49"/>
  <c r="F2" i="48"/>
  <c r="C2" i="48"/>
  <c r="B2" i="48"/>
  <c r="C2" i="15"/>
  <c r="C2" i="14"/>
  <c r="C2" i="43"/>
  <c r="D2" i="43"/>
  <c r="F2" i="14" l="1"/>
  <c r="D2" i="10"/>
  <c r="C2" i="10"/>
  <c r="D6" i="5" l="1"/>
  <c r="C6" i="5"/>
  <c r="D2" i="39"/>
  <c r="C2" i="39"/>
  <c r="D2" i="38"/>
  <c r="C2" i="38"/>
  <c r="B2" i="38"/>
  <c r="F2" i="7"/>
  <c r="C2" i="7"/>
  <c r="D2" i="45" l="1"/>
  <c r="C2" i="45"/>
  <c r="C2" i="46"/>
  <c r="D2" i="46"/>
  <c r="B2" i="43" l="1"/>
  <c r="D2" i="42"/>
  <c r="B2" i="42" s="1"/>
  <c r="C2" i="16" l="1"/>
  <c r="F2" i="16"/>
  <c r="F2" i="15"/>
  <c r="C2" i="13"/>
  <c r="C2" i="8"/>
  <c r="F2" i="8"/>
  <c r="B2" i="46" l="1"/>
  <c r="B2" i="45"/>
  <c r="B2" i="10"/>
  <c r="D2" i="44"/>
  <c r="D2" i="41"/>
  <c r="D2" i="40" l="1"/>
  <c r="B2" i="40"/>
  <c r="B2" i="44"/>
  <c r="B2" i="41"/>
  <c r="B2" i="39"/>
  <c r="B2" i="17" l="1"/>
  <c r="B2" i="9" l="1"/>
  <c r="F2" i="13" l="1"/>
  <c r="B2" i="15" l="1"/>
  <c r="B2" i="16"/>
  <c r="B2" i="14" l="1"/>
  <c r="B2" i="12" l="1"/>
  <c r="B2" i="13" l="1"/>
  <c r="B2" i="3" l="1"/>
  <c r="B2" i="8" l="1"/>
  <c r="B2" i="7" l="1"/>
  <c r="C3" i="5" l="1"/>
  <c r="D3" i="5"/>
  <c r="C4" i="5"/>
  <c r="D4" i="5"/>
  <c r="C5" i="5"/>
  <c r="D5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D2" i="5"/>
  <c r="C2" i="5"/>
</calcChain>
</file>

<file path=xl/sharedStrings.xml><?xml version="1.0" encoding="utf-8"?>
<sst xmlns="http://schemas.openxmlformats.org/spreadsheetml/2006/main" count="594" uniqueCount="228">
  <si>
    <t>Country</t>
  </si>
  <si>
    <t>https://d-nb.info/1049260554/34</t>
  </si>
  <si>
    <t>all</t>
  </si>
  <si>
    <t>Spec energy consumption [GJ/t]</t>
  </si>
  <si>
    <t>Spec heat consumption [GJ/t]</t>
  </si>
  <si>
    <t>Spec electricity consumption [GJ/t]</t>
  </si>
  <si>
    <t>Germany</t>
  </si>
  <si>
    <t>France</t>
  </si>
  <si>
    <t>Italy</t>
  </si>
  <si>
    <t>Spain</t>
  </si>
  <si>
    <t>United Kingdom</t>
  </si>
  <si>
    <t>Poland</t>
  </si>
  <si>
    <t>Austria</t>
  </si>
  <si>
    <t>Belgium</t>
  </si>
  <si>
    <t>Bulgaria</t>
  </si>
  <si>
    <t>Czechia</t>
  </si>
  <si>
    <t>Finland</t>
  </si>
  <si>
    <t>Portugal</t>
  </si>
  <si>
    <t>Romania</t>
  </si>
  <si>
    <t>Slovenia</t>
  </si>
  <si>
    <t>Slovakia</t>
  </si>
  <si>
    <t>Spec hydrogen consumption [GJ/t]</t>
  </si>
  <si>
    <t>Serbia</t>
  </si>
  <si>
    <t>Sweden</t>
  </si>
  <si>
    <t>Hungary</t>
  </si>
  <si>
    <t>Estonia</t>
  </si>
  <si>
    <t>Lithuania</t>
  </si>
  <si>
    <t>Latvia</t>
  </si>
  <si>
    <t>Croatia</t>
  </si>
  <si>
    <t>Greece</t>
  </si>
  <si>
    <t>Ireland</t>
  </si>
  <si>
    <t>Denmark</t>
  </si>
  <si>
    <t>methanol</t>
  </si>
  <si>
    <t>https://static.agora-energiewende.de/fileadmin/Projekte/2018/Dekarbonisierung_Industrie/166_A-EW_Klimaneutrale_Industrie_Ausfuehrliche-Darstellung_WEB.pdf</t>
  </si>
  <si>
    <t>https://dechema.de/dechema_media/Downloads/Positionspapiere/Technology_study_Low_carbon_energy_and_feedstock_for_the_European_chemical_industry.pdf</t>
  </si>
  <si>
    <t>max. subst. of heat with H2 [%]</t>
  </si>
  <si>
    <t>Source:</t>
  </si>
  <si>
    <t>Assumption:</t>
  </si>
  <si>
    <t>steel</t>
  </si>
  <si>
    <t>[1]</t>
  </si>
  <si>
    <t>https://www.bmwi.de/Redaktion/DE/Downloads/E/energiewende-in-der-industrie-ap2a-branchensteckbrief-stahl.pdf?__blob=publicationFile&amp;v=4</t>
  </si>
  <si>
    <t>A1</t>
  </si>
  <si>
    <t xml:space="preserve">fuel 18,13 GJ/t
elec  0,39 MWh (=1,4 GJ/t) </t>
  </si>
  <si>
    <t>oxygen steel "usully" in DE, spec fuel and electricity consumption</t>
  </si>
  <si>
    <t>Since primary and seconday steel are together observed, the specific consumption only of the primary steel (without additional consumption) is considered.</t>
  </si>
  <si>
    <t>steel_prim</t>
  </si>
  <si>
    <t>Further Info:</t>
  </si>
  <si>
    <t>F1</t>
  </si>
  <si>
    <t>F2</t>
  </si>
  <si>
    <t>Specific primary energy consumption</t>
  </si>
  <si>
    <t>https://www.stahl-online.de/wp-content/uploads/2013/12/Fakten_Stahlindustrie_2014-04_6.pdf</t>
  </si>
  <si>
    <t>https://issuu.com/stahlonline/docs/fakten_stahlindustrie_2014-04_6</t>
  </si>
  <si>
    <t>https://www.stahl-online.de/wp-content/uploads/WV-Stahl_Fakten-2020_rz_neu_Web1.pdf</t>
  </si>
  <si>
    <t>F3</t>
  </si>
  <si>
    <t>Generally - Facts regarding steel industry in Germany</t>
  </si>
  <si>
    <t>https://eneff-industrie.info/quickinfos/energieintensive-branchen/daten-zu-besonders-energiehungrigen-produktionsbereichen/</t>
  </si>
  <si>
    <t>Ca. 20GJ/t</t>
  </si>
  <si>
    <t>17.41 or 19.23 GJ/t (crude steel or steel products)</t>
  </si>
  <si>
    <t>https://issuu.com/stahlonline/docs/fakten_stahlindustrie_2017_rz_web_faa65d6cfd2e15</t>
  </si>
  <si>
    <t>https://www.stahl-online.de/wp-content/uploads/2017/12/Fakten_Stahlindustrie_2017_rz_web.pdf</t>
  </si>
  <si>
    <t>F4</t>
  </si>
  <si>
    <t>"Rohstoffeinsatz 2016" feedstock deployment 2016</t>
  </si>
  <si>
    <t>Mainly coking coal</t>
  </si>
  <si>
    <t>F5</t>
  </si>
  <si>
    <t>Specific energy consumption in different European countries</t>
  </si>
  <si>
    <t>steel_sec</t>
  </si>
  <si>
    <t>steel_direct</t>
  </si>
  <si>
    <t xml:space="preserve">Energy flows </t>
  </si>
  <si>
    <t>https://www.bmu.de/fileadmin/Daten_BMU/Pools/Forschungsdatenbank/fkz_3712_12_102_energieeffizienzma%C3%9Fnahmen_bewertung_bf.pdf</t>
  </si>
  <si>
    <t>https://www.umweltbundesamt.de/sites/default/files/medien/367/dokumente/bvt-merkblatt_eisen-_und_stahlerzeugung_endfassung.pdf</t>
  </si>
  <si>
    <t>F6</t>
  </si>
  <si>
    <t>Bewertung der Herstellung von Eisenschwamm unter Verwendung von Wasserstoff.pdf</t>
  </si>
  <si>
    <t>Direct reduction steel</t>
  </si>
  <si>
    <t>Process heat</t>
  </si>
  <si>
    <t>https://www.dena.de/fileadmin/dena/Publikationen/PDFs/2019/Factsheet_PowerFuels_Stahlproduktion_Industrielle_Prozesswaerme.pdf</t>
  </si>
  <si>
    <t>US energy comparison</t>
  </si>
  <si>
    <t>p. 25</t>
  </si>
  <si>
    <t>https://www.hydrogen.energy.gov/pdfs/review19/sa172_elgowainy_2019_o.pdf</t>
  </si>
  <si>
    <t>fuel  191 (Kohlenstoffträger)+50 (Erdgas-Sauerstoffbrenner ) kWh / t = 0.86 GJ/t + 1.26 GJ/t (0,35 MWh/t) Gas for warm rolling = 2.12 GJ/t
elec  0,530 MWh/t = 1.908 GJ/t + 0.42 GJ/t (0,117 MWh/t) for warm rolling = 2.33 GJ/t</t>
  </si>
  <si>
    <t>fuel 18,13 + 1.26 GJ/t (0,35 MWh/t) Gas for warm rolling = 19.39 GJ/t
elec  0,39 MWh (=1,4 GJ/t) + 0.42 GJ/t (0,117 MWh/t) for warm rolling = 1.82 GJ/t</t>
  </si>
  <si>
    <t>alu_prim</t>
  </si>
  <si>
    <t xml:space="preserve">Electricity and fuel demand </t>
  </si>
  <si>
    <t>https://www.bmwk.de/Redaktion/DE/Downloads/E/energiewende-in-der-industrie-ap2a-branchensteckbrief-metall.pdf?__blob=publicationFile&amp;v=4</t>
  </si>
  <si>
    <t>Fuel: Further processing and anode production
Elec: electrolysis and further processing (alloying)</t>
  </si>
  <si>
    <t>fuel: 1.28+0.4 = 1.64 GJ/t
elec: (13.9MWh/t = )50GJ/t + (126 kWh/t =)0.45 GJ/t + 2 GJ/t = 52.45</t>
  </si>
  <si>
    <t>https://www.umweltbundesamt.at/fileadmin/site/publikationen/REP0303.pdf</t>
  </si>
  <si>
    <t>p. 34 Table: "Input bei der Primäraluminium-Herstellung durch Schmelzflusselektrolyse pro Tonne Aluminium (GEMIS)"</t>
  </si>
  <si>
    <t>Fuel and electricity demand</t>
  </si>
  <si>
    <t xml:space="preserve">elec: 48.2 GJ/t
process heat: 3.8 GJ/t </t>
  </si>
  <si>
    <t xml:space="preserve">Electricity and process heat demand </t>
  </si>
  <si>
    <t>Based on F2, fuel demand in [1] is considered as a process heat demand</t>
  </si>
  <si>
    <t>635 m³ H2 (53,4kg) / t = 53.4kg*33.33kWh/kg = 6.4 GJ/t
0,23 MWh/t elec for preheating = 0.828 GJ/t
0,08 MWh/t elec for mechanical work = 0.288 GJ/t</t>
  </si>
  <si>
    <t>alu_sec</t>
  </si>
  <si>
    <t>Fuel for smelting and total energy demand</t>
  </si>
  <si>
    <t>fuel: 5,9 GJ/t for smelting
total: 11.2 GJ/t</t>
  </si>
  <si>
    <t>fuel (4,4–4,7GJ/t) or (2,5–4,3GJ/t)
Gas 3,53GJ/t or 3,81GJ/t
elec: 0.4-0.9 GJ/t</t>
  </si>
  <si>
    <t>Fig. 3-17</t>
  </si>
  <si>
    <t xml:space="preserve">Der spezifische Strombedarf für die NE-Metallgießereien beträgt etwa 1,5 MWh/t.
Insgesamt ergibt sich für die NE-Metallgießereien ein spezifischer Energieverbrauch von 3,6 MWh/t. </t>
  </si>
  <si>
    <t>elec: 1,5/1000*3600 = 5,4 GJ/t for casting
fuel: (3,6-1,5)/1000*3600 = 7,56 GJ/t for casting</t>
  </si>
  <si>
    <t>Für die Primärkupferherstellung werden ab dem Kupferwerk etwa
0,77 MWh/t (Strom) verwendet.
Herstellung von Primärkupfer fällt ab dem Kupferwerk bis zur Kathode</t>
  </si>
  <si>
    <t>elec: 0,77 MWh/t/1000*3600 = 2,77 GJ/t 
fuel: 2,2 MWh/t /1000*3600 = 7,92 GJ/t</t>
  </si>
  <si>
    <t>from flotation till processing</t>
  </si>
  <si>
    <t>from flotation till processing
processing</t>
  </si>
  <si>
    <t>total: 8.54 GJ/t (Germany) or 10.29 (EU)
+ processing: 5.8 GJ/t</t>
  </si>
  <si>
    <t>p. 44</t>
  </si>
  <si>
    <t>elec 3,54 GJ/t, Diesel 2.7 GJ/t
elec: 4.4 GJ/t, fuel: 6.3 GJ/t</t>
  </si>
  <si>
    <t>Row ore and concentrate processing
from flotation till processing</t>
  </si>
  <si>
    <t>elec: 0,64/1000*3600 = 2,30 GJ/t
fuel: 1,1MWh/1000*3600 = 3,96 GJ/t</t>
  </si>
  <si>
    <t>Sekundärkupfer ähnlich hoher spezifischer Stromverbrauch  0,64 MWh/t .
In der Sekundärkupferproduktion sind lediglich etwa 50 Prozent des Brennstoffbedarfs der Primärkupferherstellung erforderlich (1,1 MWh/t)</t>
  </si>
  <si>
    <t>total: 6.3 GJ/t (Germany) or 6.5 (EU)
+ processing: 5.8 GJ/t</t>
  </si>
  <si>
    <t>p. 47</t>
  </si>
  <si>
    <t>elec 2.16GJ/t, fuel (Gas) 4.6 GJ/t</t>
  </si>
  <si>
    <t>chlorine</t>
  </si>
  <si>
    <t>Best Available Techniques (BAT)
Reference Document for the Production of Chlor-alkali</t>
  </si>
  <si>
    <t>p. 6 (30)</t>
  </si>
  <si>
    <t>Der spezifische  Energieverbrauch  des  Membranverfahrens  ist  mit  9,2-9,8GJ/t  am  geringsten. Davon  entfallen  0,6GJ/t  auf  den  Dampfbedarf  zur  Eindampfung  und  auf Konzentration der Lauge.</t>
  </si>
  <si>
    <t>A2</t>
  </si>
  <si>
    <t xml:space="preserve">Based on trend in capacity - membrance cell technique is the one staying in the future. </t>
  </si>
  <si>
    <t>Average value for electricity consumption taken</t>
  </si>
  <si>
    <t>Assumptions:</t>
  </si>
  <si>
    <t>cement</t>
  </si>
  <si>
    <t>[2]</t>
  </si>
  <si>
    <t>https://www.bmwk.de/Redaktion/DE/Downloads/E/energiewende-in-der-industrie-ap2a-branchensteckbrief-zement.pdf?__blob=publicationFile&amp;v=4</t>
  </si>
  <si>
    <t>elec: 3.8*3600/34000= 0.402
heat: 26.9*3600/34000 = 2.848</t>
  </si>
  <si>
    <t>p. 78 (120)</t>
  </si>
  <si>
    <t>Specific energy consumption of selected countries 2010</t>
  </si>
  <si>
    <t>German electricity and process heat consumption as well as production amounts 2017</t>
  </si>
  <si>
    <t>German distribution of electricity and heat applied to all countries</t>
  </si>
  <si>
    <t>For countries not specified in [2] EU average taken</t>
  </si>
  <si>
    <t>elec: 0.402/(0.402+2.848) = 12.38%
heat: 2.848/(0.402+2.848) = 87.62%</t>
  </si>
  <si>
    <t>glass</t>
  </si>
  <si>
    <t>Table 4
Table 3</t>
  </si>
  <si>
    <t>Glass specific consumption per subsector
Distribution on electricity and heat</t>
  </si>
  <si>
    <t>Production amounts per subsector</t>
  </si>
  <si>
    <t>Calculation:</t>
  </si>
  <si>
    <t>C1</t>
  </si>
  <si>
    <t>average specific energy (electricity or heat) consumption is obtained by weightening the specific consumptions of the subsectors based on their production amounts</t>
  </si>
  <si>
    <t>see calculation for Germany as an exampel</t>
  </si>
  <si>
    <t>paper</t>
  </si>
  <si>
    <t>Table 1, see C1 and C2</t>
  </si>
  <si>
    <t>https://www.bmwk.de/Redaktion/DE/Downloads/E/energiewende-in-der-industrie-ap2a-branchensteckbrief-papier.pdf?__blob=publicationFile&amp;v=4</t>
  </si>
  <si>
    <t>Average paper consumption in Germany (with distribution of electricity and heat)</t>
  </si>
  <si>
    <t>All countries as Germany</t>
  </si>
  <si>
    <t>Calculations:</t>
  </si>
  <si>
    <t>elec: 18,8*3600/22,6/1000=2,9947 GJ/t</t>
  </si>
  <si>
    <t>C2</t>
  </si>
  <si>
    <t>fuel: (65,7-18,8)*3600/22,6/1000 = 7,4708 GJ/t</t>
  </si>
  <si>
    <t>Specific demand for other Europenian countries</t>
  </si>
  <si>
    <t>p. 85 (127)</t>
  </si>
  <si>
    <t>ammonia</t>
  </si>
  <si>
    <t>ammonia_classic</t>
  </si>
  <si>
    <t>Energy demand</t>
  </si>
  <si>
    <t>H2: 178 kg_h2/ t * 33,33 kWh/kg = 178*33,33/1000000*3600 = 21,3579 GJ/t</t>
  </si>
  <si>
    <t>elec: 5+1,19 = 6,19 GJ/t</t>
  </si>
  <si>
    <t>methanol_classic</t>
  </si>
  <si>
    <t>Table 14</t>
  </si>
  <si>
    <t>Table 11</t>
  </si>
  <si>
    <t>H2:  189 kg_H2/t * 33,33 kWh/kg = 189*33,33*3600/1000000 = 22,6777 GJ H2 / t_methanol</t>
  </si>
  <si>
    <t>elec:  5,4 GJ/t</t>
  </si>
  <si>
    <t>Chemicals, steel, cement production with green hydrogen</t>
  </si>
  <si>
    <t>https://www.isi.fraunhofer.de/content/dam/isi/dokumente/cce/2020/6-110-20_Neuwirth.pdf</t>
  </si>
  <si>
    <t>189 tonns of H2 for 1 ton of methanol</t>
  </si>
  <si>
    <t>ethylene, propylene (olefins)</t>
  </si>
  <si>
    <t xml:space="preserve">4.5.1 Conventional ethylene and propylene production </t>
  </si>
  <si>
    <t>16.5 GJ/t</t>
  </si>
  <si>
    <t>Distribution of electricity and fuel demand as for methanol</t>
  </si>
  <si>
    <t>fuel: (13.9-2)/(13.9-2+0.6)*16.5 = 15.7 GJ/t</t>
  </si>
  <si>
    <t>15,3 GJ/t in Europe; 15,6 GJ/t in Germany</t>
  </si>
  <si>
    <t>https://www.bmwk.de/Redaktion/DE/Downloads/E/energiewende-in-der-industrie-ap2a-branchensteckbrief-chemie.pdf?__blob=publicationFile&amp;v=4</t>
  </si>
  <si>
    <t>12.2 GJ/t
older sources 14-17 GJ/t</t>
  </si>
  <si>
    <t>Energy demand for HVC</t>
  </si>
  <si>
    <t>2.67 t methanol for 1t ethylene or propylene</t>
  </si>
  <si>
    <t>(Dechema 2017)</t>
  </si>
  <si>
    <t>Dechema 2017</t>
  </si>
  <si>
    <t>2.8 t methanol</t>
  </si>
  <si>
    <t xml:space="preserve">	• MTO route stoichiometrically requires 2.28 t methanol/t propylene. 
	Stoichiometrically, 2.28 tons of methanol are required per ton of ethylene or propylene. 
	[…]
	plus the emissions caused by production of 2.83 t methanol stoichiometrically required as feed in the MTO process (??)</t>
  </si>
  <si>
    <t>(Tian et al. 2015) in Agora 2018</t>
  </si>
  <si>
    <t>aromatics</t>
  </si>
  <si>
    <t xml:space="preserve"> 4.3 tons of methanol per ton of BTX</t>
  </si>
  <si>
    <t>p. 71</t>
  </si>
  <si>
    <t>copper_prim</t>
  </si>
  <si>
    <t>copper_sec</t>
  </si>
  <si>
    <t>Description</t>
  </si>
  <si>
    <t>Value</t>
  </si>
  <si>
    <t>Web</t>
  </si>
  <si>
    <t>Publisher</t>
  </si>
  <si>
    <t>Title</t>
  </si>
  <si>
    <t>Year</t>
  </si>
  <si>
    <t>Page</t>
  </si>
  <si>
    <t>Energiewende in der Industrie: Branchensteckbrief der Eisen- und Stahlindustrie</t>
  </si>
  <si>
    <t>Accessed</t>
  </si>
  <si>
    <t>02.11.2023</t>
  </si>
  <si>
    <t>Navigant Energy Germany GmbH, Institut für Energiewirtschaft und Rationelle Energieanwendung, Forschungsgesellschaft für Energiewirtschaft, BBG und Partner</t>
  </si>
  <si>
    <t>p. 7</t>
  </si>
  <si>
    <t>p. 7,12</t>
  </si>
  <si>
    <t>p. 10,12</t>
  </si>
  <si>
    <t>https://germany.arcelormittal.com/icc/arcelor/med/b8e/b8e0c15a-102c-d51d-b2a9-147d7b2f25d3,11111111-1111-1111-1111-111111111111.pdf</t>
  </si>
  <si>
    <t>Author</t>
  </si>
  <si>
    <t>Hölling, Marc; Weng, Matthias; Gellert, Sebastian</t>
  </si>
  <si>
    <t>Stahl und Eisen, Vol. 137, Nr. 6</t>
  </si>
  <si>
    <t>Energiewende in der Industrie: Branchensteckbrief der NE-Metallindustrie</t>
  </si>
  <si>
    <t>Kuder, Ralf</t>
  </si>
  <si>
    <t>Energieeffizienz in der Industrie: Modellgestützte Analyse des effizienten Energieeinsatzes in der EU-27 mit Fokus auf den Industriesektor</t>
  </si>
  <si>
    <t>Institut für Energiewirtschaft und Rationelle Energieanwendung, Stuttgart</t>
  </si>
  <si>
    <t>p.75</t>
  </si>
  <si>
    <t>Energiewende in der Industrie: Branchensteckbrief der Zement- und Kalkindustrie</t>
  </si>
  <si>
    <t>Brinkmann T; Giner Santonja G; Schorcht F; Roudier S; Delgado Sancho L</t>
  </si>
  <si>
    <t>https://eippcb.jrc.ec.europa.eu/sites/default/files/2019-11/CAK_BREF_102014.pdf</t>
  </si>
  <si>
    <t>Publications Office of the European Union</t>
  </si>
  <si>
    <t>https://doi.org/10.1016/j.enpol.2010.09.022</t>
  </si>
  <si>
    <t>Energy consumption and CO2 emissions of the European glass industry</t>
  </si>
  <si>
    <t>Schmitz, Andreas; Kamiński, Jacek; Maria Scalet, Bianca; Soria, Antonio</t>
  </si>
  <si>
    <t>Energy Policy</t>
  </si>
  <si>
    <t>see Production_Glass.xlsx</t>
  </si>
  <si>
    <t>Energiewende in der Industrie: Branchensteckbrief der Papierindustrie</t>
  </si>
  <si>
    <t>Bazzanella, Alexis Michael, Ausfelder, Florian</t>
  </si>
  <si>
    <t>Low carbon energy and feedstock for the European chemical industry</t>
  </si>
  <si>
    <t>The European Chemical Industry Council</t>
  </si>
  <si>
    <t xml:space="preserve">ethylene-, propylene- (olefins)-classic </t>
  </si>
  <si>
    <t xml:space="preserve">aromatics-classic </t>
  </si>
  <si>
    <t>4.6.1 Conventional production of BTX [TRL9]</t>
  </si>
  <si>
    <t>7 GJ/t</t>
  </si>
  <si>
    <t xml:space="preserve">see Energy demand for HVC in ethylene-, propylene- (olefins)-classic </t>
  </si>
  <si>
    <t>fuel: (13.9-2)/(13.9-2+0.6)*7 = 6.66 GJ/t</t>
  </si>
  <si>
    <t>Comment for max. subst.</t>
  </si>
  <si>
    <t>Assumption</t>
  </si>
  <si>
    <t xml:space="preserve">elec: 14,5 MWh/t = 52,2 GJ/t
fuel: 4,78 MWh/t * 19% = 3.27 GJ/t (81% fuel demand for the anode)
Casting (Gießen)
elec: 1,6 MWh/t = 5,76 GJ/t
fuel: 2,0 MWh/t = 7,2 GJ/t </t>
  </si>
  <si>
    <t xml:space="preserve">elec: 0,5 MWh/t = 1.8 GJ/t
fuel: 2,5 MWh/t = 9 GJ/t
Casting (Gießen)
elec: 1,6 MWh/t = 5,76 GJ/t
fuel: 2,0 MWh/t = 7,2 GJ/t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</si>
</sst>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.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4" fontId="0" fillId="0" borderId="0" xfId="0" applyNumberFormat="1"/>
    <xf numFmtId="2" fontId="0" fillId="0" borderId="0" xfId="0" applyNumberFormat="1"/>
    <xf numFmtId="0" fontId="3" fillId="0" borderId="0" xfId="1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2" fillId="2" borderId="0" xfId="1" applyFill="1"/>
    <xf numFmtId="0" fontId="2" fillId="0" borderId="0" xfId="1" applyFill="1"/>
    <xf numFmtId="0" fontId="3" fillId="0" borderId="0" xfId="1" applyFont="1" applyFill="1"/>
    <xf numFmtId="0" fontId="3" fillId="0" borderId="0" xfId="0" applyFont="1"/>
    <xf numFmtId="164" fontId="0" fillId="0" borderId="0" xfId="0" applyNumberFormat="1"/>
    <xf numFmtId="0" fontId="3" fillId="2" borderId="0" xfId="1" applyFont="1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/>
    <xf numFmtId="0" fontId="3" fillId="0" borderId="0" xfId="1" applyFont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s://d-nb.info/1049260554/34" TargetMode="External"/><Relationship Id="rId18" Type="http://schemas.openxmlformats.org/officeDocument/2006/relationships/hyperlink" Target="https://www.umweltbundesamt.at/fileadmin/site/publikationen/REP0303.pdf" TargetMode="External"/><Relationship Id="rId26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39" Type="http://schemas.openxmlformats.org/officeDocument/2006/relationships/hyperlink" Target="https://www.bmwk.de/Redaktion/DE/Downloads/E/energiewende-in-der-industrie-ap2a-branchensteckbrief-metall.pdf?__blob=publicationFile&amp;v=4" TargetMode="External"/><Relationship Id="rId21" Type="http://schemas.openxmlformats.org/officeDocument/2006/relationships/hyperlink" Target="https://d-nb.info/1049260554/34" TargetMode="External"/><Relationship Id="rId34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42" Type="http://schemas.openxmlformats.org/officeDocument/2006/relationships/printerSettings" Target="../printerSettings/printerSettings6.bin"/><Relationship Id="rId7" Type="http://schemas.openxmlformats.org/officeDocument/2006/relationships/hyperlink" Target="https://www.stahl-online.de/wp-content/uploads/2017/12/Fakten_Stahlindustrie_2017_rz_web.pdf" TargetMode="External"/><Relationship Id="rId2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16" Type="http://schemas.openxmlformats.org/officeDocument/2006/relationships/hyperlink" Target="https://www.umweltbundesamt.at/fileadmin/site/publikationen/REP0303.pdf" TargetMode="External"/><Relationship Id="rId20" Type="http://schemas.openxmlformats.org/officeDocument/2006/relationships/hyperlink" Target="https://www.umweltbundesamt.at/fileadmin/site/publikationen/REP0303.pdf" TargetMode="External"/><Relationship Id="rId29" Type="http://schemas.openxmlformats.org/officeDocument/2006/relationships/hyperlink" Target="https://d-nb.info/1049260554/34" TargetMode="External"/><Relationship Id="rId41" Type="http://schemas.openxmlformats.org/officeDocument/2006/relationships/hyperlink" Target="https://www.bmwk.de/Redaktion/DE/Downloads/E/energiewende-in-der-industrie-ap2a-branchensteckbrief-papier.pdf?__blob=publicationFile&amp;v=4" TargetMode="External"/><Relationship Id="rId1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6" Type="http://schemas.openxmlformats.org/officeDocument/2006/relationships/hyperlink" Target="https://issuu.com/stahlonline/docs/fakten_stahlindustrie_2017_rz_web_faa65d6cfd2e15" TargetMode="External"/><Relationship Id="rId11" Type="http://schemas.openxmlformats.org/officeDocument/2006/relationships/hyperlink" Target="https://www.hydrogen.energy.gov/pdfs/review19/sa172_elgowainy_2019_o.pdf" TargetMode="External"/><Relationship Id="rId24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32" Type="http://schemas.openxmlformats.org/officeDocument/2006/relationships/hyperlink" Target="https://www.isi.fraunhofer.de/content/dam/isi/dokumente/cce/2020/6-110-20_Neuwirth.pdf" TargetMode="External"/><Relationship Id="rId37" Type="http://schemas.openxmlformats.org/officeDocument/2006/relationships/hyperlink" Target="https://www.bmwk.de/Redaktion/DE/Downloads/E/energiewende-in-der-industrie-ap2a-branchensteckbrief-metall.pdf?__blob=publicationFile&amp;v=4" TargetMode="External"/><Relationship Id="rId40" Type="http://schemas.openxmlformats.org/officeDocument/2006/relationships/hyperlink" Target="https://doi.org/10.1016/j.enpol.2010.09.022" TargetMode="External"/><Relationship Id="rId5" Type="http://schemas.openxmlformats.org/officeDocument/2006/relationships/hyperlink" Target="https://eneff-industrie.info/quickinfos/energieintensive-branchen/daten-zu-besonders-energiehungrigen-produktionsbereichen/" TargetMode="External"/><Relationship Id="rId15" Type="http://schemas.openxmlformats.org/officeDocument/2006/relationships/hyperlink" Target="https://d-nb.info/1049260554/34" TargetMode="External"/><Relationship Id="rId23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28" Type="http://schemas.openxmlformats.org/officeDocument/2006/relationships/hyperlink" Target="https://www.isi.fraunhofer.de/content/dam/isi/dokumente/cce/2020/6-110-20_Neuwirth.pdf" TargetMode="External"/><Relationship Id="rId36" Type="http://schemas.openxmlformats.org/officeDocument/2006/relationships/hyperlink" Target="https://germany.arcelormittal.com/icc/arcelor/med/b8e/b8e0c15a-102c-d51d-b2a9-147d7b2f25d3,11111111-1111-1111-1111-111111111111.pdf" TargetMode="External"/><Relationship Id="rId10" Type="http://schemas.openxmlformats.org/officeDocument/2006/relationships/hyperlink" Target="https://www.umweltbundesamt.de/sites/default/files/medien/367/dokumente/bvt-merkblatt_eisen-_und_stahlerzeugung_endfassung.pdf" TargetMode="External"/><Relationship Id="rId19" Type="http://schemas.openxmlformats.org/officeDocument/2006/relationships/hyperlink" Target="https://d-nb.info/1049260554/34" TargetMode="External"/><Relationship Id="rId31" Type="http://schemas.openxmlformats.org/officeDocument/2006/relationships/hyperlink" Target="https://static.agora-energiewende.de/fileadmin/Projekte/2018/Dekarbonisierung_Industrie/166_A-EW_Klimaneutrale_Industrie_Ausfuehrliche-Darstellung_WEB.pdf" TargetMode="External"/><Relationship Id="rId4" Type="http://schemas.openxmlformats.org/officeDocument/2006/relationships/hyperlink" Target="https://issuu.com/stahlonline/docs/fakten_stahlindustrie_2014-04_6" TargetMode="External"/><Relationship Id="rId9" Type="http://schemas.openxmlformats.org/officeDocument/2006/relationships/hyperlink" Target="https://www.bmu.de/fileadmin/Daten_BMU/Pools/Forschungsdatenbank/fkz_3712_12_102_energieeffizienzma%C3%9Fnahmen_bewertung_bf.pdf" TargetMode="External"/><Relationship Id="rId14" Type="http://schemas.openxmlformats.org/officeDocument/2006/relationships/hyperlink" Target="https://www.umweltbundesamt.at/fileadmin/site/publikationen/REP0303.pdf" TargetMode="External"/><Relationship Id="rId22" Type="http://schemas.openxmlformats.org/officeDocument/2006/relationships/hyperlink" Target="https://www.bmwk.de/Redaktion/DE/Downloads/E/energiewende-in-der-industrie-ap2a-branchensteckbrief-zement.pdf?__blob=publicationFile&amp;v=4" TargetMode="External"/><Relationship Id="rId27" Type="http://schemas.openxmlformats.org/officeDocument/2006/relationships/hyperlink" Target="https://static.agora-energiewende.de/fileadmin/Projekte/2018/Dekarbonisierung_Industrie/166_A-EW_Klimaneutrale_Industrie_Ausfuehrliche-Darstellung_WEB.pdf" TargetMode="External"/><Relationship Id="rId30" Type="http://schemas.openxmlformats.org/officeDocument/2006/relationships/hyperlink" Target="https://www.bmwk.de/Redaktion/DE/Downloads/E/energiewende-in-der-industrie-ap2a-branchensteckbrief-chemie.pdf?__blob=publicationFile&amp;v=4" TargetMode="External"/><Relationship Id="rId35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8" Type="http://schemas.openxmlformats.org/officeDocument/2006/relationships/hyperlink" Target="https://d-nb.info/1049260554/34" TargetMode="External"/><Relationship Id="rId3" Type="http://schemas.openxmlformats.org/officeDocument/2006/relationships/hyperlink" Target="https://www.stahl-online.de/wp-content/uploads/2013/12/Fakten_Stahlindustrie_2014-04_6.pdf" TargetMode="External"/><Relationship Id="rId12" Type="http://schemas.openxmlformats.org/officeDocument/2006/relationships/hyperlink" Target="https://www.bmwk.de/Redaktion/DE/Downloads/E/energiewende-in-der-industrie-ap2a-branchensteckbrief-metall.pdf?__blob=publicationFile&amp;v=4" TargetMode="External"/><Relationship Id="rId17" Type="http://schemas.openxmlformats.org/officeDocument/2006/relationships/hyperlink" Target="https://d-nb.info/1049260554/34" TargetMode="External"/><Relationship Id="rId25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33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38" Type="http://schemas.openxmlformats.org/officeDocument/2006/relationships/hyperlink" Target="https://www.bmwk.de/Redaktion/DE/Downloads/E/energiewende-in-der-industrie-ap2a-branchensteckbrief-metall.pdf?__blob=publicationFile&amp;v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19.529999999999998</v>
      </c>
      <c r="C2">
        <v>1.4</v>
      </c>
      <c r="D2">
        <v>18.13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27D6-8D65-4671-8DD1-43F950DA3662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21.21</v>
      </c>
      <c r="C2">
        <f>1.4+0.42</f>
        <v>1.8199999999999998</v>
      </c>
      <c r="D2">
        <f>18.13+1.26</f>
        <v>19.39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85AB-16D4-4A0B-ADDF-850D42A5A729}">
  <dimension ref="A1:F2"/>
  <sheetViews>
    <sheetView workbookViewId="0">
      <selection activeCell="A2" sqref="A2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4.45</v>
      </c>
      <c r="C2">
        <f xml:space="preserve"> 1.91+0.42</f>
        <v>2.33</v>
      </c>
      <c r="D2">
        <f>0.86+1.26</f>
        <v>2.12</v>
      </c>
      <c r="E2">
        <v>0</v>
      </c>
      <c r="F2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C2+F2</f>
        <v>7.5233591999999998</v>
      </c>
      <c r="C2">
        <f>0.828+0.288</f>
        <v>1.1159999999999999</v>
      </c>
      <c r="D2">
        <v>0</v>
      </c>
      <c r="E2">
        <v>0</v>
      </c>
      <c r="F2">
        <f>53.4*33.33*3.6/1000</f>
        <v>6.4073592000000001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7" sqref="C7"/>
    </sheetView>
  </sheetViews>
  <sheetFormatPr baseColWidth="10" defaultRowHeight="15" x14ac:dyDescent="0.25"/>
  <cols>
    <col min="3" max="3" width="32.85546875" bestFit="1" customWidth="1"/>
  </cols>
  <sheetData>
    <row r="1" spans="1:8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  <c r="H1" t="s">
        <v>224</v>
      </c>
    </row>
    <row r="2" spans="1:8" x14ac:dyDescent="0.25">
      <c r="A2" t="s">
        <v>2</v>
      </c>
      <c r="B2">
        <f>C2+D2</f>
        <v>68.430000000000007</v>
      </c>
      <c r="C2">
        <f>52.2+5.76</f>
        <v>57.96</v>
      </c>
      <c r="D2">
        <f>3.27+7.2</f>
        <v>10.47</v>
      </c>
      <c r="E2" s="5">
        <v>20</v>
      </c>
      <c r="F2">
        <v>0</v>
      </c>
      <c r="H2" t="s">
        <v>225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C2" sqref="C2:D2"/>
    </sheetView>
  </sheetViews>
  <sheetFormatPr baseColWidth="10" defaultRowHeight="15" x14ac:dyDescent="0.25"/>
  <cols>
    <col min="3" max="3" width="32.85546875" bestFit="1" customWidth="1"/>
  </cols>
  <sheetData>
    <row r="1" spans="1:8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  <c r="H1" t="s">
        <v>224</v>
      </c>
    </row>
    <row r="2" spans="1:8" x14ac:dyDescent="0.25">
      <c r="A2" t="s">
        <v>2</v>
      </c>
      <c r="B2">
        <f>C2+D2</f>
        <v>23.759999999999998</v>
      </c>
      <c r="C2">
        <f>1.8+5.76</f>
        <v>7.56</v>
      </c>
      <c r="D2">
        <f>9+7.2</f>
        <v>16.2</v>
      </c>
      <c r="E2" s="5">
        <v>20</v>
      </c>
      <c r="F2">
        <v>0</v>
      </c>
      <c r="H2" t="s">
        <v>225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E066-32DE-425F-8D73-79DC092500AB}">
  <dimension ref="A1:H2"/>
  <sheetViews>
    <sheetView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  <c r="H1" t="s">
        <v>224</v>
      </c>
    </row>
    <row r="2" spans="1:8" x14ac:dyDescent="0.25">
      <c r="A2" t="s">
        <v>2</v>
      </c>
      <c r="B2">
        <f>C2+D2</f>
        <v>23.65</v>
      </c>
      <c r="C2">
        <f>2.77+5.4</f>
        <v>8.17</v>
      </c>
      <c r="D2">
        <f>7.92+7.56</f>
        <v>15.48</v>
      </c>
      <c r="E2" s="5">
        <v>20</v>
      </c>
      <c r="F2">
        <v>0</v>
      </c>
      <c r="H2" t="s">
        <v>225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G1" sqref="G1"/>
    </sheetView>
  </sheetViews>
  <sheetFormatPr baseColWidth="10" defaultColWidth="9.140625" defaultRowHeight="15" x14ac:dyDescent="0.25"/>
  <cols>
    <col min="2" max="2" width="29.7109375" bestFit="1" customWidth="1"/>
    <col min="3" max="3" width="32.5703125" bestFit="1" customWidth="1"/>
    <col min="4" max="4" width="27.5703125" bestFit="1" customWidth="1"/>
    <col min="5" max="5" width="27.42578125" bestFit="1" customWidth="1"/>
  </cols>
  <sheetData>
    <row r="1" spans="1:7" x14ac:dyDescent="0.25">
      <c r="A1" s="2" t="s">
        <v>0</v>
      </c>
      <c r="B1" s="2" t="s">
        <v>3</v>
      </c>
      <c r="C1" s="2" t="s">
        <v>5</v>
      </c>
      <c r="D1" s="2" t="s">
        <v>4</v>
      </c>
      <c r="E1" s="2" t="s">
        <v>35</v>
      </c>
      <c r="F1" s="2" t="s">
        <v>21</v>
      </c>
      <c r="G1" s="4" t="s">
        <v>224</v>
      </c>
    </row>
    <row r="2" spans="1:7" x14ac:dyDescent="0.25">
      <c r="A2" t="s">
        <v>13</v>
      </c>
      <c r="B2">
        <v>9.0660859663798394</v>
      </c>
      <c r="C2">
        <v>1.5833107034555201</v>
      </c>
      <c r="D2">
        <v>7.482775262924326</v>
      </c>
      <c r="E2">
        <v>20</v>
      </c>
      <c r="F2">
        <v>0</v>
      </c>
      <c r="G2" t="s">
        <v>225</v>
      </c>
    </row>
    <row r="3" spans="1:7" x14ac:dyDescent="0.25">
      <c r="A3" t="s">
        <v>14</v>
      </c>
      <c r="B3">
        <v>9.7237367878319159</v>
      </c>
      <c r="C3">
        <v>1.380685253931426</v>
      </c>
      <c r="D3">
        <v>8.3430515339004891</v>
      </c>
      <c r="E3">
        <v>20</v>
      </c>
      <c r="F3">
        <v>0</v>
      </c>
    </row>
    <row r="4" spans="1:7" x14ac:dyDescent="0.25">
      <c r="A4" t="s">
        <v>31</v>
      </c>
      <c r="B4">
        <v>7.0720665531551461</v>
      </c>
      <c r="C4">
        <v>2.4479405419715552</v>
      </c>
      <c r="D4">
        <v>4.6241260111835896</v>
      </c>
      <c r="E4">
        <v>20</v>
      </c>
      <c r="F4">
        <v>0</v>
      </c>
    </row>
    <row r="5" spans="1:7" x14ac:dyDescent="0.25">
      <c r="A5" t="s">
        <v>6</v>
      </c>
      <c r="B5">
        <v>7.5230587222362084</v>
      </c>
      <c r="C5">
        <v>1.389896080003405</v>
      </c>
      <c r="D5">
        <v>6.1331626422328034</v>
      </c>
      <c r="E5">
        <v>20</v>
      </c>
      <c r="F5">
        <v>0</v>
      </c>
    </row>
    <row r="6" spans="1:7" x14ac:dyDescent="0.25">
      <c r="A6" t="s">
        <v>30</v>
      </c>
      <c r="B6">
        <v>11.901192052187749</v>
      </c>
      <c r="C6">
        <v>2.9658266763981702</v>
      </c>
      <c r="D6">
        <v>8.9353653757895817</v>
      </c>
      <c r="E6">
        <v>20</v>
      </c>
      <c r="F6">
        <v>0</v>
      </c>
    </row>
    <row r="7" spans="1:7" x14ac:dyDescent="0.25">
      <c r="A7" t="s">
        <v>29</v>
      </c>
      <c r="B7">
        <v>7.0439687205015487</v>
      </c>
      <c r="C7">
        <v>1.3377337885316221</v>
      </c>
      <c r="D7">
        <v>5.7062349319699264</v>
      </c>
      <c r="E7">
        <v>20</v>
      </c>
      <c r="F7">
        <v>0</v>
      </c>
    </row>
    <row r="8" spans="1:7" x14ac:dyDescent="0.25">
      <c r="A8" t="s">
        <v>9</v>
      </c>
      <c r="B8">
        <v>7.5701241071609964</v>
      </c>
      <c r="C8">
        <v>1.294389705186046</v>
      </c>
      <c r="D8">
        <v>6.2757344019749493</v>
      </c>
      <c r="E8">
        <v>20</v>
      </c>
      <c r="F8">
        <v>0</v>
      </c>
    </row>
    <row r="9" spans="1:7" x14ac:dyDescent="0.25">
      <c r="A9" t="s">
        <v>7</v>
      </c>
      <c r="B9">
        <v>8.1921937844927015</v>
      </c>
      <c r="C9">
        <v>1.4449081059447679</v>
      </c>
      <c r="D9">
        <v>6.7472856785479358</v>
      </c>
      <c r="E9">
        <v>20</v>
      </c>
      <c r="F9">
        <v>0</v>
      </c>
    </row>
    <row r="10" spans="1:7" x14ac:dyDescent="0.25">
      <c r="A10" t="s">
        <v>28</v>
      </c>
      <c r="B10">
        <v>9.974738004657695</v>
      </c>
      <c r="C10">
        <v>2.1473226309310052</v>
      </c>
      <c r="D10">
        <v>7.8274153737266872</v>
      </c>
      <c r="E10">
        <v>20</v>
      </c>
      <c r="F10">
        <v>0</v>
      </c>
    </row>
    <row r="11" spans="1:7" x14ac:dyDescent="0.25">
      <c r="A11" t="s">
        <v>8</v>
      </c>
      <c r="B11">
        <v>7.1144662893787514</v>
      </c>
      <c r="C11">
        <v>1.126689552739994</v>
      </c>
      <c r="D11">
        <v>5.9877767366387573</v>
      </c>
      <c r="E11">
        <v>20</v>
      </c>
      <c r="F11">
        <v>0</v>
      </c>
    </row>
    <row r="12" spans="1:7" x14ac:dyDescent="0.25">
      <c r="A12" t="s">
        <v>27</v>
      </c>
      <c r="B12">
        <v>13.7</v>
      </c>
      <c r="C12">
        <v>3.3839000000000001</v>
      </c>
      <c r="D12">
        <v>10.3161</v>
      </c>
      <c r="E12">
        <v>20</v>
      </c>
      <c r="F12">
        <v>0</v>
      </c>
    </row>
    <row r="13" spans="1:7" x14ac:dyDescent="0.25">
      <c r="A13" t="s">
        <v>26</v>
      </c>
      <c r="B13">
        <v>7.5</v>
      </c>
      <c r="C13">
        <v>3.375</v>
      </c>
      <c r="D13">
        <v>4.125</v>
      </c>
      <c r="E13">
        <v>20</v>
      </c>
      <c r="F13">
        <v>0</v>
      </c>
    </row>
    <row r="14" spans="1:7" x14ac:dyDescent="0.25">
      <c r="A14" t="s">
        <v>25</v>
      </c>
      <c r="B14">
        <v>6.4</v>
      </c>
      <c r="C14">
        <v>0.99199999999999999</v>
      </c>
      <c r="D14">
        <v>5.4080000000000004</v>
      </c>
      <c r="E14">
        <v>20</v>
      </c>
      <c r="F14">
        <v>0</v>
      </c>
    </row>
    <row r="15" spans="1:7" x14ac:dyDescent="0.25">
      <c r="A15" t="s">
        <v>24</v>
      </c>
      <c r="B15">
        <v>8.92406441312548</v>
      </c>
      <c r="C15">
        <v>1.902495800482382</v>
      </c>
      <c r="D15">
        <v>7.0215686126430992</v>
      </c>
      <c r="E15">
        <v>20</v>
      </c>
      <c r="F15">
        <v>0</v>
      </c>
    </row>
    <row r="16" spans="1:7" x14ac:dyDescent="0.25">
      <c r="A16" t="s">
        <v>11</v>
      </c>
      <c r="B16">
        <v>7.9022755064403132</v>
      </c>
      <c r="C16">
        <v>1.6852027607039981</v>
      </c>
      <c r="D16">
        <v>6.2170727457363153</v>
      </c>
      <c r="E16">
        <v>20</v>
      </c>
      <c r="F16">
        <v>0</v>
      </c>
    </row>
    <row r="17" spans="1:6" x14ac:dyDescent="0.25">
      <c r="A17" t="s">
        <v>17</v>
      </c>
      <c r="B17">
        <v>6.8439162245219309</v>
      </c>
      <c r="C17">
        <v>1.1037901930135849</v>
      </c>
      <c r="D17">
        <v>5.7401260315083462</v>
      </c>
      <c r="E17">
        <v>20</v>
      </c>
      <c r="F17">
        <v>0</v>
      </c>
    </row>
    <row r="18" spans="1:6" x14ac:dyDescent="0.25">
      <c r="A18" t="s">
        <v>18</v>
      </c>
      <c r="B18">
        <v>8.3327287347608117</v>
      </c>
      <c r="C18">
        <v>1.176503121178871</v>
      </c>
      <c r="D18">
        <v>7.1562256135819426</v>
      </c>
      <c r="E18">
        <v>20</v>
      </c>
      <c r="F18">
        <v>0</v>
      </c>
    </row>
    <row r="19" spans="1:6" x14ac:dyDescent="0.25">
      <c r="A19" t="s">
        <v>19</v>
      </c>
      <c r="B19">
        <v>7.666374219387877</v>
      </c>
      <c r="C19">
        <v>3.3595323967912831</v>
      </c>
      <c r="D19">
        <v>4.3068418225965939</v>
      </c>
      <c r="E19">
        <v>20</v>
      </c>
      <c r="F19">
        <v>0</v>
      </c>
    </row>
    <row r="20" spans="1:6" x14ac:dyDescent="0.25">
      <c r="A20" t="s">
        <v>20</v>
      </c>
      <c r="B20">
        <v>9.3820538420672701</v>
      </c>
      <c r="C20">
        <v>2.3591306267040348</v>
      </c>
      <c r="D20">
        <v>7.0229232153632344</v>
      </c>
      <c r="E20">
        <v>20</v>
      </c>
      <c r="F20">
        <v>0</v>
      </c>
    </row>
    <row r="21" spans="1:6" x14ac:dyDescent="0.25">
      <c r="A21" t="s">
        <v>16</v>
      </c>
      <c r="B21">
        <v>8.6475104362617365</v>
      </c>
      <c r="C21">
        <v>2.2486530696171441</v>
      </c>
      <c r="D21">
        <v>6.3988573666445934</v>
      </c>
      <c r="E21">
        <v>20</v>
      </c>
      <c r="F21">
        <v>0</v>
      </c>
    </row>
    <row r="22" spans="1:6" x14ac:dyDescent="0.25">
      <c r="A22" t="s">
        <v>23</v>
      </c>
      <c r="B22">
        <v>7.8490712494216179</v>
      </c>
      <c r="C22">
        <v>1.9109730876951661</v>
      </c>
      <c r="D22">
        <v>5.9380981617264519</v>
      </c>
      <c r="E22">
        <v>20</v>
      </c>
      <c r="F22">
        <v>0</v>
      </c>
    </row>
    <row r="23" spans="1:6" x14ac:dyDescent="0.25">
      <c r="A23" t="s">
        <v>10</v>
      </c>
      <c r="B23">
        <v>7.2928768674980464</v>
      </c>
      <c r="C23">
        <v>1.277880252591022</v>
      </c>
      <c r="D23">
        <v>6.0149966149070249</v>
      </c>
      <c r="E23">
        <v>20</v>
      </c>
      <c r="F23">
        <v>0</v>
      </c>
    </row>
    <row r="24" spans="1:6" x14ac:dyDescent="0.25">
      <c r="A24" t="s">
        <v>22</v>
      </c>
      <c r="B24">
        <v>6.4</v>
      </c>
      <c r="C24">
        <v>0.99199999999999999</v>
      </c>
      <c r="D24">
        <v>5.4080000000000004</v>
      </c>
      <c r="E24">
        <v>20</v>
      </c>
      <c r="F24">
        <v>0</v>
      </c>
    </row>
    <row r="25" spans="1:6" x14ac:dyDescent="0.25">
      <c r="A25" t="s">
        <v>2</v>
      </c>
      <c r="B25">
        <v>7.5230587222362084</v>
      </c>
      <c r="C25">
        <v>1.389896080003405</v>
      </c>
      <c r="D25">
        <v>6.1331626422328034</v>
      </c>
      <c r="E25">
        <v>20</v>
      </c>
      <c r="F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2C3B-022D-4400-9CCF-E3B13BD30224}">
  <dimension ref="A1:H2"/>
  <sheetViews>
    <sheetView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  <c r="H1" t="s">
        <v>224</v>
      </c>
    </row>
    <row r="2" spans="1:8" x14ac:dyDescent="0.25">
      <c r="A2" t="s">
        <v>2</v>
      </c>
      <c r="B2">
        <f>C2+D2</f>
        <v>19.22</v>
      </c>
      <c r="C2">
        <f>2.3+5.4</f>
        <v>7.7</v>
      </c>
      <c r="D2">
        <f>3.96+7.56</f>
        <v>11.52</v>
      </c>
      <c r="E2" s="5">
        <v>20</v>
      </c>
      <c r="F2">
        <v>0</v>
      </c>
      <c r="H2" t="s">
        <v>225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L15" sqref="L15"/>
    </sheetView>
  </sheetViews>
  <sheetFormatPr baseColWidth="10" defaultRowHeight="15" x14ac:dyDescent="0.25"/>
  <sheetData>
    <row r="1" spans="1:7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  <c r="G1" t="s">
        <v>224</v>
      </c>
    </row>
    <row r="2" spans="1:7" x14ac:dyDescent="0.25">
      <c r="A2" t="s">
        <v>12</v>
      </c>
      <c r="B2">
        <v>3.05</v>
      </c>
      <c r="C2">
        <f>12.38/100*B2</f>
        <v>0.37758999999999998</v>
      </c>
      <c r="D2">
        <f>87.62/100*B2</f>
        <v>2.6724100000000002</v>
      </c>
      <c r="E2">
        <v>34</v>
      </c>
      <c r="F2">
        <v>0</v>
      </c>
      <c r="G2" t="s">
        <v>225</v>
      </c>
    </row>
    <row r="3" spans="1:7" x14ac:dyDescent="0.25">
      <c r="A3" t="s">
        <v>13</v>
      </c>
      <c r="B3">
        <v>3.4</v>
      </c>
      <c r="C3">
        <f t="shared" ref="C3:C17" si="0">12.38/100*B3</f>
        <v>0.42092000000000002</v>
      </c>
      <c r="D3">
        <f t="shared" ref="D3:D17" si="1">87.62/100*B3</f>
        <v>2.9790800000000002</v>
      </c>
      <c r="E3">
        <v>34</v>
      </c>
      <c r="F3">
        <v>0</v>
      </c>
    </row>
    <row r="4" spans="1:7" x14ac:dyDescent="0.25">
      <c r="A4" t="s">
        <v>14</v>
      </c>
      <c r="B4">
        <v>3.4</v>
      </c>
      <c r="C4">
        <f t="shared" si="0"/>
        <v>0.42092000000000002</v>
      </c>
      <c r="D4">
        <f t="shared" si="1"/>
        <v>2.9790800000000002</v>
      </c>
      <c r="E4">
        <v>34</v>
      </c>
      <c r="F4">
        <v>0</v>
      </c>
    </row>
    <row r="5" spans="1:7" x14ac:dyDescent="0.25">
      <c r="A5" t="s">
        <v>15</v>
      </c>
      <c r="B5">
        <v>3.25</v>
      </c>
      <c r="C5">
        <f t="shared" si="0"/>
        <v>0.40235000000000004</v>
      </c>
      <c r="D5">
        <f t="shared" si="1"/>
        <v>2.8476500000000002</v>
      </c>
      <c r="E5">
        <v>34</v>
      </c>
      <c r="F5">
        <v>0</v>
      </c>
    </row>
    <row r="6" spans="1:7" x14ac:dyDescent="0.25">
      <c r="A6" t="s">
        <v>6</v>
      </c>
      <c r="B6">
        <v>3.3</v>
      </c>
      <c r="C6" s="16">
        <f>3.8*3600/34000</f>
        <v>0.40235294117647058</v>
      </c>
      <c r="D6" s="16">
        <f>26.9*3600/34000</f>
        <v>2.848235294117647</v>
      </c>
      <c r="E6">
        <v>34</v>
      </c>
      <c r="F6">
        <v>0</v>
      </c>
    </row>
    <row r="7" spans="1:7" x14ac:dyDescent="0.25">
      <c r="A7" t="s">
        <v>9</v>
      </c>
      <c r="B7">
        <v>3.75</v>
      </c>
      <c r="C7">
        <f t="shared" si="0"/>
        <v>0.46425000000000005</v>
      </c>
      <c r="D7">
        <f t="shared" si="1"/>
        <v>3.2857500000000002</v>
      </c>
      <c r="E7">
        <v>34</v>
      </c>
      <c r="F7">
        <v>0</v>
      </c>
    </row>
    <row r="8" spans="1:7" x14ac:dyDescent="0.25">
      <c r="A8" t="s">
        <v>16</v>
      </c>
      <c r="B8">
        <v>3.4</v>
      </c>
      <c r="C8">
        <f t="shared" si="0"/>
        <v>0.42092000000000002</v>
      </c>
      <c r="D8">
        <f t="shared" si="1"/>
        <v>2.9790800000000002</v>
      </c>
      <c r="E8">
        <v>34</v>
      </c>
      <c r="F8">
        <v>0</v>
      </c>
    </row>
    <row r="9" spans="1:7" x14ac:dyDescent="0.25">
      <c r="A9" t="s">
        <v>7</v>
      </c>
      <c r="B9">
        <v>3.4</v>
      </c>
      <c r="C9">
        <f t="shared" si="0"/>
        <v>0.42092000000000002</v>
      </c>
      <c r="D9">
        <f t="shared" si="1"/>
        <v>2.9790800000000002</v>
      </c>
      <c r="E9">
        <v>34</v>
      </c>
      <c r="F9">
        <v>0</v>
      </c>
    </row>
    <row r="10" spans="1:7" x14ac:dyDescent="0.25">
      <c r="A10" t="s">
        <v>8</v>
      </c>
      <c r="B10">
        <v>3.25</v>
      </c>
      <c r="C10">
        <f t="shared" si="0"/>
        <v>0.40235000000000004</v>
      </c>
      <c r="D10">
        <f t="shared" si="1"/>
        <v>2.8476500000000002</v>
      </c>
      <c r="E10">
        <v>34</v>
      </c>
      <c r="F10">
        <v>0</v>
      </c>
    </row>
    <row r="11" spans="1:7" x14ac:dyDescent="0.25">
      <c r="A11" t="s">
        <v>11</v>
      </c>
      <c r="B11">
        <v>3.1</v>
      </c>
      <c r="C11">
        <f t="shared" si="0"/>
        <v>0.38378000000000001</v>
      </c>
      <c r="D11">
        <f t="shared" si="1"/>
        <v>2.7162200000000003</v>
      </c>
      <c r="E11">
        <v>34</v>
      </c>
      <c r="F11">
        <v>0</v>
      </c>
    </row>
    <row r="12" spans="1:7" x14ac:dyDescent="0.25">
      <c r="A12" t="s">
        <v>17</v>
      </c>
      <c r="B12">
        <v>3.4</v>
      </c>
      <c r="C12">
        <f t="shared" si="0"/>
        <v>0.42092000000000002</v>
      </c>
      <c r="D12">
        <f t="shared" si="1"/>
        <v>2.9790800000000002</v>
      </c>
      <c r="E12">
        <v>34</v>
      </c>
      <c r="F12">
        <v>0</v>
      </c>
    </row>
    <row r="13" spans="1:7" x14ac:dyDescent="0.25">
      <c r="A13" t="s">
        <v>18</v>
      </c>
      <c r="B13">
        <v>3.4</v>
      </c>
      <c r="C13">
        <f t="shared" si="0"/>
        <v>0.42092000000000002</v>
      </c>
      <c r="D13">
        <f t="shared" si="1"/>
        <v>2.9790800000000002</v>
      </c>
      <c r="E13">
        <v>34</v>
      </c>
      <c r="F13">
        <v>0</v>
      </c>
    </row>
    <row r="14" spans="1:7" x14ac:dyDescent="0.25">
      <c r="A14" t="s">
        <v>19</v>
      </c>
      <c r="B14">
        <v>3.4</v>
      </c>
      <c r="C14">
        <f t="shared" si="0"/>
        <v>0.42092000000000002</v>
      </c>
      <c r="D14">
        <f t="shared" si="1"/>
        <v>2.9790800000000002</v>
      </c>
      <c r="E14">
        <v>34</v>
      </c>
      <c r="F14">
        <v>0</v>
      </c>
    </row>
    <row r="15" spans="1:7" x14ac:dyDescent="0.25">
      <c r="A15" t="s">
        <v>20</v>
      </c>
      <c r="B15">
        <v>3.4</v>
      </c>
      <c r="C15">
        <f t="shared" si="0"/>
        <v>0.42092000000000002</v>
      </c>
      <c r="D15">
        <f t="shared" si="1"/>
        <v>2.9790800000000002</v>
      </c>
      <c r="E15">
        <v>34</v>
      </c>
      <c r="F15">
        <v>0</v>
      </c>
    </row>
    <row r="16" spans="1:7" x14ac:dyDescent="0.25">
      <c r="A16" t="s">
        <v>10</v>
      </c>
      <c r="B16">
        <v>3.2</v>
      </c>
      <c r="C16">
        <f t="shared" si="0"/>
        <v>0.39616000000000007</v>
      </c>
      <c r="D16">
        <f t="shared" si="1"/>
        <v>2.8038400000000006</v>
      </c>
      <c r="E16">
        <v>34</v>
      </c>
      <c r="F16">
        <v>0</v>
      </c>
    </row>
    <row r="17" spans="1:6" x14ac:dyDescent="0.25">
      <c r="A17" t="s">
        <v>2</v>
      </c>
      <c r="B17">
        <v>3.4</v>
      </c>
      <c r="C17">
        <f t="shared" si="0"/>
        <v>0.42092000000000002</v>
      </c>
      <c r="D17">
        <f t="shared" si="1"/>
        <v>2.9790800000000002</v>
      </c>
      <c r="E17">
        <v>34</v>
      </c>
      <c r="F17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 s="7">
        <f>C2+D2</f>
        <v>10.465486725663718</v>
      </c>
      <c r="C2" s="7">
        <f>188*3600/226/1000</f>
        <v>2.9946902654867258</v>
      </c>
      <c r="D2" s="6">
        <f>(65.7-18.8)*3600/22.6/1000</f>
        <v>7.4707964601769916</v>
      </c>
      <c r="E2">
        <v>0</v>
      </c>
      <c r="F2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:XFD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 t="shared" ref="B2" si="0">C2+D2</f>
        <v>9.5</v>
      </c>
      <c r="C2">
        <v>8.9</v>
      </c>
      <c r="D2">
        <v>0.6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SUM(C2,D2,F2)</f>
        <v>27.547863999999997</v>
      </c>
      <c r="C2">
        <f xml:space="preserve"> 5+1.19</f>
        <v>6.1899999999999995</v>
      </c>
      <c r="D2">
        <v>0</v>
      </c>
      <c r="E2">
        <v>0</v>
      </c>
      <c r="F2">
        <f>0.178*33.33*3.6</f>
        <v>21.357863999999996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9583-556F-4C5A-8AA7-ABEDBA75267D}">
  <dimension ref="A1:F2"/>
  <sheetViews>
    <sheetView workbookViewId="0">
      <selection activeCell="A3" sqref="A3:XFD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SUM(C2,D2,F2)</f>
        <v>7.3400000000000007</v>
      </c>
      <c r="C2">
        <v>0.74</v>
      </c>
      <c r="D2">
        <f>10.9-4.3</f>
        <v>6.6000000000000005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28.077731999999997</v>
      </c>
      <c r="C2">
        <f>5.4</f>
        <v>5.4</v>
      </c>
      <c r="D2">
        <v>0</v>
      </c>
      <c r="E2">
        <v>0</v>
      </c>
      <c r="F2">
        <f>0.189*1000*33.33*3600/1000000</f>
        <v>22.677731999999999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C87A-4141-469D-ACE0-28809616425F}">
  <dimension ref="A1:F2"/>
  <sheetViews>
    <sheetView workbookViewId="0">
      <selection activeCell="A3" sqref="A3:XFD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12.5</v>
      </c>
      <c r="C2">
        <v>0.6</v>
      </c>
      <c r="D2">
        <f>13.9-2</f>
        <v>11.9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77.861544439999989</v>
      </c>
      <c r="C2">
        <f>2.28*methanol!C2+5</f>
        <v>17.311999999999998</v>
      </c>
      <c r="D2">
        <v>0</v>
      </c>
      <c r="E2">
        <v>0</v>
      </c>
      <c r="F2">
        <f>2.67*methanol!F2</f>
        <v>60.549544439999998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D5F1-DF92-457F-9734-49A00042D060}">
  <dimension ref="A1:F2"/>
  <sheetViews>
    <sheetView workbookViewId="0">
      <selection activeCell="C2" sqref="C2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16.5</v>
      </c>
      <c r="C2">
        <v>0.8</v>
      </c>
      <c r="D2">
        <f>16.5-C2</f>
        <v>15.7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77.861544439999989</v>
      </c>
      <c r="C2">
        <f>2.28*methanol!C2+5</f>
        <v>17.311999999999998</v>
      </c>
      <c r="D2">
        <v>0</v>
      </c>
      <c r="E2">
        <v>0</v>
      </c>
      <c r="F2">
        <f>2.67*methanol!F2</f>
        <v>60.549544439999998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BDA1-717C-44BC-85D7-EE959F92FFAD}">
  <dimension ref="A1:F2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16.5</v>
      </c>
      <c r="C2">
        <v>0.8</v>
      </c>
      <c r="D2">
        <f>16.5-C2</f>
        <v>15.7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C2B5-9BF1-47BB-9C63-AF6F88DA187A}">
  <dimension ref="A1:F2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77.861544439999989</v>
      </c>
      <c r="C2">
        <f>2.28*methanol!C2+5</f>
        <v>17.311999999999998</v>
      </c>
      <c r="D2">
        <v>0</v>
      </c>
      <c r="E2">
        <v>0</v>
      </c>
      <c r="F2">
        <f>2.67*methanol!F2</f>
        <v>60.549544439999998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E72B-56CB-4966-8FEB-309E2772ACCD}">
  <dimension ref="A1:F2"/>
  <sheetViews>
    <sheetView workbookViewId="0">
      <selection activeCell="E6" sqref="E6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16.5</v>
      </c>
      <c r="C2">
        <v>0.8</v>
      </c>
      <c r="D2">
        <f>16.5-C2</f>
        <v>15.7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selection activeCell="C2" sqref="C2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125.73424759999999</v>
      </c>
      <c r="C2">
        <f>4.3*methanol!C2 +5</f>
        <v>28.22</v>
      </c>
      <c r="D2">
        <v>0</v>
      </c>
      <c r="E2">
        <v>0</v>
      </c>
      <c r="F2">
        <f>4.3*methanol!F2</f>
        <v>97.51424759999999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0768-264A-48C8-A47A-CA806FD42378}">
  <dimension ref="A1:F2"/>
  <sheetViews>
    <sheetView workbookViewId="0">
      <selection activeCell="D8" sqref="D8"/>
    </sheetView>
  </sheetViews>
  <sheetFormatPr baseColWidth="10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E1" t="s">
        <v>35</v>
      </c>
      <c r="F1" t="s">
        <v>21</v>
      </c>
    </row>
    <row r="2" spans="1:6" x14ac:dyDescent="0.25">
      <c r="A2" t="s">
        <v>2</v>
      </c>
      <c r="B2">
        <f>C2+D2+F2</f>
        <v>7</v>
      </c>
      <c r="C2">
        <f>7-D2</f>
        <v>0.33999999999999986</v>
      </c>
      <c r="D2">
        <f>6.66</f>
        <v>6.66</v>
      </c>
      <c r="E2">
        <v>0</v>
      </c>
      <c r="F2">
        <v>0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2"/>
  <sheetViews>
    <sheetView workbookViewId="0">
      <pane xSplit="2" ySplit="1" topLeftCell="C99" activePane="bottomRight" state="frozen"/>
      <selection pane="topRight" activeCell="C1" sqref="C1"/>
      <selection pane="bottomLeft" activeCell="A2" sqref="A2"/>
      <selection pane="bottomRight" activeCell="A105" sqref="A105"/>
    </sheetView>
  </sheetViews>
  <sheetFormatPr baseColWidth="10" defaultRowHeight="15" x14ac:dyDescent="0.25"/>
  <cols>
    <col min="1" max="1" width="13.140625" customWidth="1"/>
    <col min="3" max="3" width="76.28515625" customWidth="1"/>
    <col min="4" max="4" width="47.7109375" customWidth="1"/>
    <col min="5" max="5" width="31.7109375" customWidth="1"/>
  </cols>
  <sheetData>
    <row r="1" spans="1:11" x14ac:dyDescent="0.25"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188</v>
      </c>
      <c r="I1" t="s">
        <v>187</v>
      </c>
      <c r="J1" t="s">
        <v>190</v>
      </c>
      <c r="K1" t="s">
        <v>197</v>
      </c>
    </row>
    <row r="2" spans="1:11" x14ac:dyDescent="0.25">
      <c r="A2" s="9" t="s">
        <v>38</v>
      </c>
      <c r="B2" s="9"/>
      <c r="C2" s="9"/>
      <c r="D2" s="9"/>
      <c r="E2" s="9"/>
    </row>
    <row r="3" spans="1:11" ht="30" x14ac:dyDescent="0.25">
      <c r="A3" t="s">
        <v>36</v>
      </c>
      <c r="B3" t="s">
        <v>39</v>
      </c>
      <c r="C3" s="10" t="s">
        <v>43</v>
      </c>
      <c r="D3" s="1" t="s">
        <v>42</v>
      </c>
      <c r="E3" s="3" t="s">
        <v>40</v>
      </c>
      <c r="F3" t="s">
        <v>192</v>
      </c>
      <c r="G3" t="s">
        <v>189</v>
      </c>
      <c r="H3" t="s">
        <v>193</v>
      </c>
      <c r="I3">
        <v>2020</v>
      </c>
      <c r="J3" t="s">
        <v>191</v>
      </c>
    </row>
    <row r="5" spans="1:11" ht="30" x14ac:dyDescent="0.25">
      <c r="A5" t="s">
        <v>37</v>
      </c>
      <c r="B5" t="s">
        <v>41</v>
      </c>
      <c r="C5" s="1" t="s">
        <v>44</v>
      </c>
    </row>
    <row r="7" spans="1:11" x14ac:dyDescent="0.25">
      <c r="A7" t="s">
        <v>46</v>
      </c>
      <c r="B7" t="s">
        <v>47</v>
      </c>
      <c r="C7" t="s">
        <v>64</v>
      </c>
      <c r="E7" s="3" t="s">
        <v>1</v>
      </c>
      <c r="H7" t="s">
        <v>96</v>
      </c>
    </row>
    <row r="9" spans="1:11" x14ac:dyDescent="0.25">
      <c r="A9" s="9" t="s">
        <v>45</v>
      </c>
      <c r="B9" s="9"/>
      <c r="C9" s="9"/>
      <c r="D9" s="9"/>
      <c r="E9" s="9"/>
    </row>
    <row r="10" spans="1:11" ht="60" x14ac:dyDescent="0.25">
      <c r="A10" t="s">
        <v>36</v>
      </c>
      <c r="B10" t="s">
        <v>39</v>
      </c>
      <c r="C10" s="1" t="s">
        <v>43</v>
      </c>
      <c r="D10" s="1" t="s">
        <v>79</v>
      </c>
      <c r="E10" s="3" t="s">
        <v>40</v>
      </c>
      <c r="F10" t="s">
        <v>192</v>
      </c>
      <c r="G10" t="s">
        <v>189</v>
      </c>
      <c r="H10" t="s">
        <v>194</v>
      </c>
      <c r="I10">
        <v>2020</v>
      </c>
      <c r="J10" t="s">
        <v>191</v>
      </c>
    </row>
    <row r="12" spans="1:11" x14ac:dyDescent="0.25">
      <c r="A12" t="s">
        <v>46</v>
      </c>
      <c r="B12" t="s">
        <v>47</v>
      </c>
      <c r="C12" t="s">
        <v>49</v>
      </c>
      <c r="D12" t="s">
        <v>57</v>
      </c>
      <c r="E12" s="3" t="s">
        <v>51</v>
      </c>
      <c r="F12" s="3" t="s">
        <v>50</v>
      </c>
    </row>
    <row r="13" spans="1:11" x14ac:dyDescent="0.25">
      <c r="B13" t="s">
        <v>48</v>
      </c>
      <c r="C13" t="s">
        <v>54</v>
      </c>
      <c r="E13" t="s">
        <v>52</v>
      </c>
    </row>
    <row r="14" spans="1:11" x14ac:dyDescent="0.25">
      <c r="B14" t="s">
        <v>53</v>
      </c>
      <c r="C14" t="s">
        <v>49</v>
      </c>
      <c r="D14" t="s">
        <v>56</v>
      </c>
      <c r="E14" s="3" t="s">
        <v>55</v>
      </c>
    </row>
    <row r="15" spans="1:11" x14ac:dyDescent="0.25">
      <c r="B15" t="s">
        <v>60</v>
      </c>
      <c r="C15" t="s">
        <v>61</v>
      </c>
      <c r="D15" t="s">
        <v>62</v>
      </c>
      <c r="E15" s="3" t="s">
        <v>58</v>
      </c>
      <c r="F15" s="3" t="s">
        <v>59</v>
      </c>
    </row>
    <row r="16" spans="1:11" x14ac:dyDescent="0.25">
      <c r="B16" t="s">
        <v>63</v>
      </c>
      <c r="C16" t="s">
        <v>67</v>
      </c>
      <c r="E16" s="3" t="s">
        <v>68</v>
      </c>
      <c r="F16" s="3"/>
    </row>
    <row r="17" spans="1:11" x14ac:dyDescent="0.25">
      <c r="B17" t="s">
        <v>70</v>
      </c>
      <c r="C17" t="s">
        <v>67</v>
      </c>
      <c r="E17" s="3" t="s">
        <v>69</v>
      </c>
    </row>
    <row r="18" spans="1:11" x14ac:dyDescent="0.25">
      <c r="E18" s="3"/>
    </row>
    <row r="19" spans="1:11" x14ac:dyDescent="0.25">
      <c r="A19" s="9" t="s">
        <v>65</v>
      </c>
      <c r="B19" s="9"/>
      <c r="C19" s="9"/>
      <c r="D19" s="9"/>
      <c r="E19" s="9"/>
    </row>
    <row r="20" spans="1:11" ht="75" x14ac:dyDescent="0.25">
      <c r="A20" t="s">
        <v>36</v>
      </c>
      <c r="B20" t="s">
        <v>39</v>
      </c>
      <c r="C20" s="1" t="s">
        <v>43</v>
      </c>
      <c r="D20" s="1" t="s">
        <v>78</v>
      </c>
      <c r="E20" s="3" t="s">
        <v>40</v>
      </c>
      <c r="F20" t="s">
        <v>192</v>
      </c>
      <c r="G20" t="s">
        <v>189</v>
      </c>
      <c r="H20" t="s">
        <v>195</v>
      </c>
      <c r="I20">
        <v>2020</v>
      </c>
      <c r="J20" t="s">
        <v>191</v>
      </c>
    </row>
    <row r="22" spans="1:11" x14ac:dyDescent="0.25">
      <c r="A22" s="9" t="s">
        <v>66</v>
      </c>
      <c r="B22" s="9"/>
      <c r="C22" s="9"/>
      <c r="D22" s="9"/>
      <c r="E22" s="9"/>
    </row>
    <row r="23" spans="1:11" ht="60" x14ac:dyDescent="0.25">
      <c r="A23" t="s">
        <v>36</v>
      </c>
      <c r="B23" t="s">
        <v>39</v>
      </c>
      <c r="C23" s="1" t="s">
        <v>72</v>
      </c>
      <c r="D23" s="1" t="s">
        <v>91</v>
      </c>
      <c r="E23" s="3" t="s">
        <v>196</v>
      </c>
      <c r="F23" t="s">
        <v>199</v>
      </c>
      <c r="G23" s="8" t="s">
        <v>71</v>
      </c>
      <c r="I23">
        <v>2017</v>
      </c>
      <c r="J23" t="s">
        <v>191</v>
      </c>
      <c r="K23" t="s">
        <v>198</v>
      </c>
    </row>
    <row r="24" spans="1:11" x14ac:dyDescent="0.25">
      <c r="E24" s="3"/>
    </row>
    <row r="25" spans="1:11" x14ac:dyDescent="0.25">
      <c r="A25" t="s">
        <v>46</v>
      </c>
      <c r="B25" t="s">
        <v>47</v>
      </c>
      <c r="C25" t="s">
        <v>73</v>
      </c>
      <c r="E25" s="3" t="s">
        <v>74</v>
      </c>
    </row>
    <row r="26" spans="1:11" x14ac:dyDescent="0.25">
      <c r="B26" t="s">
        <v>48</v>
      </c>
      <c r="C26" t="s">
        <v>75</v>
      </c>
      <c r="E26" s="3" t="s">
        <v>77</v>
      </c>
      <c r="H26" t="s">
        <v>76</v>
      </c>
    </row>
    <row r="28" spans="1:11" x14ac:dyDescent="0.25">
      <c r="A28" s="9" t="s">
        <v>80</v>
      </c>
      <c r="B28" s="9"/>
      <c r="C28" s="9"/>
      <c r="D28" s="9"/>
      <c r="E28" s="9"/>
    </row>
    <row r="29" spans="1:11" ht="105" x14ac:dyDescent="0.25">
      <c r="A29" t="s">
        <v>36</v>
      </c>
      <c r="B29" t="s">
        <v>39</v>
      </c>
      <c r="C29" s="1" t="s">
        <v>81</v>
      </c>
      <c r="D29" s="1" t="s">
        <v>226</v>
      </c>
      <c r="E29" s="3" t="s">
        <v>82</v>
      </c>
      <c r="F29" t="s">
        <v>192</v>
      </c>
      <c r="G29" t="s">
        <v>200</v>
      </c>
      <c r="I29">
        <v>2020</v>
      </c>
      <c r="J29" t="s">
        <v>191</v>
      </c>
    </row>
    <row r="30" spans="1:11" x14ac:dyDescent="0.25">
      <c r="C30" s="1"/>
      <c r="D30" s="1"/>
      <c r="E30" s="3"/>
    </row>
    <row r="31" spans="1:11" x14ac:dyDescent="0.25">
      <c r="A31" t="s">
        <v>37</v>
      </c>
      <c r="B31" t="s">
        <v>41</v>
      </c>
      <c r="C31" s="1" t="s">
        <v>90</v>
      </c>
      <c r="D31" s="1"/>
      <c r="E31" s="3"/>
    </row>
    <row r="32" spans="1:11" x14ac:dyDescent="0.25">
      <c r="E32" s="3"/>
    </row>
    <row r="33" spans="1:10" ht="45" x14ac:dyDescent="0.25">
      <c r="A33" t="s">
        <v>46</v>
      </c>
      <c r="B33" t="s">
        <v>47</v>
      </c>
      <c r="C33" s="1" t="s">
        <v>83</v>
      </c>
      <c r="D33" s="1" t="s">
        <v>84</v>
      </c>
      <c r="E33" s="3" t="s">
        <v>1</v>
      </c>
    </row>
    <row r="34" spans="1:10" ht="30" x14ac:dyDescent="0.25">
      <c r="B34" t="s">
        <v>48</v>
      </c>
      <c r="C34" s="1" t="s">
        <v>89</v>
      </c>
      <c r="D34" s="1" t="s">
        <v>88</v>
      </c>
      <c r="E34" s="3" t="s">
        <v>85</v>
      </c>
      <c r="H34" t="s">
        <v>86</v>
      </c>
    </row>
    <row r="36" spans="1:10" x14ac:dyDescent="0.25">
      <c r="A36" s="9" t="s">
        <v>92</v>
      </c>
      <c r="B36" s="9"/>
      <c r="C36" s="9"/>
      <c r="D36" s="9"/>
      <c r="E36" s="9"/>
    </row>
    <row r="37" spans="1:10" ht="105" x14ac:dyDescent="0.25">
      <c r="A37" t="s">
        <v>36</v>
      </c>
      <c r="B37" t="s">
        <v>39</v>
      </c>
      <c r="C37" s="1" t="s">
        <v>81</v>
      </c>
      <c r="D37" s="1" t="s">
        <v>227</v>
      </c>
      <c r="E37" s="3" t="s">
        <v>82</v>
      </c>
      <c r="F37" t="s">
        <v>192</v>
      </c>
      <c r="G37" t="s">
        <v>200</v>
      </c>
      <c r="I37">
        <v>2020</v>
      </c>
      <c r="J37" t="s">
        <v>191</v>
      </c>
    </row>
    <row r="39" spans="1:10" ht="30" x14ac:dyDescent="0.25">
      <c r="A39" t="s">
        <v>46</v>
      </c>
      <c r="B39" t="s">
        <v>47</v>
      </c>
      <c r="C39" s="1" t="s">
        <v>93</v>
      </c>
      <c r="D39" s="1" t="s">
        <v>94</v>
      </c>
      <c r="E39" s="3" t="s">
        <v>1</v>
      </c>
    </row>
    <row r="40" spans="1:10" ht="45" x14ac:dyDescent="0.25">
      <c r="B40" t="s">
        <v>48</v>
      </c>
      <c r="C40" s="1" t="s">
        <v>87</v>
      </c>
      <c r="D40" s="1" t="s">
        <v>95</v>
      </c>
      <c r="E40" s="3" t="s">
        <v>85</v>
      </c>
    </row>
    <row r="41" spans="1:10" x14ac:dyDescent="0.25">
      <c r="C41" s="1"/>
      <c r="D41" s="1"/>
      <c r="E41" s="3"/>
    </row>
    <row r="42" spans="1:10" x14ac:dyDescent="0.25">
      <c r="A42" s="9" t="s">
        <v>180</v>
      </c>
      <c r="B42" s="9"/>
      <c r="C42" s="11"/>
      <c r="D42" s="11"/>
      <c r="E42" s="12"/>
    </row>
    <row r="43" spans="1:10" ht="45" x14ac:dyDescent="0.25">
      <c r="A43" t="s">
        <v>36</v>
      </c>
      <c r="B43" t="s">
        <v>39</v>
      </c>
      <c r="C43" s="1" t="s">
        <v>99</v>
      </c>
      <c r="D43" s="1" t="s">
        <v>100</v>
      </c>
      <c r="E43" s="3" t="s">
        <v>82</v>
      </c>
      <c r="F43" t="s">
        <v>192</v>
      </c>
      <c r="G43" t="s">
        <v>200</v>
      </c>
      <c r="I43">
        <v>2020</v>
      </c>
      <c r="J43" t="s">
        <v>191</v>
      </c>
    </row>
    <row r="44" spans="1:10" ht="45" x14ac:dyDescent="0.25">
      <c r="C44" s="10" t="s">
        <v>97</v>
      </c>
      <c r="D44" s="1" t="s">
        <v>98</v>
      </c>
      <c r="E44" s="3"/>
    </row>
    <row r="45" spans="1:10" x14ac:dyDescent="0.25">
      <c r="C45" s="10"/>
      <c r="D45" s="1"/>
      <c r="E45" s="3"/>
    </row>
    <row r="46" spans="1:10" ht="30" x14ac:dyDescent="0.25">
      <c r="A46" t="s">
        <v>46</v>
      </c>
      <c r="B46" t="s">
        <v>47</v>
      </c>
      <c r="C46" s="10" t="s">
        <v>102</v>
      </c>
      <c r="D46" s="1" t="s">
        <v>103</v>
      </c>
      <c r="E46" s="3" t="s">
        <v>1</v>
      </c>
    </row>
    <row r="47" spans="1:10" ht="30" x14ac:dyDescent="0.25">
      <c r="B47" t="s">
        <v>48</v>
      </c>
      <c r="C47" s="10" t="s">
        <v>106</v>
      </c>
      <c r="D47" s="1" t="s">
        <v>105</v>
      </c>
      <c r="E47" s="3" t="s">
        <v>85</v>
      </c>
      <c r="H47" t="s">
        <v>104</v>
      </c>
    </row>
    <row r="48" spans="1:10" x14ac:dyDescent="0.25">
      <c r="C48" s="1"/>
      <c r="D48" s="1"/>
      <c r="E48" s="3"/>
    </row>
    <row r="49" spans="1:11" x14ac:dyDescent="0.25">
      <c r="A49" s="9" t="s">
        <v>181</v>
      </c>
      <c r="B49" s="9"/>
      <c r="C49" s="11"/>
      <c r="D49" s="11"/>
      <c r="E49" s="12"/>
    </row>
    <row r="50" spans="1:11" ht="45" x14ac:dyDescent="0.25">
      <c r="A50" t="s">
        <v>36</v>
      </c>
      <c r="B50" t="s">
        <v>39</v>
      </c>
      <c r="C50" s="1" t="s">
        <v>108</v>
      </c>
      <c r="D50" s="1" t="s">
        <v>107</v>
      </c>
      <c r="E50" s="3" t="s">
        <v>82</v>
      </c>
      <c r="F50" t="s">
        <v>192</v>
      </c>
      <c r="G50" t="s">
        <v>200</v>
      </c>
      <c r="I50">
        <v>2020</v>
      </c>
      <c r="J50" t="s">
        <v>191</v>
      </c>
    </row>
    <row r="51" spans="1:11" ht="45" x14ac:dyDescent="0.25">
      <c r="C51" s="10" t="s">
        <v>97</v>
      </c>
      <c r="D51" s="1" t="s">
        <v>98</v>
      </c>
      <c r="E51" s="3"/>
    </row>
    <row r="52" spans="1:11" x14ac:dyDescent="0.25">
      <c r="C52" s="1"/>
      <c r="D52" s="1"/>
      <c r="E52" s="3"/>
    </row>
    <row r="53" spans="1:11" ht="30" x14ac:dyDescent="0.25">
      <c r="A53" t="s">
        <v>46</v>
      </c>
      <c r="B53" t="s">
        <v>47</v>
      </c>
      <c r="C53" s="10" t="s">
        <v>102</v>
      </c>
      <c r="D53" s="1" t="s">
        <v>109</v>
      </c>
      <c r="E53" s="3" t="s">
        <v>1</v>
      </c>
    </row>
    <row r="54" spans="1:11" x14ac:dyDescent="0.25">
      <c r="B54" t="s">
        <v>48</v>
      </c>
      <c r="C54" s="10" t="s">
        <v>101</v>
      </c>
      <c r="D54" s="1" t="s">
        <v>111</v>
      </c>
      <c r="E54" s="3" t="s">
        <v>85</v>
      </c>
      <c r="H54" t="s">
        <v>110</v>
      </c>
    </row>
    <row r="55" spans="1:11" x14ac:dyDescent="0.25">
      <c r="C55" s="1"/>
      <c r="D55" s="1"/>
      <c r="E55" s="3"/>
    </row>
    <row r="56" spans="1:11" x14ac:dyDescent="0.25">
      <c r="A56" s="9" t="s">
        <v>112</v>
      </c>
      <c r="B56" s="9"/>
      <c r="C56" s="11"/>
      <c r="D56" s="11"/>
      <c r="E56" s="12"/>
    </row>
    <row r="57" spans="1:11" x14ac:dyDescent="0.25">
      <c r="A57" t="s">
        <v>36</v>
      </c>
      <c r="B57" t="s">
        <v>39</v>
      </c>
      <c r="C57" t="s">
        <v>115</v>
      </c>
      <c r="E57" s="3" t="s">
        <v>1</v>
      </c>
      <c r="F57" t="s">
        <v>203</v>
      </c>
      <c r="G57" t="s">
        <v>202</v>
      </c>
      <c r="H57" t="s">
        <v>204</v>
      </c>
      <c r="I57">
        <v>2014</v>
      </c>
      <c r="J57" t="s">
        <v>191</v>
      </c>
      <c r="K57" t="s">
        <v>201</v>
      </c>
    </row>
    <row r="58" spans="1:11" x14ac:dyDescent="0.25">
      <c r="C58" s="1"/>
      <c r="D58" s="1"/>
      <c r="E58" s="3"/>
    </row>
    <row r="59" spans="1:11" ht="30" x14ac:dyDescent="0.25">
      <c r="A59" t="s">
        <v>119</v>
      </c>
      <c r="B59" t="s">
        <v>41</v>
      </c>
      <c r="C59" s="1" t="s">
        <v>117</v>
      </c>
      <c r="D59" s="1"/>
      <c r="E59" t="s">
        <v>207</v>
      </c>
      <c r="F59" t="s">
        <v>208</v>
      </c>
      <c r="G59" s="21" t="s">
        <v>113</v>
      </c>
      <c r="H59" t="s">
        <v>114</v>
      </c>
      <c r="I59">
        <v>2014</v>
      </c>
      <c r="J59" t="s">
        <v>191</v>
      </c>
      <c r="K59" t="s">
        <v>206</v>
      </c>
    </row>
    <row r="60" spans="1:11" x14ac:dyDescent="0.25">
      <c r="B60" t="s">
        <v>116</v>
      </c>
      <c r="C60" t="s">
        <v>118</v>
      </c>
    </row>
    <row r="62" spans="1:11" x14ac:dyDescent="0.25">
      <c r="A62" s="9" t="s">
        <v>120</v>
      </c>
      <c r="B62" s="12"/>
      <c r="C62" s="9"/>
      <c r="D62" s="9"/>
      <c r="E62" s="9"/>
    </row>
    <row r="63" spans="1:11" ht="30" x14ac:dyDescent="0.25">
      <c r="A63" t="s">
        <v>36</v>
      </c>
      <c r="B63" s="14" t="s">
        <v>39</v>
      </c>
      <c r="C63" t="s">
        <v>126</v>
      </c>
      <c r="D63" s="1" t="s">
        <v>123</v>
      </c>
      <c r="E63" s="13" t="s">
        <v>122</v>
      </c>
      <c r="F63" t="s">
        <v>192</v>
      </c>
      <c r="G63" t="s">
        <v>205</v>
      </c>
      <c r="I63">
        <v>2020</v>
      </c>
      <c r="J63" t="s">
        <v>191</v>
      </c>
    </row>
    <row r="64" spans="1:11" x14ac:dyDescent="0.25">
      <c r="B64" s="14" t="s">
        <v>121</v>
      </c>
      <c r="C64" t="s">
        <v>125</v>
      </c>
      <c r="E64" t="s">
        <v>1</v>
      </c>
      <c r="F64" t="s">
        <v>203</v>
      </c>
      <c r="G64" t="s">
        <v>202</v>
      </c>
      <c r="H64" t="s">
        <v>124</v>
      </c>
      <c r="I64">
        <v>2014</v>
      </c>
      <c r="J64" t="s">
        <v>191</v>
      </c>
      <c r="K64" t="s">
        <v>201</v>
      </c>
    </row>
    <row r="65" spans="1:11" x14ac:dyDescent="0.25">
      <c r="B65" s="14"/>
    </row>
    <row r="66" spans="1:11" ht="30" x14ac:dyDescent="0.25">
      <c r="A66" t="s">
        <v>119</v>
      </c>
      <c r="B66" s="14" t="s">
        <v>41</v>
      </c>
      <c r="C66" t="s">
        <v>127</v>
      </c>
      <c r="D66" s="1" t="s">
        <v>129</v>
      </c>
    </row>
    <row r="67" spans="1:11" x14ac:dyDescent="0.25">
      <c r="B67" s="14" t="s">
        <v>116</v>
      </c>
      <c r="C67" t="s">
        <v>128</v>
      </c>
    </row>
    <row r="68" spans="1:11" x14ac:dyDescent="0.25">
      <c r="B68" s="14"/>
    </row>
    <row r="69" spans="1:11" x14ac:dyDescent="0.25">
      <c r="A69" s="9" t="s">
        <v>130</v>
      </c>
      <c r="B69" s="17"/>
      <c r="C69" s="9"/>
      <c r="D69" s="9"/>
      <c r="E69" s="9"/>
    </row>
    <row r="70" spans="1:11" ht="30" x14ac:dyDescent="0.25">
      <c r="A70" t="s">
        <v>36</v>
      </c>
      <c r="B70" s="14" t="s">
        <v>39</v>
      </c>
      <c r="C70" s="1" t="s">
        <v>132</v>
      </c>
      <c r="D70" s="1" t="s">
        <v>131</v>
      </c>
      <c r="E70" s="3" t="s">
        <v>209</v>
      </c>
      <c r="F70" t="s">
        <v>212</v>
      </c>
      <c r="G70" t="s">
        <v>210</v>
      </c>
      <c r="I70">
        <v>2011</v>
      </c>
      <c r="K70" t="s">
        <v>211</v>
      </c>
    </row>
    <row r="71" spans="1:11" x14ac:dyDescent="0.25">
      <c r="B71" s="14" t="s">
        <v>121</v>
      </c>
      <c r="C71" t="s">
        <v>133</v>
      </c>
      <c r="D71" t="s">
        <v>213</v>
      </c>
    </row>
    <row r="72" spans="1:11" x14ac:dyDescent="0.25">
      <c r="B72" s="14"/>
    </row>
    <row r="73" spans="1:11" ht="32.25" customHeight="1" x14ac:dyDescent="0.25">
      <c r="A73" t="s">
        <v>134</v>
      </c>
      <c r="B73" s="14" t="s">
        <v>135</v>
      </c>
      <c r="C73" s="1" t="s">
        <v>136</v>
      </c>
      <c r="D73" t="s">
        <v>137</v>
      </c>
    </row>
    <row r="74" spans="1:11" x14ac:dyDescent="0.25">
      <c r="B74" s="14"/>
    </row>
    <row r="75" spans="1:11" x14ac:dyDescent="0.25">
      <c r="A75" s="9" t="s">
        <v>138</v>
      </c>
      <c r="B75" s="17"/>
      <c r="C75" s="9"/>
      <c r="D75" s="9"/>
      <c r="E75" s="9"/>
    </row>
    <row r="76" spans="1:11" x14ac:dyDescent="0.25">
      <c r="A76" t="s">
        <v>36</v>
      </c>
      <c r="B76" s="14" t="s">
        <v>39</v>
      </c>
      <c r="C76" s="1" t="s">
        <v>141</v>
      </c>
      <c r="E76" s="3" t="s">
        <v>140</v>
      </c>
      <c r="F76" t="s">
        <v>192</v>
      </c>
      <c r="G76" t="s">
        <v>214</v>
      </c>
      <c r="H76" t="s">
        <v>139</v>
      </c>
      <c r="I76">
        <v>2020</v>
      </c>
      <c r="J76" t="s">
        <v>191</v>
      </c>
    </row>
    <row r="77" spans="1:11" x14ac:dyDescent="0.25">
      <c r="B77" s="14"/>
    </row>
    <row r="78" spans="1:11" x14ac:dyDescent="0.25">
      <c r="A78" t="s">
        <v>37</v>
      </c>
      <c r="B78" s="14" t="s">
        <v>41</v>
      </c>
      <c r="C78" t="s">
        <v>142</v>
      </c>
    </row>
    <row r="79" spans="1:11" x14ac:dyDescent="0.25">
      <c r="B79" s="14"/>
    </row>
    <row r="80" spans="1:11" x14ac:dyDescent="0.25">
      <c r="A80" t="s">
        <v>143</v>
      </c>
      <c r="B80" t="s">
        <v>135</v>
      </c>
      <c r="C80" s="18" t="s">
        <v>144</v>
      </c>
    </row>
    <row r="81" spans="1:11" x14ac:dyDescent="0.25">
      <c r="B81" t="s">
        <v>145</v>
      </c>
      <c r="C81" s="18" t="s">
        <v>146</v>
      </c>
    </row>
    <row r="82" spans="1:11" x14ac:dyDescent="0.25">
      <c r="C82" s="18"/>
    </row>
    <row r="83" spans="1:11" x14ac:dyDescent="0.25">
      <c r="A83" t="s">
        <v>46</v>
      </c>
      <c r="B83" t="s">
        <v>47</v>
      </c>
      <c r="C83" s="18" t="s">
        <v>147</v>
      </c>
      <c r="E83" t="s">
        <v>1</v>
      </c>
      <c r="H83" t="s">
        <v>148</v>
      </c>
    </row>
    <row r="84" spans="1:11" x14ac:dyDescent="0.25">
      <c r="C84" s="18"/>
    </row>
    <row r="85" spans="1:11" x14ac:dyDescent="0.25">
      <c r="A85" s="9" t="s">
        <v>150</v>
      </c>
      <c r="B85" s="9"/>
      <c r="C85" s="19"/>
      <c r="D85" s="9"/>
      <c r="E85" s="9"/>
    </row>
    <row r="86" spans="1:11" x14ac:dyDescent="0.25">
      <c r="A86" t="s">
        <v>36</v>
      </c>
      <c r="B86" t="s">
        <v>39</v>
      </c>
      <c r="C86" s="18" t="s">
        <v>151</v>
      </c>
      <c r="E86" s="3" t="s">
        <v>34</v>
      </c>
      <c r="F86" t="s">
        <v>217</v>
      </c>
      <c r="G86" t="s">
        <v>216</v>
      </c>
      <c r="H86" t="s">
        <v>156</v>
      </c>
      <c r="I86">
        <v>2017</v>
      </c>
      <c r="J86" t="s">
        <v>191</v>
      </c>
      <c r="K86" t="s">
        <v>215</v>
      </c>
    </row>
    <row r="87" spans="1:11" x14ac:dyDescent="0.25">
      <c r="C87" s="18"/>
    </row>
    <row r="88" spans="1:11" x14ac:dyDescent="0.25">
      <c r="A88" s="9" t="s">
        <v>149</v>
      </c>
      <c r="B88" s="9"/>
      <c r="C88" s="19"/>
      <c r="D88" s="9"/>
      <c r="E88" s="9"/>
    </row>
    <row r="89" spans="1:11" x14ac:dyDescent="0.25">
      <c r="A89" t="s">
        <v>36</v>
      </c>
      <c r="B89" t="s">
        <v>39</v>
      </c>
      <c r="C89" s="18" t="s">
        <v>151</v>
      </c>
      <c r="E89" s="3" t="s">
        <v>34</v>
      </c>
      <c r="F89" t="s">
        <v>217</v>
      </c>
      <c r="G89" t="s">
        <v>216</v>
      </c>
      <c r="I89">
        <v>2017</v>
      </c>
      <c r="J89" t="s">
        <v>191</v>
      </c>
      <c r="K89" t="s">
        <v>215</v>
      </c>
    </row>
    <row r="90" spans="1:11" x14ac:dyDescent="0.25">
      <c r="C90" s="18"/>
    </row>
    <row r="91" spans="1:11" x14ac:dyDescent="0.25">
      <c r="A91" t="s">
        <v>143</v>
      </c>
      <c r="B91" t="s">
        <v>135</v>
      </c>
      <c r="C91" s="18" t="s">
        <v>152</v>
      </c>
    </row>
    <row r="92" spans="1:11" x14ac:dyDescent="0.25">
      <c r="B92" t="s">
        <v>145</v>
      </c>
      <c r="C92" s="18" t="s">
        <v>153</v>
      </c>
    </row>
    <row r="93" spans="1:11" x14ac:dyDescent="0.25">
      <c r="C93" s="18"/>
    </row>
    <row r="94" spans="1:11" x14ac:dyDescent="0.25">
      <c r="A94" s="9" t="s">
        <v>154</v>
      </c>
      <c r="B94" s="9"/>
      <c r="C94" s="19"/>
      <c r="D94" s="9"/>
      <c r="E94" s="9"/>
    </row>
    <row r="95" spans="1:11" x14ac:dyDescent="0.25">
      <c r="A95" t="s">
        <v>36</v>
      </c>
      <c r="B95" t="s">
        <v>39</v>
      </c>
      <c r="C95" s="18" t="s">
        <v>151</v>
      </c>
      <c r="E95" s="3" t="s">
        <v>34</v>
      </c>
      <c r="F95" t="s">
        <v>217</v>
      </c>
      <c r="G95" t="s">
        <v>216</v>
      </c>
      <c r="H95" t="s">
        <v>155</v>
      </c>
      <c r="I95">
        <v>2017</v>
      </c>
      <c r="J95" t="s">
        <v>191</v>
      </c>
      <c r="K95" t="s">
        <v>215</v>
      </c>
    </row>
    <row r="96" spans="1:11" x14ac:dyDescent="0.25">
      <c r="C96" s="18"/>
    </row>
    <row r="97" spans="1:11" x14ac:dyDescent="0.25">
      <c r="A97" s="9" t="s">
        <v>32</v>
      </c>
      <c r="B97" s="9"/>
      <c r="C97" s="19"/>
      <c r="D97" s="9"/>
      <c r="E97" s="9"/>
    </row>
    <row r="98" spans="1:11" x14ac:dyDescent="0.25">
      <c r="A98" t="s">
        <v>36</v>
      </c>
      <c r="B98" t="s">
        <v>39</v>
      </c>
      <c r="C98" s="18" t="s">
        <v>151</v>
      </c>
      <c r="D98" t="s">
        <v>158</v>
      </c>
      <c r="E98" s="3" t="s">
        <v>34</v>
      </c>
      <c r="F98" t="s">
        <v>217</v>
      </c>
      <c r="G98" t="s">
        <v>216</v>
      </c>
      <c r="I98">
        <v>2017</v>
      </c>
      <c r="J98" t="s">
        <v>191</v>
      </c>
      <c r="K98" t="s">
        <v>215</v>
      </c>
    </row>
    <row r="99" spans="1:11" x14ac:dyDescent="0.25">
      <c r="B99" s="15"/>
    </row>
    <row r="100" spans="1:11" x14ac:dyDescent="0.25">
      <c r="A100" t="s">
        <v>143</v>
      </c>
      <c r="B100" t="s">
        <v>135</v>
      </c>
      <c r="C100" t="s">
        <v>157</v>
      </c>
    </row>
    <row r="102" spans="1:11" x14ac:dyDescent="0.25">
      <c r="A102" t="s">
        <v>46</v>
      </c>
      <c r="B102" t="s">
        <v>47</v>
      </c>
      <c r="C102" t="s">
        <v>159</v>
      </c>
      <c r="E102" s="3" t="s">
        <v>33</v>
      </c>
    </row>
    <row r="103" spans="1:11" x14ac:dyDescent="0.25">
      <c r="B103" t="s">
        <v>48</v>
      </c>
      <c r="C103" t="s">
        <v>161</v>
      </c>
      <c r="E103" s="3" t="s">
        <v>160</v>
      </c>
    </row>
    <row r="104" spans="1:11" x14ac:dyDescent="0.25">
      <c r="E104" s="3"/>
    </row>
    <row r="105" spans="1:11" x14ac:dyDescent="0.25">
      <c r="A105" s="9" t="s">
        <v>218</v>
      </c>
      <c r="B105" s="9"/>
      <c r="C105" s="9"/>
      <c r="D105" s="9"/>
      <c r="E105" s="12"/>
    </row>
    <row r="106" spans="1:11" x14ac:dyDescent="0.25">
      <c r="A106" t="s">
        <v>36</v>
      </c>
      <c r="B106" t="s">
        <v>39</v>
      </c>
      <c r="C106" t="s">
        <v>163</v>
      </c>
      <c r="D106" t="s">
        <v>164</v>
      </c>
      <c r="E106" s="3" t="s">
        <v>34</v>
      </c>
      <c r="F106" t="s">
        <v>217</v>
      </c>
      <c r="G106" t="s">
        <v>216</v>
      </c>
      <c r="I106">
        <v>2017</v>
      </c>
      <c r="J106" t="s">
        <v>191</v>
      </c>
      <c r="K106" t="s">
        <v>215</v>
      </c>
    </row>
    <row r="107" spans="1:11" x14ac:dyDescent="0.25">
      <c r="E107" s="3"/>
    </row>
    <row r="108" spans="1:11" x14ac:dyDescent="0.25">
      <c r="A108" t="s">
        <v>37</v>
      </c>
      <c r="B108" t="s">
        <v>41</v>
      </c>
      <c r="C108" t="s">
        <v>165</v>
      </c>
      <c r="D108" t="s">
        <v>166</v>
      </c>
      <c r="E108" s="3"/>
    </row>
    <row r="109" spans="1:11" x14ac:dyDescent="0.25">
      <c r="E109" s="3"/>
    </row>
    <row r="110" spans="1:11" x14ac:dyDescent="0.25">
      <c r="A110" t="s">
        <v>46</v>
      </c>
      <c r="B110" t="s">
        <v>47</v>
      </c>
      <c r="C110" t="s">
        <v>170</v>
      </c>
      <c r="D110" t="s">
        <v>167</v>
      </c>
      <c r="E110" s="3" t="s">
        <v>1</v>
      </c>
    </row>
    <row r="111" spans="1:11" ht="30" x14ac:dyDescent="0.25">
      <c r="B111" t="s">
        <v>48</v>
      </c>
      <c r="C111" t="s">
        <v>170</v>
      </c>
      <c r="D111" s="1" t="s">
        <v>169</v>
      </c>
      <c r="E111" s="3" t="s">
        <v>168</v>
      </c>
    </row>
    <row r="112" spans="1:11" x14ac:dyDescent="0.25">
      <c r="E112" s="3"/>
    </row>
    <row r="113" spans="1:11" x14ac:dyDescent="0.25">
      <c r="A113" s="9" t="s">
        <v>219</v>
      </c>
      <c r="B113" s="9"/>
      <c r="C113" s="9"/>
      <c r="D113" s="9"/>
      <c r="E113" s="12"/>
    </row>
    <row r="114" spans="1:11" x14ac:dyDescent="0.25">
      <c r="A114" t="s">
        <v>36</v>
      </c>
      <c r="B114" t="s">
        <v>39</v>
      </c>
      <c r="C114" t="s">
        <v>220</v>
      </c>
      <c r="D114" t="s">
        <v>221</v>
      </c>
      <c r="E114" s="3" t="s">
        <v>34</v>
      </c>
      <c r="F114" t="s">
        <v>217</v>
      </c>
      <c r="G114" t="s">
        <v>216</v>
      </c>
      <c r="I114">
        <v>2017</v>
      </c>
      <c r="J114" t="s">
        <v>191</v>
      </c>
      <c r="K114" t="s">
        <v>215</v>
      </c>
    </row>
    <row r="115" spans="1:11" x14ac:dyDescent="0.25">
      <c r="E115" s="3"/>
    </row>
    <row r="116" spans="1:11" x14ac:dyDescent="0.25">
      <c r="A116" t="s">
        <v>37</v>
      </c>
      <c r="B116" t="s">
        <v>41</v>
      </c>
      <c r="C116" t="s">
        <v>165</v>
      </c>
      <c r="D116" t="s">
        <v>223</v>
      </c>
      <c r="E116" s="3"/>
    </row>
    <row r="117" spans="1:11" x14ac:dyDescent="0.25">
      <c r="E117" s="3"/>
    </row>
    <row r="118" spans="1:11" x14ac:dyDescent="0.25">
      <c r="A118" t="s">
        <v>46</v>
      </c>
      <c r="B118" t="s">
        <v>47</v>
      </c>
      <c r="C118" t="s">
        <v>222</v>
      </c>
      <c r="E118" s="3"/>
    </row>
    <row r="119" spans="1:11" x14ac:dyDescent="0.25">
      <c r="E119" s="3"/>
    </row>
    <row r="120" spans="1:11" x14ac:dyDescent="0.25">
      <c r="A120" s="9" t="s">
        <v>162</v>
      </c>
      <c r="B120" s="9"/>
      <c r="C120" s="9"/>
      <c r="D120" s="9"/>
      <c r="E120" s="12"/>
    </row>
    <row r="121" spans="1:11" x14ac:dyDescent="0.25">
      <c r="A121" t="s">
        <v>36</v>
      </c>
      <c r="B121" t="s">
        <v>39</v>
      </c>
      <c r="C121" t="s">
        <v>176</v>
      </c>
      <c r="D121" t="s">
        <v>171</v>
      </c>
      <c r="E121" s="3" t="s">
        <v>33</v>
      </c>
    </row>
    <row r="122" spans="1:11" x14ac:dyDescent="0.25">
      <c r="E122" s="3"/>
    </row>
    <row r="123" spans="1:11" x14ac:dyDescent="0.25">
      <c r="A123" t="s">
        <v>46</v>
      </c>
      <c r="B123" t="s">
        <v>47</v>
      </c>
      <c r="C123" s="20" t="s">
        <v>172</v>
      </c>
      <c r="D123" t="s">
        <v>174</v>
      </c>
      <c r="E123" s="3" t="s">
        <v>160</v>
      </c>
    </row>
    <row r="124" spans="1:11" ht="120" x14ac:dyDescent="0.25">
      <c r="B124" t="s">
        <v>48</v>
      </c>
      <c r="C124" t="s">
        <v>173</v>
      </c>
      <c r="D124" s="1" t="s">
        <v>175</v>
      </c>
      <c r="E124" s="3" t="s">
        <v>34</v>
      </c>
      <c r="F124" t="s">
        <v>217</v>
      </c>
      <c r="G124" t="s">
        <v>216</v>
      </c>
      <c r="I124">
        <v>2017</v>
      </c>
      <c r="J124" t="s">
        <v>191</v>
      </c>
      <c r="K124" t="s">
        <v>215</v>
      </c>
    </row>
    <row r="126" spans="1:11" x14ac:dyDescent="0.25">
      <c r="A126" s="9" t="s">
        <v>177</v>
      </c>
      <c r="B126" s="9"/>
      <c r="C126" s="9"/>
      <c r="D126" s="9"/>
      <c r="E126" s="9"/>
    </row>
    <row r="127" spans="1:11" x14ac:dyDescent="0.25">
      <c r="A127" t="s">
        <v>36</v>
      </c>
      <c r="B127" t="s">
        <v>39</v>
      </c>
      <c r="D127" t="s">
        <v>178</v>
      </c>
      <c r="E127" s="3" t="s">
        <v>34</v>
      </c>
      <c r="F127" t="s">
        <v>217</v>
      </c>
      <c r="G127" t="s">
        <v>216</v>
      </c>
      <c r="H127" t="s">
        <v>179</v>
      </c>
      <c r="I127">
        <v>2017</v>
      </c>
      <c r="J127" t="s">
        <v>191</v>
      </c>
      <c r="K127" t="s">
        <v>215</v>
      </c>
    </row>
    <row r="129" spans="2:2" x14ac:dyDescent="0.25">
      <c r="B129" s="3"/>
    </row>
    <row r="132" spans="2:2" x14ac:dyDescent="0.25">
      <c r="B132" s="3"/>
    </row>
  </sheetData>
  <hyperlinks>
    <hyperlink ref="E3" r:id="rId1" xr:uid="{32D8ADD6-2D2A-414D-9E60-51D9B768E0DC}"/>
    <hyperlink ref="E10" r:id="rId2" xr:uid="{364F08C7-D795-41BD-A667-9B0D1FA9A0F9}"/>
    <hyperlink ref="F12" r:id="rId3" xr:uid="{4082205D-349C-4E05-ADB3-3B4B49E95C3D}"/>
    <hyperlink ref="E12" r:id="rId4" xr:uid="{2112292D-B08C-4D04-8ECE-C220152093B3}"/>
    <hyperlink ref="E14" r:id="rId5" xr:uid="{4633B38B-37E2-45CF-BBD3-69B844280F7F}"/>
    <hyperlink ref="E15" r:id="rId6" xr:uid="{BCFB3AD7-E568-4EF1-B8C6-6D36C01219F4}"/>
    <hyperlink ref="F15" r:id="rId7" xr:uid="{39EED4C6-9757-4F0B-975F-54D2B98A7A34}"/>
    <hyperlink ref="E7" r:id="rId8" xr:uid="{D0D61482-D1E5-4671-876A-526BA3353F40}"/>
    <hyperlink ref="E16" r:id="rId9" xr:uid="{58446584-1B84-4777-A5E9-6898365BA1E5}"/>
    <hyperlink ref="E17" r:id="rId10" xr:uid="{C5D9A06C-0387-4FC0-AAA3-F9989453E08A}"/>
    <hyperlink ref="E26" r:id="rId11" xr:uid="{8A2236F5-86D0-410D-9B5C-81258D098FE0}"/>
    <hyperlink ref="E29" r:id="rId12" xr:uid="{59EE9B2E-D2F9-401E-9775-EF42BCE46BC3}"/>
    <hyperlink ref="E33" r:id="rId13" xr:uid="{5E06AC32-81C0-4A0E-8A2D-643C5CE6E28F}"/>
    <hyperlink ref="E34" r:id="rId14" xr:uid="{2FA3F88D-B68D-4D9A-AF6D-85C92761CD5E}"/>
    <hyperlink ref="E39" r:id="rId15" xr:uid="{D619E4AC-0C09-455E-8305-30AF4AAFB06F}"/>
    <hyperlink ref="E40" r:id="rId16" xr:uid="{C86126A9-F92F-49C0-992A-DF52869D5DE6}"/>
    <hyperlink ref="E46" r:id="rId17" xr:uid="{E3D3049C-A01C-4B19-A098-462AC782DC13}"/>
    <hyperlink ref="E47" r:id="rId18" xr:uid="{4B6471BF-04FA-4963-8AC1-87BD948E5C5A}"/>
    <hyperlink ref="E53" r:id="rId19" xr:uid="{0C2D9F0B-5BB3-4B84-946C-45C8CA66A796}"/>
    <hyperlink ref="E54" r:id="rId20" xr:uid="{F3A497AE-00B9-451E-A7E9-112D48633BF3}"/>
    <hyperlink ref="E57" r:id="rId21" xr:uid="{E9E78411-C4FF-4223-9D8A-A797F1EF6B96}"/>
    <hyperlink ref="E63" r:id="rId22" xr:uid="{203123FC-8149-4846-A324-0E084AADB77E}"/>
    <hyperlink ref="E86" r:id="rId23" xr:uid="{111ACAE6-C0A4-42A0-9CCC-9D465186D4A6}"/>
    <hyperlink ref="E89" r:id="rId24" xr:uid="{5BB5A54F-3FAE-49BE-8D14-FC76171FCA6D}"/>
    <hyperlink ref="E95" r:id="rId25" xr:uid="{303E043F-4724-46DC-9752-E461155D908B}"/>
    <hyperlink ref="E98" r:id="rId26" xr:uid="{BD805B39-228D-4BAE-B98B-224685A649A4}"/>
    <hyperlink ref="E102" r:id="rId27" xr:uid="{6EE7DDF8-9FDA-43EA-B004-EDC09C0BE63B}"/>
    <hyperlink ref="E103" r:id="rId28" xr:uid="{A58017EF-3DDD-482D-9590-58BEAA051002}"/>
    <hyperlink ref="E110" r:id="rId29" xr:uid="{0C7D8A65-51EB-487C-823E-A93410C065A0}"/>
    <hyperlink ref="E111" r:id="rId30" xr:uid="{0493B2B0-8F94-49EC-A70A-EBE78A6FA1CC}"/>
    <hyperlink ref="E121" r:id="rId31" xr:uid="{8172DA29-1E81-4AAE-9BA1-F59C3C1A8A8C}"/>
    <hyperlink ref="E123" r:id="rId32" xr:uid="{DA8BADA9-3FEA-4C06-A398-69C212BEF465}"/>
    <hyperlink ref="E124" r:id="rId33" xr:uid="{E94A4255-7642-4E78-82B4-CCF3F381AA16}"/>
    <hyperlink ref="E127" r:id="rId34" xr:uid="{DB814493-60C2-419C-9E9C-25D718F91ABC}"/>
    <hyperlink ref="E20" r:id="rId35" xr:uid="{CADADD63-C22B-44CD-A81C-C784D99E6720}"/>
    <hyperlink ref="E23" r:id="rId36" xr:uid="{9CBF3083-9851-4B37-8D25-78E073816D31}"/>
    <hyperlink ref="E37" r:id="rId37" xr:uid="{5EE64EAA-0433-4F57-961A-7A2262B3162D}"/>
    <hyperlink ref="E43" r:id="rId38" xr:uid="{48ADA0EC-01BB-4B57-A72B-5E32DCC497D2}"/>
    <hyperlink ref="E50" r:id="rId39" xr:uid="{2C9DF56F-3D10-49F9-85BC-4233358FC3A5}"/>
    <hyperlink ref="E70" r:id="rId40" tooltip="Persistent link using digital object identifier" xr:uid="{0BC3701C-2B73-41D1-9A42-8481E49964E1}"/>
    <hyperlink ref="E76" r:id="rId41" xr:uid="{DF0EE465-CE63-4CF6-AAA8-CEADDBE1D4A4}"/>
  </hyperlinks>
  <pageMargins left="0.7" right="0.7" top="0.78740157499999996" bottom="0.78740157499999996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steel</vt:lpstr>
      <vt:lpstr>steel_prim</vt:lpstr>
      <vt:lpstr>steel_sec</vt:lpstr>
      <vt:lpstr>steel_direct</vt:lpstr>
      <vt:lpstr>alu_prim</vt:lpstr>
      <vt:lpstr>alu_sec</vt:lpstr>
      <vt:lpstr>copper_prim</vt:lpstr>
      <vt:lpstr>glass</vt:lpstr>
      <vt:lpstr>copper_sec</vt:lpstr>
      <vt:lpstr>cement</vt:lpstr>
      <vt:lpstr>paper</vt:lpstr>
      <vt:lpstr>chlorine</vt:lpstr>
      <vt:lpstr>ammonia</vt:lpstr>
      <vt:lpstr>ammonia_classic</vt:lpstr>
      <vt:lpstr>methanol</vt:lpstr>
      <vt:lpstr>methanol_classic</vt:lpstr>
      <vt:lpstr>ethylene</vt:lpstr>
      <vt:lpstr>ethylene_classic</vt:lpstr>
      <vt:lpstr>propylene</vt:lpstr>
      <vt:lpstr>propylene_classic</vt:lpstr>
      <vt:lpstr>olefins</vt:lpstr>
      <vt:lpstr>olefins_classic</vt:lpstr>
      <vt:lpstr>aromatics</vt:lpstr>
      <vt:lpstr>aromatics_classic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2025-02-05T12:46:48Z</dcterms:modified>
</cp:coreProperties>
</file>