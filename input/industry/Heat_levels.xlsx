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844F426A-88B9-4235-89F9-802108BCEF11}" xr6:coauthVersionLast="47" xr6:coauthVersionMax="47" xr10:uidLastSave="{00000000-0000-0000-0000-000000000000}"/>
  <bookViews>
    <workbookView xWindow="6975" yWindow="2175" windowWidth="20175" windowHeight="13230" xr2:uid="{14D76F3B-60B7-4511-B1B3-FDAA6825855D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1" l="1"/>
  <c r="C22" i="1"/>
  <c r="D22" i="1"/>
  <c r="E22" i="1"/>
  <c r="P4" i="1"/>
  <c r="C2" i="1" s="1"/>
  <c r="O4" i="1"/>
  <c r="B2" i="1" s="1"/>
  <c r="D25" i="1" l="1"/>
  <c r="D26" i="1" s="1"/>
  <c r="D27" i="1" s="1"/>
  <c r="E29" i="1" l="1"/>
  <c r="E30" i="1" s="1"/>
  <c r="E31" i="1" s="1"/>
  <c r="E32" i="1" s="1"/>
  <c r="D29" i="1"/>
  <c r="D30" i="1" s="1"/>
  <c r="D31" i="1" s="1"/>
  <c r="D32" i="1" s="1"/>
  <c r="B29" i="1"/>
  <c r="B30" i="1" s="1"/>
  <c r="B31" i="1" s="1"/>
  <c r="B32" i="1" s="1"/>
  <c r="D28" i="1"/>
  <c r="E25" i="1"/>
  <c r="B25" i="1"/>
  <c r="E12" i="1"/>
  <c r="E13" i="1" s="1"/>
  <c r="E14" i="1" s="1"/>
  <c r="E15" i="1" s="1"/>
  <c r="D12" i="1"/>
  <c r="D13" i="1" s="1"/>
  <c r="D14" i="1" s="1"/>
  <c r="D15" i="1" s="1"/>
  <c r="B12" i="1"/>
  <c r="B13" i="1" s="1"/>
  <c r="B14" i="1" s="1"/>
  <c r="B3" i="1"/>
  <c r="D3" i="1"/>
  <c r="E3" i="1"/>
  <c r="B4" i="1"/>
  <c r="D4" i="1"/>
  <c r="E4" i="1"/>
  <c r="B5" i="1"/>
  <c r="D5" i="1"/>
  <c r="E5" i="1"/>
  <c r="B6" i="1"/>
  <c r="D6" i="1"/>
  <c r="E6" i="1"/>
  <c r="B7" i="1"/>
  <c r="D7" i="1"/>
  <c r="E7" i="1"/>
  <c r="B8" i="1"/>
  <c r="D8" i="1"/>
  <c r="E8" i="1"/>
  <c r="B9" i="1"/>
  <c r="D9" i="1"/>
  <c r="E9" i="1"/>
  <c r="B10" i="1"/>
  <c r="D10" i="1"/>
  <c r="E10" i="1"/>
  <c r="B11" i="1"/>
  <c r="D11" i="1"/>
  <c r="E11" i="1"/>
  <c r="E2" i="1"/>
  <c r="D2" i="1"/>
  <c r="D17" i="1" l="1"/>
  <c r="D24" i="1" s="1"/>
  <c r="D16" i="1"/>
  <c r="B15" i="1"/>
  <c r="B16" i="1" s="1"/>
  <c r="E17" i="1"/>
  <c r="E16" i="1"/>
  <c r="E28" i="1"/>
  <c r="E26" i="1"/>
  <c r="E27" i="1" s="1"/>
  <c r="B28" i="1"/>
  <c r="B26" i="1"/>
  <c r="B27" i="1" s="1"/>
  <c r="E24" i="1"/>
  <c r="E18" i="1"/>
  <c r="E19" i="1" s="1"/>
  <c r="E20" i="1" s="1"/>
  <c r="E21" i="1" s="1"/>
  <c r="E23" i="1" s="1"/>
  <c r="C29" i="1"/>
  <c r="C30" i="1" s="1"/>
  <c r="C31" i="1" s="1"/>
  <c r="C32" i="1" s="1"/>
  <c r="C25" i="1"/>
  <c r="C6" i="1"/>
  <c r="C8" i="1"/>
  <c r="C12" i="1"/>
  <c r="C13" i="1" s="1"/>
  <c r="C14" i="1" s="1"/>
  <c r="C15" i="1" s="1"/>
  <c r="C7" i="1"/>
  <c r="C9" i="1"/>
  <c r="C10" i="1"/>
  <c r="C3" i="1"/>
  <c r="C11" i="1"/>
  <c r="C4" i="1"/>
  <c r="C5" i="1"/>
  <c r="C17" i="1" l="1"/>
  <c r="C24" i="1" s="1"/>
  <c r="C16" i="1"/>
  <c r="D18" i="1"/>
  <c r="D19" i="1" s="1"/>
  <c r="D20" i="1" s="1"/>
  <c r="D21" i="1" s="1"/>
  <c r="D23" i="1" s="1"/>
  <c r="B17" i="1"/>
  <c r="C28" i="1"/>
  <c r="C26" i="1"/>
  <c r="C27" i="1" s="1"/>
  <c r="C18" i="1" l="1"/>
  <c r="C19" i="1" s="1"/>
  <c r="C20" i="1" s="1"/>
  <c r="C21" i="1" s="1"/>
  <c r="C23" i="1" s="1"/>
  <c r="B24" i="1"/>
  <c r="B18" i="1"/>
  <c r="B19" i="1" s="1"/>
  <c r="B20" i="1" s="1"/>
  <c r="B21" i="1" s="1"/>
  <c r="B23" i="1" s="1"/>
</calcChain>
</file>

<file path=xl/sharedStrings.xml><?xml version="1.0" encoding="utf-8"?>
<sst xmlns="http://schemas.openxmlformats.org/spreadsheetml/2006/main" count="103" uniqueCount="92">
  <si>
    <t>Industry</t>
  </si>
  <si>
    <t>Q1</t>
  </si>
  <si>
    <t>Q2</t>
  </si>
  <si>
    <t>Q3</t>
  </si>
  <si>
    <t>Q4</t>
  </si>
  <si>
    <t>alu_prim</t>
  </si>
  <si>
    <t>cement</t>
  </si>
  <si>
    <t>glass</t>
  </si>
  <si>
    <t>paper</t>
  </si>
  <si>
    <t>steel</t>
  </si>
  <si>
    <t>steel_direct</t>
  </si>
  <si>
    <t>ammonia</t>
  </si>
  <si>
    <t>methanol</t>
  </si>
  <si>
    <t>propylene</t>
  </si>
  <si>
    <t>food</t>
  </si>
  <si>
    <t>car_production</t>
  </si>
  <si>
    <t>mining</t>
  </si>
  <si>
    <t>rubber</t>
  </si>
  <si>
    <t>metall_processing</t>
  </si>
  <si>
    <t>stone_processing</t>
  </si>
  <si>
    <t>&lt;100</t>
  </si>
  <si>
    <t>100-200</t>
  </si>
  <si>
    <t>200-300</t>
  </si>
  <si>
    <t>300-500</t>
  </si>
  <si>
    <t>&gt;500</t>
  </si>
  <si>
    <t>grundstoffchemie</t>
  </si>
  <si>
    <t>hotwater and space heating</t>
  </si>
  <si>
    <t>Industry sector</t>
  </si>
  <si>
    <t>machine_production</t>
  </si>
  <si>
    <t>metall</t>
  </si>
  <si>
    <t>NE metall</t>
  </si>
  <si>
    <t>chemie rest</t>
  </si>
  <si>
    <t>Q1/(Q1+Q2)</t>
  </si>
  <si>
    <t>Q2/(Q1+Q2)</t>
  </si>
  <si>
    <t>rest</t>
  </si>
  <si>
    <t>alu_sec</t>
  </si>
  <si>
    <t>ethylene</t>
  </si>
  <si>
    <t>(mining, grundstofchemie and chemie rest)</t>
  </si>
  <si>
    <t>Year</t>
  </si>
  <si>
    <t>Space heating</t>
  </si>
  <si>
    <t>https://d-nb.info/1049260554/34 S.134</t>
  </si>
  <si>
    <t>ammonia_classic</t>
  </si>
  <si>
    <t>methanol_classic</t>
  </si>
  <si>
    <t>propylene_classic</t>
  </si>
  <si>
    <t>ethylene_classic</t>
  </si>
  <si>
    <t>steel_prim</t>
  </si>
  <si>
    <t>steel_sec</t>
  </si>
  <si>
    <t xml:space="preserve">Unit: </t>
  </si>
  <si>
    <t>%</t>
  </si>
  <si>
    <t>Source:</t>
  </si>
  <si>
    <t>[1]</t>
  </si>
  <si>
    <t>https://www.clearingstelle-eeg-kwkg.de/sites/default/files/BMWi_141001_potenzial-und-kosten-nutzen-analyse-zu-den-einsatzmoeglichkeiten-von-kraft-waerme-kopplung.pdf</t>
  </si>
  <si>
    <t>Table: heat distribution 2012 [1]</t>
  </si>
  <si>
    <t>Distribution of heat in German industry sector 2012</t>
  </si>
  <si>
    <t>[2]</t>
  </si>
  <si>
    <t>Distribution of hot water and space heating in German industry sector 2012</t>
  </si>
  <si>
    <t>Table: hot water and space heating distribution 2012 [2]</t>
  </si>
  <si>
    <t>https://docplayer.org/5328701-Erstellung-von-anwendungsbilanzen-fuer-das-jahr-2012-fuer-das-verarbeitende-gewerbe-mit-aktualisierungen-fuer-die-jahre-2009-2011.html</t>
  </si>
  <si>
    <t>Warm water</t>
  </si>
  <si>
    <t>A1</t>
  </si>
  <si>
    <t>Distribution of Germany for all the countries</t>
  </si>
  <si>
    <t>A2</t>
  </si>
  <si>
    <t>where summ of percentages in [1] was = 99 % instead of 100% due to rounding =&gt; the highest heat level != 0 got 1% additionally</t>
  </si>
  <si>
    <t>Data</t>
  </si>
  <si>
    <t>chlorine</t>
  </si>
  <si>
    <t>copper_prim</t>
  </si>
  <si>
    <t>copper_sec</t>
  </si>
  <si>
    <t>Description</t>
  </si>
  <si>
    <t>Title</t>
  </si>
  <si>
    <t>Web</t>
  </si>
  <si>
    <t>Accessed</t>
  </si>
  <si>
    <t>Publisher</t>
  </si>
  <si>
    <t>Page</t>
  </si>
  <si>
    <t>03.11.2023</t>
  </si>
  <si>
    <t>p. 104</t>
  </si>
  <si>
    <t>Potenzial- und Kosten-Nutzen-Analyse zu den Einsatzmöglichkeiten von Kraft-Wärme-Kopplung (Umsetzung der EU-Energieeffizienzrichtlinie) sowie Evaluierung des KWKG im Jahr 2014</t>
  </si>
  <si>
    <t>Fraunhofer ISI</t>
  </si>
  <si>
    <t>Erstellung von Anwendungsbilanzen für das Jahr 2012 für das verarbeitende Gewerbe mit Aktualisierungen für die  Jahre 2009-2011</t>
  </si>
  <si>
    <t>p. 13</t>
  </si>
  <si>
    <t>Further Info</t>
  </si>
  <si>
    <t>F1</t>
  </si>
  <si>
    <t>In well-insulated buildings, relatively low temperatures of a maximum of 45 degrees Celsius (°C) are sufficient for room heating</t>
  </si>
  <si>
    <t>F2</t>
  </si>
  <si>
    <t>F3</t>
  </si>
  <si>
    <t>Space heating share of heat</t>
  </si>
  <si>
    <t>Einflussgrößen des Energieverbrauchs
– Eine empirische Analyse für Deutschland –</t>
  </si>
  <si>
    <t>Diplom. at Universität Heidelberg</t>
  </si>
  <si>
    <t>aromatics_classic</t>
  </si>
  <si>
    <t>aromatics</t>
  </si>
  <si>
    <t xml:space="preserve">Assumptions/Changes: </t>
  </si>
  <si>
    <t>olefins</t>
  </si>
  <si>
    <t>olefins_classic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</si>
</sst>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0" fillId="0" borderId="0" xfId="0" applyNumberFormat="1"/>
    <xf numFmtId="0" fontId="0" fillId="2" borderId="0" xfId="0" applyFill="1"/>
    <xf numFmtId="9" fontId="0" fillId="0" borderId="0" xfId="2" applyFont="1"/>
    <xf numFmtId="0" fontId="3" fillId="0" borderId="0" xfId="0" applyFont="1" applyAlignment="1">
      <alignment horizontal="left" vertical="center"/>
    </xf>
  </cellXfs>
  <cellStyles count="3">
    <cellStyle name="Link" xfId="1" builtinId="8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player.org/5328701-Erstellung-von-anwendungsbilanzen-fuer-das-jahr-2012-fuer-das-verarbeitende-gewerbe-mit-aktualisierungen-fuer-die-jahre-2009-2011.html" TargetMode="External"/><Relationship Id="rId2" Type="http://schemas.openxmlformats.org/officeDocument/2006/relationships/hyperlink" Target="https://www.clearingstelle-eeg-kwkg.de/sites/default/files/BMWi_141001_potenzial-und-kosten-nutzen-analyse-zu-den-einsatzmoeglichkeiten-von-kraft-waerme-kopplung.pdf" TargetMode="External"/><Relationship Id="rId1" Type="http://schemas.openxmlformats.org/officeDocument/2006/relationships/hyperlink" Target="https://d-nb.info/1049260554/3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6" workbookViewId="0">
      <selection activeCell="C21" sqref="C21"/>
    </sheetView>
  </sheetViews>
  <sheetFormatPr baseColWidth="10" defaultColWidth="9.140625" defaultRowHeight="15"/>
  <cols>
    <col min="1" max="1" width="19.42578125" bestFit="1" customWidth="1"/>
    <col min="7" max="7" width="19.42578125" bestFit="1" customWidth="1"/>
    <col min="8" max="8" width="13.85546875" customWidth="1"/>
    <col min="15" max="15" width="1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52</v>
      </c>
      <c r="O1" t="s">
        <v>56</v>
      </c>
    </row>
    <row r="2" spans="1:16" ht="30">
      <c r="A2" t="s">
        <v>14</v>
      </c>
      <c r="B2" s="4">
        <f t="shared" ref="B2" si="0">H3*$O$4</f>
        <v>18.101667990468627</v>
      </c>
      <c r="C2" s="4">
        <f t="shared" ref="C2" si="1">H3*$P$4+I3</f>
        <v>38.898332009531373</v>
      </c>
      <c r="D2">
        <f>J3</f>
        <v>41</v>
      </c>
      <c r="E2">
        <f>SUM(K3:M3)</f>
        <v>2</v>
      </c>
      <c r="G2" t="s">
        <v>27</v>
      </c>
      <c r="H2" s="2" t="s">
        <v>26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O2" t="s">
        <v>39</v>
      </c>
      <c r="P2" t="s">
        <v>58</v>
      </c>
    </row>
    <row r="3" spans="1:16">
      <c r="A3" t="s">
        <v>15</v>
      </c>
      <c r="B3" s="4">
        <f t="shared" ref="B3:B11" si="2">H4*$O$4</f>
        <v>29.867752184273233</v>
      </c>
      <c r="C3" s="4">
        <f t="shared" ref="C3:C11" si="3">H4*$P$4+I4</f>
        <v>29.132247815726767</v>
      </c>
      <c r="D3">
        <f t="shared" ref="D3:D11" si="4">J4</f>
        <v>23</v>
      </c>
      <c r="E3">
        <f t="shared" ref="E3:E11" si="5">SUM(K4:M4)</f>
        <v>18</v>
      </c>
      <c r="G3" t="s">
        <v>14</v>
      </c>
      <c r="H3">
        <v>20</v>
      </c>
      <c r="I3">
        <v>37</v>
      </c>
      <c r="J3">
        <v>41</v>
      </c>
      <c r="K3">
        <v>2</v>
      </c>
      <c r="L3">
        <v>0</v>
      </c>
      <c r="M3">
        <v>0</v>
      </c>
      <c r="O3" t="s">
        <v>32</v>
      </c>
      <c r="P3" t="s">
        <v>33</v>
      </c>
    </row>
    <row r="4" spans="1:16">
      <c r="A4" t="s">
        <v>16</v>
      </c>
      <c r="B4" s="4">
        <f t="shared" si="2"/>
        <v>3.6203335980937252</v>
      </c>
      <c r="C4" s="4">
        <f t="shared" si="3"/>
        <v>84.379666401906277</v>
      </c>
      <c r="D4">
        <f t="shared" si="4"/>
        <v>5</v>
      </c>
      <c r="E4">
        <f t="shared" si="5"/>
        <v>7</v>
      </c>
      <c r="G4" t="s">
        <v>15</v>
      </c>
      <c r="H4">
        <v>33</v>
      </c>
      <c r="I4">
        <v>26</v>
      </c>
      <c r="J4">
        <v>23</v>
      </c>
      <c r="K4">
        <v>0</v>
      </c>
      <c r="L4">
        <v>0</v>
      </c>
      <c r="M4">
        <v>18</v>
      </c>
      <c r="O4" s="6">
        <f>227.9/(227.9+23.9)</f>
        <v>0.90508339952343131</v>
      </c>
      <c r="P4" s="6">
        <f>23.9/(227.9+23.9)</f>
        <v>9.4916600476568691E-2</v>
      </c>
    </row>
    <row r="5" spans="1:16">
      <c r="A5" t="s">
        <v>7</v>
      </c>
      <c r="B5" s="4">
        <f t="shared" si="2"/>
        <v>3.6203335980937252</v>
      </c>
      <c r="C5" s="4">
        <f t="shared" si="3"/>
        <v>3.3796664019062748</v>
      </c>
      <c r="D5">
        <f t="shared" si="4"/>
        <v>0</v>
      </c>
      <c r="E5">
        <f t="shared" si="5"/>
        <v>93</v>
      </c>
      <c r="G5" t="s">
        <v>16</v>
      </c>
      <c r="H5">
        <v>4</v>
      </c>
      <c r="I5">
        <v>84</v>
      </c>
      <c r="J5">
        <v>5</v>
      </c>
      <c r="K5">
        <v>5</v>
      </c>
      <c r="L5">
        <v>2</v>
      </c>
      <c r="M5">
        <v>0</v>
      </c>
    </row>
    <row r="6" spans="1:16">
      <c r="A6" t="s">
        <v>17</v>
      </c>
      <c r="B6" s="4">
        <f t="shared" si="2"/>
        <v>19.911834789515488</v>
      </c>
      <c r="C6" s="4">
        <f t="shared" si="3"/>
        <v>18.088165210484512</v>
      </c>
      <c r="D6">
        <f t="shared" si="4"/>
        <v>12</v>
      </c>
      <c r="E6">
        <f t="shared" si="5"/>
        <v>50</v>
      </c>
      <c r="G6" t="s">
        <v>7</v>
      </c>
      <c r="H6">
        <v>4</v>
      </c>
      <c r="I6">
        <v>3</v>
      </c>
      <c r="J6">
        <v>0</v>
      </c>
      <c r="K6">
        <v>0</v>
      </c>
      <c r="L6">
        <v>4</v>
      </c>
      <c r="M6">
        <v>89</v>
      </c>
    </row>
    <row r="7" spans="1:16">
      <c r="A7" t="s">
        <v>28</v>
      </c>
      <c r="B7" s="4">
        <f t="shared" si="2"/>
        <v>29.867752184273233</v>
      </c>
      <c r="C7" s="4">
        <f t="shared" si="3"/>
        <v>23.132247815726767</v>
      </c>
      <c r="D7">
        <f t="shared" si="4"/>
        <v>16</v>
      </c>
      <c r="E7">
        <f t="shared" si="5"/>
        <v>31</v>
      </c>
      <c r="G7" t="s">
        <v>17</v>
      </c>
      <c r="H7">
        <v>22</v>
      </c>
      <c r="I7">
        <v>16</v>
      </c>
      <c r="J7">
        <v>12</v>
      </c>
      <c r="K7">
        <v>50</v>
      </c>
      <c r="L7">
        <v>0</v>
      </c>
      <c r="M7">
        <v>0</v>
      </c>
    </row>
    <row r="8" spans="1:16">
      <c r="A8" t="s">
        <v>18</v>
      </c>
      <c r="B8" s="4">
        <f t="shared" si="2"/>
        <v>15.386417791898332</v>
      </c>
      <c r="C8" s="4">
        <f t="shared" si="3"/>
        <v>1.6135822081016677</v>
      </c>
      <c r="D8">
        <f t="shared" si="4"/>
        <v>1</v>
      </c>
      <c r="E8">
        <f t="shared" si="5"/>
        <v>82</v>
      </c>
      <c r="G8" t="s">
        <v>28</v>
      </c>
      <c r="H8">
        <v>33</v>
      </c>
      <c r="I8">
        <v>20</v>
      </c>
      <c r="J8">
        <v>16</v>
      </c>
      <c r="K8">
        <v>0</v>
      </c>
      <c r="L8">
        <v>0</v>
      </c>
      <c r="M8">
        <v>31</v>
      </c>
    </row>
    <row r="9" spans="1:16">
      <c r="A9" t="s">
        <v>8</v>
      </c>
      <c r="B9" s="4">
        <f t="shared" si="2"/>
        <v>13.57625099285147</v>
      </c>
      <c r="C9" s="4">
        <f t="shared" si="3"/>
        <v>21.42374900714853</v>
      </c>
      <c r="D9">
        <f t="shared" si="4"/>
        <v>65</v>
      </c>
      <c r="E9">
        <f t="shared" si="5"/>
        <v>0</v>
      </c>
      <c r="G9" t="s">
        <v>18</v>
      </c>
      <c r="H9">
        <v>17</v>
      </c>
      <c r="I9">
        <v>0</v>
      </c>
      <c r="J9">
        <v>1</v>
      </c>
      <c r="K9">
        <v>1</v>
      </c>
      <c r="L9">
        <v>0</v>
      </c>
      <c r="M9">
        <v>81</v>
      </c>
    </row>
    <row r="10" spans="1:16">
      <c r="A10" t="s">
        <v>34</v>
      </c>
      <c r="B10" s="4">
        <f t="shared" si="2"/>
        <v>29.867752184273233</v>
      </c>
      <c r="C10" s="4">
        <f t="shared" si="3"/>
        <v>22.132247815726767</v>
      </c>
      <c r="D10">
        <f t="shared" si="4"/>
        <v>12</v>
      </c>
      <c r="E10">
        <f t="shared" si="5"/>
        <v>36</v>
      </c>
      <c r="G10" t="s">
        <v>8</v>
      </c>
      <c r="H10">
        <v>15</v>
      </c>
      <c r="I10">
        <v>20</v>
      </c>
      <c r="J10">
        <v>65</v>
      </c>
      <c r="K10">
        <v>0</v>
      </c>
      <c r="L10">
        <v>0</v>
      </c>
      <c r="M10">
        <v>0</v>
      </c>
    </row>
    <row r="11" spans="1:16">
      <c r="A11" t="s">
        <v>6</v>
      </c>
      <c r="B11" s="4">
        <f t="shared" si="2"/>
        <v>3.6203335980937252</v>
      </c>
      <c r="C11" s="4">
        <f t="shared" si="3"/>
        <v>0.37966640190627476</v>
      </c>
      <c r="D11">
        <f t="shared" si="4"/>
        <v>5</v>
      </c>
      <c r="E11">
        <f t="shared" si="5"/>
        <v>91</v>
      </c>
      <c r="G11" t="s">
        <v>34</v>
      </c>
      <c r="H11">
        <v>33</v>
      </c>
      <c r="I11">
        <v>19</v>
      </c>
      <c r="J11">
        <v>12</v>
      </c>
      <c r="K11">
        <v>17</v>
      </c>
      <c r="L11">
        <v>0</v>
      </c>
      <c r="M11">
        <v>19</v>
      </c>
    </row>
    <row r="12" spans="1:16">
      <c r="A12" t="s">
        <v>11</v>
      </c>
      <c r="B12" s="4">
        <f>$H$13*$O$4</f>
        <v>6.3355837966640189</v>
      </c>
      <c r="C12" s="4">
        <f>$H$13*$P$4+I13</f>
        <v>16.664416203335982</v>
      </c>
      <c r="D12">
        <f>$J$13</f>
        <v>11</v>
      </c>
      <c r="E12">
        <f>SUM($K$13:$M$13)</f>
        <v>66</v>
      </c>
      <c r="G12" t="s">
        <v>19</v>
      </c>
      <c r="H12">
        <v>4</v>
      </c>
      <c r="I12">
        <v>0</v>
      </c>
      <c r="J12">
        <v>5</v>
      </c>
      <c r="K12">
        <v>1</v>
      </c>
      <c r="L12">
        <v>0</v>
      </c>
      <c r="M12">
        <v>90</v>
      </c>
    </row>
    <row r="13" spans="1:16">
      <c r="A13" t="s">
        <v>12</v>
      </c>
      <c r="B13" s="4">
        <f>B12</f>
        <v>6.3355837966640189</v>
      </c>
      <c r="C13" s="4">
        <f t="shared" ref="C13:E13" si="6">C12</f>
        <v>16.664416203335982</v>
      </c>
      <c r="D13">
        <f t="shared" si="6"/>
        <v>11</v>
      </c>
      <c r="E13">
        <f t="shared" si="6"/>
        <v>66</v>
      </c>
      <c r="G13" t="s">
        <v>25</v>
      </c>
      <c r="H13">
        <v>7</v>
      </c>
      <c r="I13">
        <v>16</v>
      </c>
      <c r="J13">
        <v>11</v>
      </c>
      <c r="K13">
        <v>6</v>
      </c>
      <c r="L13">
        <v>4</v>
      </c>
      <c r="M13">
        <v>56</v>
      </c>
    </row>
    <row r="14" spans="1:16">
      <c r="A14" t="s">
        <v>13</v>
      </c>
      <c r="B14" s="4">
        <f t="shared" ref="B14:B22" si="7">B13</f>
        <v>6.3355837966640189</v>
      </c>
      <c r="C14" s="4">
        <f t="shared" ref="C14:C22" si="8">C13</f>
        <v>16.664416203335982</v>
      </c>
      <c r="D14">
        <f t="shared" ref="D14:D22" si="9">D13</f>
        <v>11</v>
      </c>
      <c r="E14">
        <f t="shared" ref="E14:E22" si="10">E13</f>
        <v>66</v>
      </c>
      <c r="G14" t="s">
        <v>31</v>
      </c>
      <c r="H14">
        <v>7</v>
      </c>
      <c r="I14">
        <v>42</v>
      </c>
      <c r="J14">
        <v>25</v>
      </c>
      <c r="K14">
        <v>15</v>
      </c>
      <c r="L14">
        <v>11</v>
      </c>
      <c r="M14">
        <v>0</v>
      </c>
    </row>
    <row r="15" spans="1:16">
      <c r="A15" t="s">
        <v>36</v>
      </c>
      <c r="B15" s="4">
        <f>B14</f>
        <v>6.3355837966640189</v>
      </c>
      <c r="C15" s="4">
        <f t="shared" si="8"/>
        <v>16.664416203335982</v>
      </c>
      <c r="D15">
        <f t="shared" si="9"/>
        <v>11</v>
      </c>
      <c r="E15">
        <f t="shared" si="10"/>
        <v>66</v>
      </c>
      <c r="G15" t="s">
        <v>29</v>
      </c>
      <c r="H15">
        <v>3</v>
      </c>
      <c r="I15">
        <v>3</v>
      </c>
      <c r="J15">
        <v>19</v>
      </c>
      <c r="K15">
        <v>5</v>
      </c>
      <c r="L15">
        <v>0</v>
      </c>
      <c r="M15">
        <v>70</v>
      </c>
    </row>
    <row r="16" spans="1:16">
      <c r="A16" t="s">
        <v>90</v>
      </c>
      <c r="B16" s="4">
        <f>B15</f>
        <v>6.3355837966640189</v>
      </c>
      <c r="C16" s="4">
        <f t="shared" si="8"/>
        <v>16.664416203335982</v>
      </c>
      <c r="D16">
        <f t="shared" si="9"/>
        <v>11</v>
      </c>
      <c r="E16">
        <f t="shared" si="10"/>
        <v>66</v>
      </c>
      <c r="G16" t="s">
        <v>30</v>
      </c>
      <c r="H16">
        <v>20</v>
      </c>
      <c r="I16">
        <v>4</v>
      </c>
      <c r="J16">
        <v>4</v>
      </c>
      <c r="K16">
        <v>4</v>
      </c>
      <c r="L16">
        <v>11</v>
      </c>
      <c r="M16">
        <v>57</v>
      </c>
    </row>
    <row r="17" spans="1:5">
      <c r="A17" t="s">
        <v>88</v>
      </c>
      <c r="B17" s="4">
        <f>B15</f>
        <v>6.3355837966640189</v>
      </c>
      <c r="C17" s="4">
        <f>C15</f>
        <v>16.664416203335982</v>
      </c>
      <c r="D17">
        <f>D15</f>
        <v>11</v>
      </c>
      <c r="E17">
        <f>E15</f>
        <v>66</v>
      </c>
    </row>
    <row r="18" spans="1:5">
      <c r="A18" t="s">
        <v>41</v>
      </c>
      <c r="B18" s="4">
        <f t="shared" si="7"/>
        <v>6.3355837966640189</v>
      </c>
      <c r="C18" s="4">
        <f t="shared" si="8"/>
        <v>16.664416203335982</v>
      </c>
      <c r="D18">
        <f t="shared" si="9"/>
        <v>11</v>
      </c>
      <c r="E18">
        <f t="shared" si="10"/>
        <v>66</v>
      </c>
    </row>
    <row r="19" spans="1:5">
      <c r="A19" t="s">
        <v>42</v>
      </c>
      <c r="B19" s="4">
        <f t="shared" si="7"/>
        <v>6.3355837966640189</v>
      </c>
      <c r="C19" s="4">
        <f t="shared" si="8"/>
        <v>16.664416203335982</v>
      </c>
      <c r="D19">
        <f t="shared" si="9"/>
        <v>11</v>
      </c>
      <c r="E19">
        <f t="shared" si="10"/>
        <v>66</v>
      </c>
    </row>
    <row r="20" spans="1:5">
      <c r="A20" t="s">
        <v>43</v>
      </c>
      <c r="B20" s="4">
        <f t="shared" si="7"/>
        <v>6.3355837966640189</v>
      </c>
      <c r="C20" s="4">
        <f t="shared" si="8"/>
        <v>16.664416203335982</v>
      </c>
      <c r="D20">
        <f t="shared" si="9"/>
        <v>11</v>
      </c>
      <c r="E20">
        <f t="shared" si="10"/>
        <v>66</v>
      </c>
    </row>
    <row r="21" spans="1:5">
      <c r="A21" t="s">
        <v>44</v>
      </c>
      <c r="B21" s="4">
        <f t="shared" si="7"/>
        <v>6.3355837966640189</v>
      </c>
      <c r="C21" s="4">
        <f t="shared" si="8"/>
        <v>16.664416203335982</v>
      </c>
      <c r="D21">
        <f t="shared" si="9"/>
        <v>11</v>
      </c>
      <c r="E21">
        <f t="shared" si="10"/>
        <v>66</v>
      </c>
    </row>
    <row r="22" spans="1:5">
      <c r="A22" t="s">
        <v>91</v>
      </c>
      <c r="B22" s="4">
        <f t="shared" si="7"/>
        <v>6.3355837966640189</v>
      </c>
      <c r="C22" s="4">
        <f t="shared" si="8"/>
        <v>16.664416203335982</v>
      </c>
      <c r="D22">
        <f t="shared" si="9"/>
        <v>11</v>
      </c>
      <c r="E22">
        <f t="shared" si="10"/>
        <v>66</v>
      </c>
    </row>
    <row r="23" spans="1:5">
      <c r="A23" t="s">
        <v>87</v>
      </c>
      <c r="B23" s="4">
        <f>B21</f>
        <v>6.3355837966640189</v>
      </c>
      <c r="C23" s="4">
        <f>C21</f>
        <v>16.664416203335982</v>
      </c>
      <c r="D23">
        <f>D21</f>
        <v>11</v>
      </c>
      <c r="E23">
        <f>E21</f>
        <v>66</v>
      </c>
    </row>
    <row r="24" spans="1:5">
      <c r="A24" t="s">
        <v>64</v>
      </c>
      <c r="B24" s="4">
        <f>B17</f>
        <v>6.3355837966640189</v>
      </c>
      <c r="C24" s="4">
        <f>C17</f>
        <v>16.664416203335982</v>
      </c>
      <c r="D24">
        <f>D17</f>
        <v>11</v>
      </c>
      <c r="E24">
        <f>E17</f>
        <v>66</v>
      </c>
    </row>
    <row r="25" spans="1:5">
      <c r="A25" t="s">
        <v>9</v>
      </c>
      <c r="B25" s="4">
        <f>H15*$O$4</f>
        <v>2.7152501985702937</v>
      </c>
      <c r="C25" s="4">
        <f>H15*$P$4+I15</f>
        <v>3.2847498014297063</v>
      </c>
      <c r="D25">
        <f>J15</f>
        <v>19</v>
      </c>
      <c r="E25">
        <f>SUM(K15:M15)</f>
        <v>75</v>
      </c>
    </row>
    <row r="26" spans="1:5">
      <c r="A26" t="s">
        <v>45</v>
      </c>
      <c r="B26" s="4">
        <f>B25</f>
        <v>2.7152501985702937</v>
      </c>
      <c r="C26" s="4">
        <f t="shared" ref="C26:E26" si="11">C25</f>
        <v>3.2847498014297063</v>
      </c>
      <c r="D26" s="4">
        <f t="shared" si="11"/>
        <v>19</v>
      </c>
      <c r="E26" s="4">
        <f t="shared" si="11"/>
        <v>75</v>
      </c>
    </row>
    <row r="27" spans="1:5">
      <c r="A27" t="s">
        <v>46</v>
      </c>
      <c r="B27" s="4">
        <f>B26</f>
        <v>2.7152501985702937</v>
      </c>
      <c r="C27" s="4">
        <f t="shared" ref="C27" si="12">C26</f>
        <v>3.2847498014297063</v>
      </c>
      <c r="D27" s="4">
        <f t="shared" ref="D27" si="13">D26</f>
        <v>19</v>
      </c>
      <c r="E27" s="4">
        <f t="shared" ref="E27" si="14">E26</f>
        <v>75</v>
      </c>
    </row>
    <row r="28" spans="1:5">
      <c r="A28" t="s">
        <v>10</v>
      </c>
      <c r="B28" s="4">
        <f>B25</f>
        <v>2.7152501985702937</v>
      </c>
      <c r="C28" s="4">
        <f>C25</f>
        <v>3.2847498014297063</v>
      </c>
      <c r="D28">
        <f>D25</f>
        <v>19</v>
      </c>
      <c r="E28">
        <f>E25</f>
        <v>75</v>
      </c>
    </row>
    <row r="29" spans="1:5">
      <c r="A29" t="s">
        <v>5</v>
      </c>
      <c r="B29" s="4">
        <f>H16*$O$4</f>
        <v>18.101667990468627</v>
      </c>
      <c r="C29" s="4">
        <f>H16*$P$4+I16</f>
        <v>5.8983320095313738</v>
      </c>
      <c r="D29">
        <f>J16</f>
        <v>4</v>
      </c>
      <c r="E29">
        <f>SUM(K16:M16)</f>
        <v>72</v>
      </c>
    </row>
    <row r="30" spans="1:5">
      <c r="A30" t="s">
        <v>35</v>
      </c>
      <c r="B30" s="4">
        <f>B29</f>
        <v>18.101667990468627</v>
      </c>
      <c r="C30" s="4">
        <f t="shared" ref="C30:C32" si="15">C29</f>
        <v>5.8983320095313738</v>
      </c>
      <c r="D30">
        <f t="shared" ref="D30:D32" si="16">D29</f>
        <v>4</v>
      </c>
      <c r="E30">
        <f t="shared" ref="E30:E32" si="17">E29</f>
        <v>72</v>
      </c>
    </row>
    <row r="31" spans="1:5">
      <c r="A31" t="s">
        <v>65</v>
      </c>
      <c r="B31" s="4">
        <f t="shared" ref="B31:B32" si="18">B30</f>
        <v>18.101667990468627</v>
      </c>
      <c r="C31" s="4">
        <f t="shared" si="15"/>
        <v>5.8983320095313738</v>
      </c>
      <c r="D31">
        <f t="shared" si="16"/>
        <v>4</v>
      </c>
      <c r="E31">
        <f t="shared" si="17"/>
        <v>72</v>
      </c>
    </row>
    <row r="32" spans="1:5">
      <c r="A32" t="s">
        <v>66</v>
      </c>
      <c r="B32" s="4">
        <f t="shared" si="18"/>
        <v>18.101667990468627</v>
      </c>
      <c r="C32" s="4">
        <f t="shared" si="15"/>
        <v>5.8983320095313738</v>
      </c>
      <c r="D32">
        <f t="shared" si="16"/>
        <v>4</v>
      </c>
      <c r="E32">
        <f t="shared" si="17"/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selection activeCell="A8" sqref="A8"/>
    </sheetView>
  </sheetViews>
  <sheetFormatPr baseColWidth="10" defaultRowHeight="15"/>
  <cols>
    <col min="1" max="1" width="22" bestFit="1" customWidth="1"/>
    <col min="2" max="2" width="13.5703125" bestFit="1" customWidth="1"/>
    <col min="3" max="3" width="42.7109375" bestFit="1" customWidth="1"/>
    <col min="4" max="4" width="11.42578125" customWidth="1"/>
    <col min="5" max="5" width="16.85546875" bestFit="1" customWidth="1"/>
  </cols>
  <sheetData>
    <row r="1" spans="1:9">
      <c r="A1" s="5" t="s">
        <v>63</v>
      </c>
      <c r="B1" s="5"/>
      <c r="C1" s="5"/>
      <c r="D1" s="5"/>
      <c r="E1" s="5"/>
      <c r="F1" s="5"/>
    </row>
    <row r="2" spans="1:9">
      <c r="A2" t="s">
        <v>47</v>
      </c>
      <c r="B2" t="s">
        <v>48</v>
      </c>
    </row>
    <row r="3" spans="1:9">
      <c r="C3" t="s">
        <v>67</v>
      </c>
      <c r="D3" t="s">
        <v>68</v>
      </c>
      <c r="E3" t="s">
        <v>69</v>
      </c>
      <c r="F3" t="s">
        <v>70</v>
      </c>
      <c r="G3" t="s">
        <v>38</v>
      </c>
      <c r="H3" t="s">
        <v>71</v>
      </c>
      <c r="I3" t="s">
        <v>72</v>
      </c>
    </row>
    <row r="4" spans="1:9">
      <c r="A4" t="s">
        <v>49</v>
      </c>
      <c r="B4" t="s">
        <v>50</v>
      </c>
      <c r="C4" t="s">
        <v>53</v>
      </c>
      <c r="D4" t="s">
        <v>75</v>
      </c>
      <c r="E4" s="1" t="s">
        <v>51</v>
      </c>
      <c r="F4" t="s">
        <v>73</v>
      </c>
      <c r="G4">
        <v>2014</v>
      </c>
      <c r="I4" t="s">
        <v>74</v>
      </c>
    </row>
    <row r="5" spans="1:9">
      <c r="B5" t="s">
        <v>54</v>
      </c>
      <c r="C5" t="s">
        <v>55</v>
      </c>
      <c r="D5" t="s">
        <v>77</v>
      </c>
      <c r="E5" s="1" t="s">
        <v>57</v>
      </c>
      <c r="F5" t="s">
        <v>73</v>
      </c>
      <c r="G5">
        <v>2013</v>
      </c>
      <c r="H5" t="s">
        <v>76</v>
      </c>
      <c r="I5" t="s">
        <v>78</v>
      </c>
    </row>
    <row r="7" spans="1:9">
      <c r="A7" t="s">
        <v>89</v>
      </c>
      <c r="B7" t="s">
        <v>59</v>
      </c>
      <c r="C7" t="s">
        <v>60</v>
      </c>
    </row>
    <row r="8" spans="1:9">
      <c r="A8" s="1"/>
      <c r="B8" t="s">
        <v>61</v>
      </c>
      <c r="C8" t="s">
        <v>62</v>
      </c>
    </row>
    <row r="9" spans="1:9">
      <c r="C9" t="s">
        <v>37</v>
      </c>
    </row>
    <row r="11" spans="1:9">
      <c r="A11" t="s">
        <v>79</v>
      </c>
      <c r="B11" t="s">
        <v>80</v>
      </c>
      <c r="C11" t="s">
        <v>81</v>
      </c>
    </row>
    <row r="12" spans="1:9">
      <c r="B12" t="s">
        <v>82</v>
      </c>
      <c r="C12" s="7" t="s">
        <v>84</v>
      </c>
      <c r="E12" s="1" t="s">
        <v>40</v>
      </c>
    </row>
    <row r="13" spans="1:9">
      <c r="B13" t="s">
        <v>83</v>
      </c>
      <c r="C13" s="7" t="s">
        <v>84</v>
      </c>
      <c r="D13" t="s">
        <v>85</v>
      </c>
      <c r="G13">
        <v>2003</v>
      </c>
      <c r="H13" t="s">
        <v>86</v>
      </c>
    </row>
    <row r="24" spans="3:3">
      <c r="C24" s="1"/>
    </row>
    <row r="25" spans="3:3">
      <c r="C25" s="1"/>
    </row>
    <row r="26" spans="3:3">
      <c r="C26" s="1"/>
    </row>
    <row r="42" spans="1:1">
      <c r="A42" s="3"/>
    </row>
  </sheetData>
  <hyperlinks>
    <hyperlink ref="E12" r:id="rId1" display="https://d-nb.info/1049260554/34" xr:uid="{158689BF-303F-4CC3-9B48-5FEDA071390B}"/>
    <hyperlink ref="E4" r:id="rId2" xr:uid="{28403201-3B1A-446C-AE7D-F39A426FD410}"/>
    <hyperlink ref="E5" r:id="rId3" xr:uid="{39AC7096-1C23-458D-B339-BE04A25F25FC}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2025-01-31T13:59:09Z</dcterms:modified>
</cp:coreProperties>
</file>