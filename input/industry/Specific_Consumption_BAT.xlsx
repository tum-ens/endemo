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13_ncr:1_{73B3AE8F-0350-4D56-859A-22783A72D934}" xr6:coauthVersionLast="47" xr6:coauthVersionMax="47" xr10:uidLastSave="{00000000-0000-0000-0000-000000000000}"/>
  <bookViews>
    <workbookView xWindow="30810" yWindow="1470" windowWidth="20175" windowHeight="13230" tabRatio="788" firstSheet="17" activeTab="24" xr2:uid="{00000000-000D-0000-FFFF-FFFF00000000}"/>
  </bookViews>
  <sheets>
    <sheet name="steel" sheetId="9" r:id="rId1"/>
    <sheet name="steel_prim" sheetId="26" r:id="rId2"/>
    <sheet name="steel_sec" sheetId="25" r:id="rId3"/>
    <sheet name="steel_direct" sheetId="7" r:id="rId4"/>
    <sheet name="alu_prim" sheetId="3" r:id="rId5"/>
    <sheet name="alu_sec" sheetId="17" r:id="rId6"/>
    <sheet name="copper_prim" sheetId="18" r:id="rId7"/>
    <sheet name="copper_sec" sheetId="19" r:id="rId8"/>
    <sheet name="cement" sheetId="5" r:id="rId9"/>
    <sheet name="glass" sheetId="11" r:id="rId10"/>
    <sheet name="paper" sheetId="10" r:id="rId11"/>
    <sheet name="chlorine" sheetId="12" r:id="rId12"/>
    <sheet name="ammonia" sheetId="8" r:id="rId13"/>
    <sheet name="ammonia_classic" sheetId="20" r:id="rId14"/>
    <sheet name="methanol" sheetId="13" r:id="rId15"/>
    <sheet name="methanol_classic" sheetId="21" r:id="rId16"/>
    <sheet name="ethylene" sheetId="14" r:id="rId17"/>
    <sheet name="ethylene_classic" sheetId="22" r:id="rId18"/>
    <sheet name="propylene" sheetId="15" r:id="rId19"/>
    <sheet name="propylene_classic" sheetId="23" r:id="rId20"/>
    <sheet name="olefins" sheetId="27" r:id="rId21"/>
    <sheet name="olefins_classic" sheetId="28" r:id="rId22"/>
    <sheet name="aromatics" sheetId="16" r:id="rId23"/>
    <sheet name="aromatics_classic" sheetId="24" r:id="rId24"/>
    <sheet name="Info" sheetId="2" r:id="rId25"/>
  </sheets>
  <externalReferences>
    <externalReference r:id="rId26"/>
  </externalReferences>
  <definedNames>
    <definedName name="_CTVL0014bc30cd650ab4ee9a6bbd5bf2e9a7c20" localSheetId="24">Info!$E$79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4" l="1"/>
  <c r="C2" i="24"/>
  <c r="B2" i="24" s="1"/>
  <c r="B2" i="28"/>
  <c r="D2" i="17"/>
  <c r="C2" i="17"/>
  <c r="B2" i="17"/>
  <c r="B2" i="3"/>
  <c r="D2" i="3"/>
  <c r="C2" i="3"/>
  <c r="E2" i="27" l="1"/>
  <c r="C2" i="27"/>
  <c r="B2" i="27" s="1"/>
  <c r="E2" i="16" l="1"/>
  <c r="C2" i="16"/>
  <c r="D2" i="11"/>
  <c r="C2" i="11"/>
  <c r="B2" i="11" s="1"/>
  <c r="C2" i="15" l="1"/>
  <c r="E2" i="15"/>
  <c r="C2" i="14"/>
  <c r="E2" i="14"/>
  <c r="B2" i="8"/>
  <c r="C2" i="8"/>
  <c r="D2" i="10"/>
  <c r="B2" i="10" s="1"/>
  <c r="C2" i="10"/>
  <c r="D2" i="5" l="1"/>
  <c r="C2" i="5"/>
  <c r="D2" i="19" l="1"/>
  <c r="C2" i="19"/>
  <c r="D2" i="18"/>
  <c r="C2" i="18"/>
  <c r="D2" i="26" l="1"/>
  <c r="C2" i="26"/>
  <c r="D2" i="9"/>
  <c r="C2" i="9"/>
  <c r="D2" i="25"/>
  <c r="B2" i="25"/>
  <c r="C2" i="25"/>
  <c r="B2" i="23"/>
  <c r="B2" i="22"/>
  <c r="D2" i="21"/>
  <c r="B2" i="21" s="1"/>
  <c r="D2" i="20"/>
  <c r="B2" i="20"/>
  <c r="B2" i="26" l="1"/>
  <c r="B2" i="9"/>
  <c r="B2" i="19"/>
  <c r="B2" i="18"/>
  <c r="B2" i="16" l="1"/>
  <c r="B2" i="15" l="1"/>
  <c r="B2" i="14" l="1"/>
  <c r="E2" i="13"/>
  <c r="B2" i="13" s="1"/>
  <c r="B2" i="12" l="1"/>
</calcChain>
</file>

<file path=xl/sharedStrings.xml><?xml version="1.0" encoding="utf-8"?>
<sst xmlns="http://schemas.openxmlformats.org/spreadsheetml/2006/main" count="380" uniqueCount="128">
  <si>
    <t>Country</t>
  </si>
  <si>
    <t>https://d-nb.info/1049260554/34</t>
  </si>
  <si>
    <t>all</t>
  </si>
  <si>
    <t>Spec energy consumption [GJ/t]</t>
  </si>
  <si>
    <t>Spec heat consumption [GJ/t]</t>
  </si>
  <si>
    <t>Spec electricity consumption [GJ/t]</t>
  </si>
  <si>
    <t>Spec hydrogen consumption [GJ/t]</t>
  </si>
  <si>
    <t>steel</t>
  </si>
  <si>
    <t>Source:</t>
  </si>
  <si>
    <t>[1]</t>
  </si>
  <si>
    <t>[2]</t>
  </si>
  <si>
    <t>Assumption:</t>
  </si>
  <si>
    <t>A1</t>
  </si>
  <si>
    <t>Calculation:</t>
  </si>
  <si>
    <t>Since primary and seconday steel are together observed, the specific consumption of the secondary is considered</t>
  </si>
  <si>
    <t>https://www.bmwi.de/Redaktion/DE/Downloads/E/energiewende-in-der-industrie-ap2a-branchensteckbrief-stahl.pdf?__blob=publicationFile&amp;v=4</t>
  </si>
  <si>
    <t>electric arc furnace "usully" in DE, spec fuel and electricity consumption</t>
  </si>
  <si>
    <t>C1</t>
  </si>
  <si>
    <t>BAT electricity</t>
  </si>
  <si>
    <t>BAT fuel</t>
  </si>
  <si>
    <t>C2</t>
  </si>
  <si>
    <t>steel_prim</t>
  </si>
  <si>
    <t>BAT value inclusive casting and rolling</t>
  </si>
  <si>
    <t xml:space="preserve"> 14,8 GJ/t</t>
  </si>
  <si>
    <t>2,6 GJ/t</t>
  </si>
  <si>
    <t>steel_sec</t>
  </si>
  <si>
    <t>2.6 GJ/t</t>
  </si>
  <si>
    <t>fuel 191+50 kWh / t = 0.86 GJ/t + 1.26 GJ/t = 2.12 GJ/t
elec 0,530 MWh/t. = 1.91GJ/t + 0.42 GJ/t = 2.33 GJ/t</t>
  </si>
  <si>
    <t>2.6 GJ *2.33/(2.33+2.12)= 1.36 GJ/t</t>
  </si>
  <si>
    <t>2,6GJ/t * 2.12/(2.33+2.12)= 1.24 GJ/t</t>
  </si>
  <si>
    <t>fuel 18,13 + 1.26 GJ/t (0,35 MWh/t) Gas for warm rolling = 19.39 GJ/t
elec  0,39 MWh (=1,4 GJ/t) + 0.42 GJ/t (0,117 MWh/t) for warm rolling = 1.82 GJ/t</t>
  </si>
  <si>
    <t>see steel_sec</t>
  </si>
  <si>
    <t>14.8 GJ *1.82/(1.82+19.39) = 1.27</t>
  </si>
  <si>
    <t>14.8 GJ *19.39/(1.82+19.39) = 13.53</t>
  </si>
  <si>
    <t>alu_prim</t>
  </si>
  <si>
    <t>Further Info:</t>
  </si>
  <si>
    <t>F1</t>
  </si>
  <si>
    <t>steel_dir</t>
  </si>
  <si>
    <t>Direct reduction steel</t>
  </si>
  <si>
    <t>Bewertung der Herstellung von Eisenschwamm unter Verwendung von Wasserstoff.pdf</t>
  </si>
  <si>
    <t>0,23 MWh/t elec for preheating = 0.828 GJ/t
0,08 MWh/t elec for mechanical work = 0.288 GJ/t</t>
  </si>
  <si>
    <t>Distribution of electricity and heat demand according to the specific "usual" demand</t>
  </si>
  <si>
    <t>see Specific_Consumption.xlsx</t>
  </si>
  <si>
    <t>alu_sec</t>
  </si>
  <si>
    <t>Electricity and heat demand same as for the "usual" demand</t>
  </si>
  <si>
    <t>4.5 GJ/t
+ 3.9 GJ/t</t>
  </si>
  <si>
    <t>Assumptions:</t>
  </si>
  <si>
    <t>Distribution of electricity and heat same as for "usual" consumption</t>
  </si>
  <si>
    <t>Calculations:</t>
  </si>
  <si>
    <t>=2.77/10.69*4.5 (for flotation till processing)+5.4/12.96*3.9(for processing)</t>
  </si>
  <si>
    <t>=7.92/10.69*4.5+7.56/12.96*3.9</t>
  </si>
  <si>
    <t>4.4 GJ/t
+ 3.9 GJ/t</t>
  </si>
  <si>
    <t>chlorine</t>
  </si>
  <si>
    <t>Diaphragma process is the least energy intensive - values for average value for this process are taken</t>
  </si>
  <si>
    <t>Der spezifische  Energieverbrauch  des  Membranverfahrens  ist  mit  9,2-9,8GJ/t  am  geringsten. Davon  entfallen  0,6GJ/t  auf  den  Dampfbedarf  zur  Eindampfung  und  auf Konzentration der Lauge.</t>
  </si>
  <si>
    <t>cement</t>
  </si>
  <si>
    <t>https://www.bmwk.de/Redaktion/DE/Downloads/E/energiewende-in-der-industrie-ap2a-branchensteckbrief-zement.pdf?__blob=publicationFile&amp;v=4</t>
  </si>
  <si>
    <t>elec: 0.402/(0.402+2.848) = 12.38%
heat: 2.848/(0.402+2.848) = 87.62%</t>
  </si>
  <si>
    <t xml:space="preserve">BAT specific energy consumption </t>
  </si>
  <si>
    <t>p. 79 (121)</t>
  </si>
  <si>
    <t>German distribution of electricity and heat applied, based on</t>
  </si>
  <si>
    <t>glass</t>
  </si>
  <si>
    <t>2.9 GJ/t</t>
  </si>
  <si>
    <t>4.7 GJ/t
7.0 GJ/t</t>
  </si>
  <si>
    <t>BAT for container glass
BAT for flat glass</t>
  </si>
  <si>
    <t>Since both glass types are common, an average value is taken</t>
  </si>
  <si>
    <t>paper</t>
  </si>
  <si>
    <t>p. 85 (127)</t>
  </si>
  <si>
    <t>Newspaper-print paper
Hygiene paper
Raw material preparation:
- old paper
- thermo-mechanical pulping
- celulose decomposition</t>
  </si>
  <si>
    <t>7.2 GJ/t
10.5 GJ/t
1.5 GJ/t
6.6 GJ/t
11.1 GJ/t</t>
  </si>
  <si>
    <t xml:space="preserve">Assumption: </t>
  </si>
  <si>
    <t>Lowest levels taken: newspaper print + old paper preparation</t>
  </si>
  <si>
    <t>7.2+1.5</t>
  </si>
  <si>
    <t>https://www.bmwk.de/Redaktion/DE/Downloads/E/energiewende-in-der-industrie-ap2a-branchensteckbrief-papier.pdf?__blob=publicationFile&amp;v=4</t>
  </si>
  <si>
    <t>Distribution of electricity and heat consumption for Germany</t>
  </si>
  <si>
    <t>A2</t>
  </si>
  <si>
    <t>Distribution of electricity and heat consumption of all countries as for Germany in [2]</t>
  </si>
  <si>
    <t>fuel: (65,7-18,8)*3600/22,6/1000 = 7,4708 GJ/t</t>
  </si>
  <si>
    <t>elec: 18,8*3600/22,6/1000=2,9947 GJ/t</t>
  </si>
  <si>
    <t>Table 1, see C1 and C2</t>
  </si>
  <si>
    <t>=&gt; BAT elec: (7.2+1.5)*2.99/(2.99+7.47)</t>
  </si>
  <si>
    <t>=&gt; BAT heat: (7.2+1.5)*7.47/(2.99+7.47)</t>
  </si>
  <si>
    <t>Same values as for specific energy consumption</t>
  </si>
  <si>
    <t>See Specific_Consumption.xlsx</t>
  </si>
  <si>
    <t>https://www.bmwk.de/Redaktion/DE/Downloads/E/energiewende-in-der-industrie-ap2a-branchensteckbrief-chemie.pdf?__blob=publicationFile&amp;v=4</t>
  </si>
  <si>
    <t>copper_prim</t>
  </si>
  <si>
    <t>Total BAT Value for copper_prim production
total BAT value for processing</t>
  </si>
  <si>
    <t>copper_sec</t>
  </si>
  <si>
    <t>Total BAT Value for copper_sec production
total BAT value for processing</t>
  </si>
  <si>
    <t>Description</t>
  </si>
  <si>
    <t>Value</t>
  </si>
  <si>
    <t>Web</t>
  </si>
  <si>
    <t>Publisher</t>
  </si>
  <si>
    <t>Title</t>
  </si>
  <si>
    <t>Page</t>
  </si>
  <si>
    <t>Year</t>
  </si>
  <si>
    <t>Accessed</t>
  </si>
  <si>
    <t>Author</t>
  </si>
  <si>
    <t>Institut für Energiewirtschaft und Rationelle Energieanwendung, Stuttgart</t>
  </si>
  <si>
    <t>Energieeffizienz in der Industrie: Modellgestützte Analyse des effizienten Energieeinsatzes in der EU-27 mit Fokus auf den Industriesektor</t>
  </si>
  <si>
    <t>02.11.2023</t>
  </si>
  <si>
    <t>Kuder, Ralf</t>
  </si>
  <si>
    <t>Navigant Energy Germany GmbH, Institut für Energiewirtschaft und Rationelle Energieanwendung, Forschungsgesellschaft für Energiewirtschaft, BBG und Partner</t>
  </si>
  <si>
    <t>Energiewende in der Industrie: Branchensteckbrief der Eisen- und Stahlindustrie</t>
  </si>
  <si>
    <t>p. 7</t>
  </si>
  <si>
    <t>p. 7,12</t>
  </si>
  <si>
    <t>Stahl und Eisen, Vol. 137, Nr. 6</t>
  </si>
  <si>
    <t>Hölling, Marc; Weng, Matthias; Gellert, Sebastian</t>
  </si>
  <si>
    <t>https://germany.arcelormittal.com/icc/arcelor/med/b8e/b8e0c15a-102c-d51d-b2a9-147d7b2f25d3,11111111-1111-1111-1111-111111111111.pdf</t>
  </si>
  <si>
    <t>Energiewende in der Industrie: Branchensteckbrief der Grundstoffchemie</t>
  </si>
  <si>
    <t>Achtelik, Christian; Schimmel, Matthias; Rhiemeier, Jan-Martin</t>
  </si>
  <si>
    <t>chlorine, ammonia, ammonia_classic, methanol, methanol_classic, ethylene, propylene, aromatics, olefins</t>
  </si>
  <si>
    <t>ethylene-, propylene-, olefins_classic</t>
  </si>
  <si>
    <t>Worrell, E., Price, L., Neelis, M., Galitsky, C. &amp; Zhou, N. World Best Practice Energy Intensity Values for SelectedIndustrial Sectors, 2007.</t>
  </si>
  <si>
    <t>elec:1 GJ/t</t>
  </si>
  <si>
    <t>total 12 GJ/t</t>
  </si>
  <si>
    <t>[3]</t>
  </si>
  <si>
    <r>
      <t xml:space="preserve">Ren, T., Patel, M. &amp; Blok, K. Olefins from conventional and heavy feedstocks: Energy use in steam cracking and alternative processes. </t>
    </r>
    <r>
      <rPr>
        <i/>
        <sz val="11"/>
        <color theme="1"/>
        <rFont val="Calibri"/>
        <family val="2"/>
        <scheme val="minor"/>
      </rPr>
      <t xml:space="preserve">Energy </t>
    </r>
    <r>
      <rPr>
        <b/>
        <sz val="11"/>
        <color theme="1"/>
        <rFont val="Calibri"/>
        <family val="2"/>
        <scheme val="minor"/>
      </rPr>
      <t xml:space="preserve">31, </t>
    </r>
    <r>
      <rPr>
        <sz val="11"/>
        <color theme="1"/>
        <rFont val="Calibri"/>
        <family val="2"/>
        <scheme val="minor"/>
      </rPr>
      <t>425–451; 10.1016/j.energy.2005.04.001 (2006).</t>
    </r>
  </si>
  <si>
    <t>aromatics_classic</t>
  </si>
  <si>
    <t>total 7 GJ/t</t>
  </si>
  <si>
    <t>https://dechema.de/dechema_media/Downloads/Positionspapiere/Technology_study_Low_carbon_energy_and_feedstock_for_the_European_chemical_industry.pdf</t>
  </si>
  <si>
    <t>The European Chemical Industry Council</t>
  </si>
  <si>
    <t>Low carbon energy and feedstock for the European chemical industry</t>
  </si>
  <si>
    <t>Table 11</t>
  </si>
  <si>
    <t>Bazzanella, Alexis Michael, Ausfelder, Florian</t>
  </si>
  <si>
    <t>50.6 GJ/t
+ 3.9 GJ/t</t>
  </si>
  <si>
    <t>Total energy demand as energy efficincy potential
total BAT value for processing</t>
  </si>
  <si>
    <t>2.5 GJ/t
+ 3.9 GJ/t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</si>
</sst>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quotePrefix="1"/>
    <xf numFmtId="1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2" fontId="0" fillId="0" borderId="0" xfId="0" applyNumberFormat="1"/>
    <xf numFmtId="0" fontId="3" fillId="0" borderId="0" xfId="1" applyFont="1"/>
    <xf numFmtId="0" fontId="3" fillId="0" borderId="0" xfId="1" applyFont="1" applyFill="1"/>
    <xf numFmtId="0" fontId="2" fillId="0" borderId="0" xfId="1" applyFill="1"/>
    <xf numFmtId="0" fontId="2" fillId="0" borderId="0" xfId="1" applyAlignment="1"/>
    <xf numFmtId="0" fontId="0" fillId="3" borderId="0" xfId="0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Projekte\endemo_Projects\endemo-ENS\endemo_IND_world_branch\endemo\input\industry\Specific_Consumption.xlsx" TargetMode="External"/><Relationship Id="rId1" Type="http://schemas.openxmlformats.org/officeDocument/2006/relationships/externalLinkPath" Target="Specific_Consump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el"/>
      <sheetName val="steel_prim"/>
      <sheetName val="steel_sec"/>
      <sheetName val="steel_direct"/>
      <sheetName val="alu_prim"/>
      <sheetName val="alu_sec"/>
      <sheetName val="copper_prim"/>
      <sheetName val="glass"/>
      <sheetName val="copper_sec"/>
      <sheetName val="cement"/>
      <sheetName val="paper"/>
      <sheetName val="chlorine"/>
      <sheetName val="ammonia"/>
      <sheetName val="ammonia_classic"/>
      <sheetName val="methanol"/>
      <sheetName val="methanol_classic"/>
      <sheetName val="ethylene"/>
      <sheetName val="ethylene_classic"/>
      <sheetName val="propylene"/>
      <sheetName val="propylene_classic"/>
      <sheetName val="olefins"/>
      <sheetName val="olefins_classic"/>
      <sheetName val="aromatics"/>
      <sheetName val="aromatics_classic"/>
      <sheetName val="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B2">
            <v>27.547863999999997</v>
          </cell>
          <cell r="C2">
            <v>6.1899999999999995</v>
          </cell>
        </row>
      </sheetData>
      <sheetData sheetId="13"/>
      <sheetData sheetId="14"/>
      <sheetData sheetId="15"/>
      <sheetData sheetId="16">
        <row r="2">
          <cell r="C2">
            <v>17.311999999999998</v>
          </cell>
          <cell r="F2">
            <v>60.549544439999998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C2">
            <v>28.22</v>
          </cell>
          <cell r="F2">
            <v>97.51424759999999</v>
          </cell>
        </row>
      </sheetData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d-nb.info/1049260554/34" TargetMode="External"/><Relationship Id="rId13" Type="http://schemas.openxmlformats.org/officeDocument/2006/relationships/hyperlink" Target="https://d-nb.info/1049260554/34" TargetMode="External"/><Relationship Id="rId18" Type="http://schemas.openxmlformats.org/officeDocument/2006/relationships/hyperlink" Target="https://www.bmwk.de/Redaktion/DE/Downloads/E/energiewende-in-der-industrie-ap2a-branchensteckbrief-papier.pdf?__blob=publicationFile&amp;v=4" TargetMode="External"/><Relationship Id="rId3" Type="http://schemas.openxmlformats.org/officeDocument/2006/relationships/hyperlink" Target="https://d-nb.info/1049260554/34" TargetMode="External"/><Relationship Id="rId7" Type="http://schemas.openxmlformats.org/officeDocument/2006/relationships/hyperlink" Target="https://d-nb.info/1049260554/34" TargetMode="External"/><Relationship Id="rId12" Type="http://schemas.openxmlformats.org/officeDocument/2006/relationships/hyperlink" Target="https://www.bmwk.de/Redaktion/DE/Downloads/E/energiewende-in-der-industrie-ap2a-branchensteckbrief-zement.pdf?__blob=publicationFile&amp;v=4" TargetMode="External"/><Relationship Id="rId17" Type="http://schemas.openxmlformats.org/officeDocument/2006/relationships/hyperlink" Target="https://d-nb.info/1049260554/34" TargetMode="External"/><Relationship Id="rId2" Type="http://schemas.openxmlformats.org/officeDocument/2006/relationships/hyperlink" Target="https://www.bmwi.de/Redaktion/DE/Downloads/E/energiewende-in-der-industrie-ap2a-branchensteckbrief-stahl.pdf?__blob=publicationFile&amp;v=4" TargetMode="External"/><Relationship Id="rId16" Type="http://schemas.openxmlformats.org/officeDocument/2006/relationships/hyperlink" Target="https://germany.arcelormittal.com/icc/arcelor/med/b8e/b8e0c15a-102c-d51d-b2a9-147d7b2f25d3,11111111-1111-1111-1111-111111111111.pdf" TargetMode="External"/><Relationship Id="rId20" Type="http://schemas.openxmlformats.org/officeDocument/2006/relationships/printerSettings" Target="../printerSettings/printerSettings5.bin"/><Relationship Id="rId1" Type="http://schemas.openxmlformats.org/officeDocument/2006/relationships/hyperlink" Target="https://d-nb.info/1049260554/34" TargetMode="External"/><Relationship Id="rId6" Type="http://schemas.openxmlformats.org/officeDocument/2006/relationships/hyperlink" Target="https://www.bmwi.de/Redaktion/DE/Downloads/E/energiewende-in-der-industrie-ap2a-branchensteckbrief-stahl.pdf?__blob=publicationFile&amp;v=4" TargetMode="External"/><Relationship Id="rId11" Type="http://schemas.openxmlformats.org/officeDocument/2006/relationships/hyperlink" Target="https://d-nb.info/1049260554/34" TargetMode="External"/><Relationship Id="rId5" Type="http://schemas.openxmlformats.org/officeDocument/2006/relationships/hyperlink" Target="https://d-nb.info/1049260554/34" TargetMode="External"/><Relationship Id="rId15" Type="http://schemas.openxmlformats.org/officeDocument/2006/relationships/hyperlink" Target="https://www.bmwk.de/Redaktion/DE/Downloads/E/energiewende-in-der-industrie-ap2a-branchensteckbrief-chemie.pdf?__blob=publicationFile&amp;v=4" TargetMode="External"/><Relationship Id="rId10" Type="http://schemas.openxmlformats.org/officeDocument/2006/relationships/hyperlink" Target="https://d-nb.info/1049260554/34" TargetMode="External"/><Relationship Id="rId19" Type="http://schemas.openxmlformats.org/officeDocument/2006/relationships/hyperlink" Target="https://dechema.de/dechema_media/Downloads/Positionspapiere/Technology_study_Low_carbon_energy_and_feedstock_for_the_European_chemical_industry.pdf" TargetMode="External"/><Relationship Id="rId4" Type="http://schemas.openxmlformats.org/officeDocument/2006/relationships/hyperlink" Target="https://www.bmwi.de/Redaktion/DE/Downloads/E/energiewende-in-der-industrie-ap2a-branchensteckbrief-stahl.pdf?__blob=publicationFile&amp;v=4" TargetMode="External"/><Relationship Id="rId9" Type="http://schemas.openxmlformats.org/officeDocument/2006/relationships/hyperlink" Target="https://d-nb.info/1049260554/34" TargetMode="External"/><Relationship Id="rId14" Type="http://schemas.openxmlformats.org/officeDocument/2006/relationships/hyperlink" Target="https://d-nb.info/1049260554/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>
      <selection activeCell="G9" sqref="G9"/>
    </sheetView>
  </sheetViews>
  <sheetFormatPr baseColWidth="10" defaultRowHeight="15" x14ac:dyDescent="0.25"/>
  <sheetData>
    <row r="1" spans="1:4" x14ac:dyDescent="0.25">
      <c r="A1" t="s">
        <v>0</v>
      </c>
      <c r="B1" t="s">
        <v>3</v>
      </c>
      <c r="C1" t="s">
        <v>5</v>
      </c>
      <c r="D1" t="s">
        <v>4</v>
      </c>
    </row>
    <row r="2" spans="1:4" x14ac:dyDescent="0.25">
      <c r="A2" t="s">
        <v>2</v>
      </c>
      <c r="B2">
        <f>C2+D2</f>
        <v>2.6000000000000005</v>
      </c>
      <c r="C2" s="9">
        <f>steel_sec!C2</f>
        <v>1.3613483146067418</v>
      </c>
      <c r="D2" s="9">
        <f>steel_sec!D2</f>
        <v>1.2386516853932585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2495-3F02-4599-96CF-EBBEBB709EBF}">
  <dimension ref="A1:D2"/>
  <sheetViews>
    <sheetView workbookViewId="0">
      <selection activeCell="E16" sqref="E16"/>
    </sheetView>
  </sheetViews>
  <sheetFormatPr baseColWidth="10" defaultRowHeight="15" x14ac:dyDescent="0.25"/>
  <sheetData>
    <row r="1" spans="1:4" x14ac:dyDescent="0.25">
      <c r="A1" t="s">
        <v>0</v>
      </c>
      <c r="B1" t="s">
        <v>3</v>
      </c>
      <c r="C1" t="s">
        <v>5</v>
      </c>
      <c r="D1" t="s">
        <v>4</v>
      </c>
    </row>
    <row r="2" spans="1:4" x14ac:dyDescent="0.25">
      <c r="A2" t="s">
        <v>2</v>
      </c>
      <c r="B2" s="5">
        <f>C2+D2</f>
        <v>14.800000000000002</v>
      </c>
      <c r="C2" s="9">
        <f>14.8*1.82/(1.82+19.39)</f>
        <v>1.2699669966996701</v>
      </c>
      <c r="D2" s="9">
        <f>14.8*19.39/(1.82+19.39)</f>
        <v>13.530033003300332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E009-E5D7-4FFF-BECA-22EA3290C13C}">
  <dimension ref="A1:D2"/>
  <sheetViews>
    <sheetView workbookViewId="0">
      <selection activeCell="D10" sqref="D10"/>
    </sheetView>
  </sheetViews>
  <sheetFormatPr baseColWidth="10" defaultRowHeight="15" x14ac:dyDescent="0.25"/>
  <sheetData>
    <row r="1" spans="1:4" x14ac:dyDescent="0.25">
      <c r="A1" t="s">
        <v>0</v>
      </c>
      <c r="B1" t="s">
        <v>3</v>
      </c>
      <c r="C1" t="s">
        <v>5</v>
      </c>
      <c r="D1" t="s">
        <v>4</v>
      </c>
    </row>
    <row r="2" spans="1:4" x14ac:dyDescent="0.25">
      <c r="A2" t="s">
        <v>2</v>
      </c>
      <c r="B2">
        <f>C2+D2</f>
        <v>2.6000000000000005</v>
      </c>
      <c r="C2" s="9">
        <f>2.6*2.33/(2.33+2.12)</f>
        <v>1.3613483146067418</v>
      </c>
      <c r="D2" s="9">
        <f>2.6*2.12/(2.33+2.12)</f>
        <v>1.2386516853932585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"/>
  <sheetViews>
    <sheetView workbookViewId="0">
      <selection activeCell="D11" sqref="D11"/>
    </sheetView>
  </sheetViews>
  <sheetFormatPr baseColWidth="10" defaultRowHeight="15" x14ac:dyDescent="0.25"/>
  <sheetData>
    <row r="1" spans="1:4" x14ac:dyDescent="0.25">
      <c r="A1" t="s">
        <v>0</v>
      </c>
      <c r="B1" t="s">
        <v>3</v>
      </c>
      <c r="C1" t="s">
        <v>5</v>
      </c>
      <c r="D1" t="s">
        <v>4</v>
      </c>
    </row>
    <row r="2" spans="1:4" x14ac:dyDescent="0.25">
      <c r="A2" t="s">
        <v>2</v>
      </c>
      <c r="B2">
        <v>7.5233591999999998</v>
      </c>
      <c r="C2">
        <v>1.1160000000000001</v>
      </c>
      <c r="D2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D2" sqref="D2"/>
    </sheetView>
  </sheetViews>
  <sheetFormatPr baseColWidth="10" defaultRowHeight="15" x14ac:dyDescent="0.25"/>
  <cols>
    <col min="3" max="3" width="32.85546875" bestFit="1" customWidth="1"/>
  </cols>
  <sheetData>
    <row r="1" spans="1:4" x14ac:dyDescent="0.25">
      <c r="A1" t="s">
        <v>0</v>
      </c>
      <c r="B1" t="s">
        <v>3</v>
      </c>
      <c r="C1" t="s">
        <v>5</v>
      </c>
      <c r="D1" t="s">
        <v>4</v>
      </c>
    </row>
    <row r="2" spans="1:4" x14ac:dyDescent="0.25">
      <c r="A2" t="s">
        <v>2</v>
      </c>
      <c r="B2">
        <f>C2+D2</f>
        <v>54.5</v>
      </c>
      <c r="C2">
        <f>52.2*50.6/(52.2+3.27)+5.76*3.9/12.96</f>
        <v>49.35042365242473</v>
      </c>
      <c r="D2">
        <f>3.27*50.6/(52.2+3.27)+7.2*3.9/12.96</f>
        <v>5.1495763475752661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D8" sqref="D8"/>
    </sheetView>
  </sheetViews>
  <sheetFormatPr baseColWidth="10" defaultRowHeight="15" x14ac:dyDescent="0.25"/>
  <cols>
    <col min="3" max="3" width="32.85546875" bestFit="1" customWidth="1"/>
  </cols>
  <sheetData>
    <row r="1" spans="1:4" x14ac:dyDescent="0.25">
      <c r="A1" t="s">
        <v>0</v>
      </c>
      <c r="B1" t="s">
        <v>3</v>
      </c>
      <c r="C1" t="s">
        <v>5</v>
      </c>
      <c r="D1" t="s">
        <v>4</v>
      </c>
    </row>
    <row r="2" spans="1:4" x14ac:dyDescent="0.25">
      <c r="A2" t="s">
        <v>2</v>
      </c>
      <c r="B2">
        <f>C2+D2</f>
        <v>6.4</v>
      </c>
      <c r="C2">
        <f>1.8*2.5/(1.8+9)+5.76*3.9/12.96</f>
        <v>2.15</v>
      </c>
      <c r="D2">
        <f>9*2.5/(1.8+9)+7.2*3.9/12.96</f>
        <v>4.25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0F39-0F07-4256-84D9-10BE32A568B0}">
  <dimension ref="A1:E2"/>
  <sheetViews>
    <sheetView workbookViewId="0">
      <selection activeCell="D12" sqref="D12"/>
    </sheetView>
  </sheetViews>
  <sheetFormatPr baseColWidth="10" defaultRowHeight="15" x14ac:dyDescent="0.25"/>
  <sheetData>
    <row r="1" spans="1:5" x14ac:dyDescent="0.25">
      <c r="A1" t="s">
        <v>0</v>
      </c>
      <c r="B1" t="s">
        <v>3</v>
      </c>
      <c r="C1" t="s">
        <v>5</v>
      </c>
      <c r="D1" t="s">
        <v>4</v>
      </c>
    </row>
    <row r="2" spans="1:5" x14ac:dyDescent="0.25">
      <c r="A2" t="s">
        <v>2</v>
      </c>
      <c r="B2">
        <f>C2+D2</f>
        <v>8.4</v>
      </c>
      <c r="C2" s="5">
        <f>2.77/10.69*4.5+5.4/12.96*3.9</f>
        <v>2.7910430308699721</v>
      </c>
      <c r="D2" s="5">
        <f>7.92/10.69*4.5+7.56/12.96*3.9</f>
        <v>5.6089569691300278</v>
      </c>
      <c r="E2" s="4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C493-5F7B-4D46-BF14-635221FA7353}">
  <dimension ref="A1:E2"/>
  <sheetViews>
    <sheetView workbookViewId="0">
      <selection activeCell="F15" sqref="F15"/>
    </sheetView>
  </sheetViews>
  <sheetFormatPr baseColWidth="10" defaultRowHeight="15" x14ac:dyDescent="0.25"/>
  <sheetData>
    <row r="1" spans="1:5" x14ac:dyDescent="0.25">
      <c r="A1" t="s">
        <v>0</v>
      </c>
      <c r="B1" t="s">
        <v>3</v>
      </c>
      <c r="C1" t="s">
        <v>5</v>
      </c>
      <c r="D1" t="s">
        <v>4</v>
      </c>
    </row>
    <row r="2" spans="1:5" x14ac:dyDescent="0.25">
      <c r="A2" t="s">
        <v>2</v>
      </c>
      <c r="B2" s="5">
        <f>C2+D2</f>
        <v>8.2922896021373749</v>
      </c>
      <c r="C2" s="5">
        <f>2.3/6.29*4.4+5.4/12.96*3.9</f>
        <v>3.2339030206677268</v>
      </c>
      <c r="D2" s="5">
        <f>3.96/6.26*4.4+7.56/12.96*3.9</f>
        <v>5.058386581469648</v>
      </c>
      <c r="E2" s="4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>
      <selection activeCell="L9" sqref="L9"/>
    </sheetView>
  </sheetViews>
  <sheetFormatPr baseColWidth="10" defaultRowHeight="15" x14ac:dyDescent="0.25"/>
  <sheetData>
    <row r="1" spans="1:4" x14ac:dyDescent="0.25">
      <c r="A1" t="s">
        <v>0</v>
      </c>
      <c r="B1" t="s">
        <v>3</v>
      </c>
      <c r="C1" t="s">
        <v>5</v>
      </c>
      <c r="D1" t="s">
        <v>4</v>
      </c>
    </row>
    <row r="2" spans="1:4" x14ac:dyDescent="0.25">
      <c r="A2" t="s">
        <v>2</v>
      </c>
      <c r="B2">
        <v>2.9</v>
      </c>
      <c r="C2">
        <f>B2*12.38/100</f>
        <v>0.35902000000000001</v>
      </c>
      <c r="D2">
        <f>B2*87.6/100</f>
        <v>2.5403999999999995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>
      <selection activeCell="D2" sqref="D2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3</v>
      </c>
      <c r="C1" t="s">
        <v>5</v>
      </c>
      <c r="D1" t="s">
        <v>4</v>
      </c>
      <c r="F1" s="1"/>
    </row>
    <row r="2" spans="1:6" x14ac:dyDescent="0.25">
      <c r="A2" t="s">
        <v>2</v>
      </c>
      <c r="B2" t="e">
        <f>C2+D2</f>
        <v>#REF!</v>
      </c>
      <c r="C2" t="e">
        <f>MIN(#REF!)</f>
        <v>#REF!</v>
      </c>
      <c r="D2" t="e">
        <f>MIN(#REF!)</f>
        <v>#REF!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>
      <selection activeCell="I11" sqref="I11"/>
    </sheetView>
  </sheetViews>
  <sheetFormatPr baseColWidth="10" defaultRowHeight="15" x14ac:dyDescent="0.25"/>
  <sheetData>
    <row r="1" spans="1:4" x14ac:dyDescent="0.25">
      <c r="A1" t="s">
        <v>0</v>
      </c>
      <c r="B1" t="s">
        <v>3</v>
      </c>
      <c r="C1" t="s">
        <v>5</v>
      </c>
      <c r="D1" t="s">
        <v>4</v>
      </c>
    </row>
    <row r="2" spans="1:4" x14ac:dyDescent="0.25">
      <c r="A2" t="s">
        <v>2</v>
      </c>
      <c r="B2">
        <f>C2+D2</f>
        <v>8.6999999999999993</v>
      </c>
      <c r="C2">
        <f>(7.2+1.5)*2.99/(2.99+7.47)</f>
        <v>2.4869024856596553</v>
      </c>
      <c r="D2">
        <f>(7.2+1.5)*7.47/(2.99+7.47)</f>
        <v>6.2130975143403431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E22" sqref="E22"/>
    </sheetView>
  </sheetViews>
  <sheetFormatPr baseColWidth="10" defaultRowHeight="15" x14ac:dyDescent="0.25"/>
  <sheetData>
    <row r="1" spans="1:4" x14ac:dyDescent="0.25">
      <c r="A1" t="s">
        <v>0</v>
      </c>
      <c r="B1" t="s">
        <v>3</v>
      </c>
      <c r="C1" t="s">
        <v>5</v>
      </c>
      <c r="D1" t="s">
        <v>4</v>
      </c>
    </row>
    <row r="2" spans="1:4" x14ac:dyDescent="0.25">
      <c r="A2" t="s">
        <v>2</v>
      </c>
      <c r="B2">
        <f>C2+D2</f>
        <v>9.5</v>
      </c>
      <c r="C2">
        <v>8.9</v>
      </c>
      <c r="D2">
        <v>0.6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"/>
  <sheetViews>
    <sheetView workbookViewId="0">
      <selection activeCell="B3" sqref="B3"/>
    </sheetView>
  </sheetViews>
  <sheetFormatPr baseColWidth="10" defaultRowHeight="15" x14ac:dyDescent="0.25"/>
  <sheetData>
    <row r="1" spans="1:4" x14ac:dyDescent="0.25">
      <c r="A1" t="s">
        <v>0</v>
      </c>
      <c r="B1" t="s">
        <v>3</v>
      </c>
      <c r="C1" t="s">
        <v>5</v>
      </c>
      <c r="D1" t="s">
        <v>4</v>
      </c>
    </row>
    <row r="2" spans="1:4" x14ac:dyDescent="0.25">
      <c r="A2" t="s">
        <v>2</v>
      </c>
      <c r="B2">
        <f>[1]ammonia!$B$2</f>
        <v>27.547863999999997</v>
      </c>
      <c r="C2">
        <f>[1]ammonia!$C$2</f>
        <v>6.1899999999999995</v>
      </c>
      <c r="D2">
        <v>0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84BD-ACCD-42EA-862E-40C431D63653}">
  <dimension ref="A1:D2"/>
  <sheetViews>
    <sheetView workbookViewId="0">
      <selection activeCell="I22" sqref="I22"/>
    </sheetView>
  </sheetViews>
  <sheetFormatPr baseColWidth="10" defaultRowHeight="15" x14ac:dyDescent="0.25"/>
  <sheetData>
    <row r="1" spans="1:4" x14ac:dyDescent="0.25">
      <c r="A1" t="s">
        <v>0</v>
      </c>
      <c r="B1" t="s">
        <v>3</v>
      </c>
      <c r="C1" t="s">
        <v>5</v>
      </c>
      <c r="D1" t="s">
        <v>4</v>
      </c>
    </row>
    <row r="2" spans="1:4" x14ac:dyDescent="0.25">
      <c r="A2" t="s">
        <v>2</v>
      </c>
      <c r="B2">
        <f>SUM(C2,D2,F2)</f>
        <v>7.3400000000000007</v>
      </c>
      <c r="C2">
        <v>0.74</v>
      </c>
      <c r="D2">
        <f>10.9-4.3</f>
        <v>6.6000000000000005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D16" sqref="D16"/>
    </sheetView>
  </sheetViews>
  <sheetFormatPr baseColWidth="10" defaultRowHeight="15" x14ac:dyDescent="0.25"/>
  <cols>
    <col min="2" max="2" width="29.5703125" bestFit="1" customWidth="1"/>
    <col min="3" max="3" width="32.42578125" bestFit="1" customWidth="1"/>
    <col min="4" max="4" width="27.42578125" bestFit="1" customWidth="1"/>
    <col min="5" max="5" width="32" bestFit="1" customWidth="1"/>
  </cols>
  <sheetData>
    <row r="1" spans="1:5" x14ac:dyDescent="0.25">
      <c r="A1" t="s">
        <v>0</v>
      </c>
      <c r="B1" t="s">
        <v>3</v>
      </c>
      <c r="C1" t="s">
        <v>5</v>
      </c>
      <c r="D1" t="s">
        <v>4</v>
      </c>
      <c r="E1" t="s">
        <v>6</v>
      </c>
    </row>
    <row r="2" spans="1:5" x14ac:dyDescent="0.25">
      <c r="A2" t="s">
        <v>2</v>
      </c>
      <c r="B2">
        <f>C2+D2+E2</f>
        <v>22.677731999999999</v>
      </c>
      <c r="C2">
        <v>0</v>
      </c>
      <c r="D2">
        <v>0</v>
      </c>
      <c r="E2">
        <f>0.189*1000*33.33*3600/1000000</f>
        <v>22.677731999999999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4FE3-D687-4034-88E4-900EC35F16B0}">
  <dimension ref="A1:D2"/>
  <sheetViews>
    <sheetView workbookViewId="0">
      <selection activeCell="J8" sqref="J8"/>
    </sheetView>
  </sheetViews>
  <sheetFormatPr baseColWidth="10" defaultRowHeight="15" x14ac:dyDescent="0.25"/>
  <sheetData>
    <row r="1" spans="1:4" x14ac:dyDescent="0.25">
      <c r="A1" t="s">
        <v>0</v>
      </c>
      <c r="B1" t="s">
        <v>3</v>
      </c>
      <c r="C1" t="s">
        <v>5</v>
      </c>
      <c r="D1" t="s">
        <v>4</v>
      </c>
    </row>
    <row r="2" spans="1:4" x14ac:dyDescent="0.25">
      <c r="A2" t="s">
        <v>2</v>
      </c>
      <c r="B2">
        <f>C2+D2+F2</f>
        <v>12.5</v>
      </c>
      <c r="C2">
        <v>0.6</v>
      </c>
      <c r="D2">
        <f>13.9-2</f>
        <v>11.9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C2" sqref="C2"/>
    </sheetView>
  </sheetViews>
  <sheetFormatPr baseColWidth="10" defaultRowHeight="15" x14ac:dyDescent="0.25"/>
  <sheetData>
    <row r="1" spans="1:5" x14ac:dyDescent="0.25">
      <c r="A1" t="s">
        <v>0</v>
      </c>
      <c r="B1" t="s">
        <v>3</v>
      </c>
      <c r="C1" t="s">
        <v>5</v>
      </c>
      <c r="D1" t="s">
        <v>4</v>
      </c>
    </row>
    <row r="2" spans="1:5" x14ac:dyDescent="0.25">
      <c r="A2" t="s">
        <v>2</v>
      </c>
      <c r="B2">
        <f>C2+D2+E2</f>
        <v>77.861544439999989</v>
      </c>
      <c r="C2">
        <f>[1]ethylene!$C$2</f>
        <v>17.311999999999998</v>
      </c>
      <c r="D2">
        <v>0</v>
      </c>
      <c r="E2">
        <f>[1]ethylene!$F$2</f>
        <v>60.549544439999998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3CB9-C472-483D-BA7B-8EA1D1C34658}">
  <dimension ref="A1:D2"/>
  <sheetViews>
    <sheetView workbookViewId="0">
      <selection activeCell="D3" sqref="D3"/>
    </sheetView>
  </sheetViews>
  <sheetFormatPr baseColWidth="10" defaultRowHeight="15" x14ac:dyDescent="0.25"/>
  <sheetData>
    <row r="1" spans="1:4" x14ac:dyDescent="0.25">
      <c r="A1" t="s">
        <v>0</v>
      </c>
      <c r="B1" t="s">
        <v>3</v>
      </c>
      <c r="C1" t="s">
        <v>5</v>
      </c>
      <c r="D1" t="s">
        <v>4</v>
      </c>
    </row>
    <row r="2" spans="1:4" x14ac:dyDescent="0.25">
      <c r="A2" t="s">
        <v>2</v>
      </c>
      <c r="B2">
        <f>C2+D2+F2</f>
        <v>12</v>
      </c>
      <c r="C2">
        <v>0</v>
      </c>
      <c r="D2">
        <v>12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C2" sqref="C2:E2"/>
    </sheetView>
  </sheetViews>
  <sheetFormatPr baseColWidth="10" defaultRowHeight="15" x14ac:dyDescent="0.25"/>
  <sheetData>
    <row r="1" spans="1:5" x14ac:dyDescent="0.25">
      <c r="A1" t="s">
        <v>0</v>
      </c>
      <c r="B1" t="s">
        <v>3</v>
      </c>
      <c r="C1" t="s">
        <v>5</v>
      </c>
      <c r="D1" t="s">
        <v>4</v>
      </c>
    </row>
    <row r="2" spans="1:5" x14ac:dyDescent="0.25">
      <c r="A2" t="s">
        <v>2</v>
      </c>
      <c r="B2">
        <f>C2+D2+E2</f>
        <v>77.861544439999989</v>
      </c>
      <c r="C2">
        <f>[1]ethylene!$C$2</f>
        <v>17.311999999999998</v>
      </c>
      <c r="D2">
        <v>0</v>
      </c>
      <c r="E2">
        <f>[1]ethylene!$F$2</f>
        <v>60.549544439999998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97C9-3578-406B-B1DE-D8FA28CA2828}">
  <dimension ref="A1:D2"/>
  <sheetViews>
    <sheetView workbookViewId="0">
      <selection activeCell="C2" sqref="C2"/>
    </sheetView>
  </sheetViews>
  <sheetFormatPr baseColWidth="10" defaultRowHeight="15" x14ac:dyDescent="0.25"/>
  <sheetData>
    <row r="1" spans="1:4" x14ac:dyDescent="0.25">
      <c r="A1" t="s">
        <v>0</v>
      </c>
      <c r="B1" t="s">
        <v>3</v>
      </c>
      <c r="C1" t="s">
        <v>5</v>
      </c>
      <c r="D1" t="s">
        <v>4</v>
      </c>
    </row>
    <row r="2" spans="1:4" x14ac:dyDescent="0.25">
      <c r="A2" t="s">
        <v>2</v>
      </c>
      <c r="B2">
        <f>C2+D2+F2</f>
        <v>12</v>
      </c>
      <c r="C2">
        <v>0</v>
      </c>
      <c r="D2">
        <v>12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5430-3FBC-44EA-882E-28F273195AF2}">
  <dimension ref="A1:E2"/>
  <sheetViews>
    <sheetView workbookViewId="0">
      <selection activeCell="E9" sqref="E9"/>
    </sheetView>
  </sheetViews>
  <sheetFormatPr baseColWidth="10" defaultRowHeight="15" x14ac:dyDescent="0.25"/>
  <cols>
    <col min="2" max="2" width="29.5703125" bestFit="1" customWidth="1"/>
    <col min="3" max="3" width="32.42578125" bestFit="1" customWidth="1"/>
    <col min="4" max="4" width="27.42578125" bestFit="1" customWidth="1"/>
    <col min="5" max="5" width="32" bestFit="1" customWidth="1"/>
  </cols>
  <sheetData>
    <row r="1" spans="1:5" x14ac:dyDescent="0.25">
      <c r="A1" t="s">
        <v>0</v>
      </c>
      <c r="B1" t="s">
        <v>3</v>
      </c>
      <c r="C1" t="s">
        <v>5</v>
      </c>
      <c r="D1" t="s">
        <v>4</v>
      </c>
      <c r="E1" t="s">
        <v>6</v>
      </c>
    </row>
    <row r="2" spans="1:5" x14ac:dyDescent="0.25">
      <c r="A2" t="s">
        <v>2</v>
      </c>
      <c r="B2">
        <f>C2+D2+E2</f>
        <v>77.861544439999989</v>
      </c>
      <c r="C2">
        <f>[1]ethylene!$C$2</f>
        <v>17.311999999999998</v>
      </c>
      <c r="D2">
        <v>0</v>
      </c>
      <c r="E2">
        <f>[1]ethylene!$F$2</f>
        <v>60.549544439999998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8AD12-9E83-480C-A5ED-7437CA098876}">
  <dimension ref="A1:D2"/>
  <sheetViews>
    <sheetView workbookViewId="0">
      <selection activeCell="D2" sqref="D2"/>
    </sheetView>
  </sheetViews>
  <sheetFormatPr baseColWidth="10" defaultRowHeight="15" x14ac:dyDescent="0.25"/>
  <sheetData>
    <row r="1" spans="1:4" x14ac:dyDescent="0.25">
      <c r="A1" t="s">
        <v>0</v>
      </c>
      <c r="B1" t="s">
        <v>3</v>
      </c>
      <c r="C1" t="s">
        <v>5</v>
      </c>
      <c r="D1" t="s">
        <v>4</v>
      </c>
    </row>
    <row r="2" spans="1:4" x14ac:dyDescent="0.25">
      <c r="A2" t="s">
        <v>2</v>
      </c>
      <c r="B2">
        <f>SUM(C2:E2)</f>
        <v>12</v>
      </c>
      <c r="C2">
        <v>1</v>
      </c>
      <c r="D2">
        <v>11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>
      <selection activeCell="B1" sqref="B1:E1"/>
    </sheetView>
  </sheetViews>
  <sheetFormatPr baseColWidth="10" defaultRowHeight="15" x14ac:dyDescent="0.25"/>
  <cols>
    <col min="2" max="2" width="29.5703125" bestFit="1" customWidth="1"/>
    <col min="3" max="3" width="32.42578125" bestFit="1" customWidth="1"/>
    <col min="4" max="4" width="27.42578125" bestFit="1" customWidth="1"/>
    <col min="5" max="5" width="32" bestFit="1" customWidth="1"/>
  </cols>
  <sheetData>
    <row r="1" spans="1:5" x14ac:dyDescent="0.25">
      <c r="A1" t="s">
        <v>0</v>
      </c>
      <c r="B1" t="s">
        <v>3</v>
      </c>
      <c r="C1" t="s">
        <v>5</v>
      </c>
      <c r="D1" t="s">
        <v>4</v>
      </c>
      <c r="E1" t="s">
        <v>6</v>
      </c>
    </row>
    <row r="2" spans="1:5" x14ac:dyDescent="0.25">
      <c r="A2" t="s">
        <v>2</v>
      </c>
      <c r="B2">
        <f>C2+D2+E2</f>
        <v>125.73424759999999</v>
      </c>
      <c r="C2">
        <f>[1]aromatics!$C$2</f>
        <v>28.22</v>
      </c>
      <c r="D2">
        <v>0</v>
      </c>
      <c r="E2">
        <f>[1]aromatics!$F$2</f>
        <v>97.51424759999999</v>
      </c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3ED1-9CB7-4138-9690-7BF4F2B649AC}">
  <dimension ref="A1:D2"/>
  <sheetViews>
    <sheetView workbookViewId="0">
      <selection activeCell="E11" sqref="E11"/>
    </sheetView>
  </sheetViews>
  <sheetFormatPr baseColWidth="10" defaultRowHeight="15" x14ac:dyDescent="0.25"/>
  <sheetData>
    <row r="1" spans="1:4" x14ac:dyDescent="0.25">
      <c r="A1" t="s">
        <v>0</v>
      </c>
      <c r="B1" t="s">
        <v>3</v>
      </c>
      <c r="C1" t="s">
        <v>5</v>
      </c>
      <c r="D1" t="s">
        <v>4</v>
      </c>
    </row>
    <row r="2" spans="1:4" x14ac:dyDescent="0.25">
      <c r="A2" t="s">
        <v>2</v>
      </c>
      <c r="B2">
        <f>SUM(C2:E2)</f>
        <v>7</v>
      </c>
      <c r="C2">
        <f>7-D2</f>
        <v>0.33999999999999986</v>
      </c>
      <c r="D2">
        <f>6.66</f>
        <v>6.66</v>
      </c>
    </row>
  </sheetData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88"/>
  <sheetViews>
    <sheetView tabSelected="1" topLeftCell="A25" workbookViewId="0">
      <selection activeCell="C30" sqref="C30"/>
    </sheetView>
  </sheetViews>
  <sheetFormatPr baseColWidth="10" defaultRowHeight="15" x14ac:dyDescent="0.25"/>
  <cols>
    <col min="3" max="3" width="56.42578125" customWidth="1"/>
    <col min="4" max="4" width="43.28515625" customWidth="1"/>
    <col min="5" max="5" width="21.85546875" customWidth="1"/>
  </cols>
  <sheetData>
    <row r="1" spans="1:11" x14ac:dyDescent="0.25"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</row>
    <row r="2" spans="1:11" x14ac:dyDescent="0.25">
      <c r="A2" s="6" t="s">
        <v>7</v>
      </c>
      <c r="B2" s="6"/>
      <c r="C2" s="6"/>
      <c r="D2" s="6"/>
      <c r="E2" s="6"/>
    </row>
    <row r="3" spans="1:11" x14ac:dyDescent="0.25">
      <c r="A3" t="s">
        <v>8</v>
      </c>
      <c r="B3" t="s">
        <v>9</v>
      </c>
      <c r="C3" t="s">
        <v>22</v>
      </c>
      <c r="D3" t="s">
        <v>24</v>
      </c>
      <c r="E3" s="2" t="s">
        <v>1</v>
      </c>
      <c r="F3" t="s">
        <v>98</v>
      </c>
      <c r="G3" t="s">
        <v>99</v>
      </c>
      <c r="I3">
        <v>2014</v>
      </c>
      <c r="J3" t="s">
        <v>100</v>
      </c>
      <c r="K3" t="s">
        <v>101</v>
      </c>
    </row>
    <row r="4" spans="1:11" ht="60" x14ac:dyDescent="0.25">
      <c r="B4" t="s">
        <v>10</v>
      </c>
      <c r="C4" s="7" t="s">
        <v>16</v>
      </c>
      <c r="D4" s="8" t="s">
        <v>27</v>
      </c>
      <c r="E4" s="2" t="s">
        <v>15</v>
      </c>
      <c r="F4" t="s">
        <v>102</v>
      </c>
      <c r="G4" t="s">
        <v>103</v>
      </c>
      <c r="H4" t="s">
        <v>105</v>
      </c>
      <c r="I4">
        <v>2020</v>
      </c>
      <c r="J4" t="s">
        <v>100</v>
      </c>
    </row>
    <row r="6" spans="1:11" x14ac:dyDescent="0.25">
      <c r="A6" t="s">
        <v>11</v>
      </c>
      <c r="B6" t="s">
        <v>12</v>
      </c>
      <c r="C6" t="s">
        <v>14</v>
      </c>
    </row>
    <row r="8" spans="1:11" x14ac:dyDescent="0.25">
      <c r="A8" t="s">
        <v>13</v>
      </c>
      <c r="B8" t="s">
        <v>17</v>
      </c>
      <c r="C8" t="s">
        <v>31</v>
      </c>
      <c r="D8" t="s">
        <v>18</v>
      </c>
    </row>
    <row r="9" spans="1:11" x14ac:dyDescent="0.25">
      <c r="B9" t="s">
        <v>20</v>
      </c>
      <c r="C9" t="s">
        <v>31</v>
      </c>
      <c r="D9" t="s">
        <v>19</v>
      </c>
    </row>
    <row r="11" spans="1:11" x14ac:dyDescent="0.25">
      <c r="A11" s="6" t="s">
        <v>21</v>
      </c>
      <c r="B11" s="6"/>
      <c r="C11" s="6"/>
      <c r="D11" s="6"/>
      <c r="E11" s="6"/>
    </row>
    <row r="12" spans="1:11" x14ac:dyDescent="0.25">
      <c r="A12" t="s">
        <v>8</v>
      </c>
      <c r="B12" t="s">
        <v>9</v>
      </c>
      <c r="C12" t="s">
        <v>22</v>
      </c>
      <c r="D12" t="s">
        <v>23</v>
      </c>
      <c r="E12" s="2" t="s">
        <v>1</v>
      </c>
      <c r="F12" t="s">
        <v>98</v>
      </c>
      <c r="G12" t="s">
        <v>99</v>
      </c>
      <c r="I12">
        <v>2014</v>
      </c>
      <c r="J12" t="s">
        <v>100</v>
      </c>
      <c r="K12" t="s">
        <v>101</v>
      </c>
    </row>
    <row r="13" spans="1:11" ht="60" x14ac:dyDescent="0.25">
      <c r="B13" t="s">
        <v>10</v>
      </c>
      <c r="C13" s="7" t="s">
        <v>16</v>
      </c>
      <c r="D13" s="8" t="s">
        <v>30</v>
      </c>
      <c r="E13" s="13" t="s">
        <v>15</v>
      </c>
      <c r="F13" t="s">
        <v>102</v>
      </c>
      <c r="G13" t="s">
        <v>103</v>
      </c>
      <c r="H13" t="s">
        <v>105</v>
      </c>
      <c r="I13">
        <v>2020</v>
      </c>
      <c r="J13" t="s">
        <v>100</v>
      </c>
    </row>
    <row r="15" spans="1:11" x14ac:dyDescent="0.25">
      <c r="A15" t="s">
        <v>13</v>
      </c>
      <c r="B15" t="s">
        <v>17</v>
      </c>
      <c r="C15" t="s">
        <v>32</v>
      </c>
      <c r="D15" t="s">
        <v>18</v>
      </c>
    </row>
    <row r="16" spans="1:11" x14ac:dyDescent="0.25">
      <c r="B16" t="s">
        <v>20</v>
      </c>
      <c r="C16" t="s">
        <v>33</v>
      </c>
      <c r="D16" t="s">
        <v>19</v>
      </c>
    </row>
    <row r="18" spans="1:11" x14ac:dyDescent="0.25">
      <c r="A18" s="6" t="s">
        <v>25</v>
      </c>
      <c r="B18" s="6"/>
      <c r="C18" s="6"/>
      <c r="D18" s="6"/>
      <c r="E18" s="6"/>
    </row>
    <row r="19" spans="1:11" x14ac:dyDescent="0.25">
      <c r="A19" t="s">
        <v>8</v>
      </c>
      <c r="B19" t="s">
        <v>9</v>
      </c>
      <c r="C19" t="s">
        <v>22</v>
      </c>
      <c r="D19" t="s">
        <v>26</v>
      </c>
      <c r="E19" s="2" t="s">
        <v>1</v>
      </c>
      <c r="F19" t="s">
        <v>98</v>
      </c>
      <c r="G19" t="s">
        <v>99</v>
      </c>
      <c r="I19">
        <v>2014</v>
      </c>
      <c r="J19" t="s">
        <v>100</v>
      </c>
      <c r="K19" t="s">
        <v>101</v>
      </c>
    </row>
    <row r="20" spans="1:11" ht="60" x14ac:dyDescent="0.25">
      <c r="B20" t="s">
        <v>10</v>
      </c>
      <c r="C20" s="7" t="s">
        <v>16</v>
      </c>
      <c r="D20" s="8" t="s">
        <v>27</v>
      </c>
      <c r="E20" s="2" t="s">
        <v>15</v>
      </c>
      <c r="F20" t="s">
        <v>102</v>
      </c>
      <c r="G20" t="s">
        <v>103</v>
      </c>
      <c r="H20" t="s">
        <v>105</v>
      </c>
      <c r="I20">
        <v>2020</v>
      </c>
      <c r="J20" t="s">
        <v>100</v>
      </c>
    </row>
    <row r="22" spans="1:11" x14ac:dyDescent="0.25">
      <c r="A22" t="s">
        <v>13</v>
      </c>
      <c r="B22" t="s">
        <v>17</v>
      </c>
      <c r="C22" t="s">
        <v>28</v>
      </c>
      <c r="D22" t="s">
        <v>18</v>
      </c>
    </row>
    <row r="23" spans="1:11" x14ac:dyDescent="0.25">
      <c r="B23" t="s">
        <v>20</v>
      </c>
      <c r="C23" t="s">
        <v>29</v>
      </c>
      <c r="D23" t="s">
        <v>19</v>
      </c>
    </row>
    <row r="25" spans="1:11" x14ac:dyDescent="0.25">
      <c r="A25" s="6" t="s">
        <v>37</v>
      </c>
      <c r="B25" s="6"/>
      <c r="C25" s="6"/>
      <c r="D25" s="6"/>
      <c r="E25" s="6"/>
    </row>
    <row r="26" spans="1:11" ht="45" x14ac:dyDescent="0.25">
      <c r="A26" t="s">
        <v>8</v>
      </c>
      <c r="B26" t="s">
        <v>9</v>
      </c>
      <c r="C26" s="8" t="s">
        <v>38</v>
      </c>
      <c r="D26" s="8" t="s">
        <v>40</v>
      </c>
      <c r="E26" s="2" t="s">
        <v>108</v>
      </c>
      <c r="F26" t="s">
        <v>106</v>
      </c>
      <c r="G26" s="10" t="s">
        <v>39</v>
      </c>
      <c r="I26">
        <v>2017</v>
      </c>
      <c r="J26" t="s">
        <v>100</v>
      </c>
      <c r="K26" t="s">
        <v>107</v>
      </c>
    </row>
    <row r="27" spans="1:11" x14ac:dyDescent="0.25">
      <c r="E27" s="2"/>
    </row>
    <row r="28" spans="1:11" x14ac:dyDescent="0.25">
      <c r="A28" s="6" t="s">
        <v>34</v>
      </c>
      <c r="B28" s="6"/>
      <c r="C28" s="6"/>
      <c r="D28" s="6"/>
      <c r="E28" s="6"/>
    </row>
    <row r="29" spans="1:11" ht="30" x14ac:dyDescent="0.25">
      <c r="A29" t="s">
        <v>8</v>
      </c>
      <c r="B29" t="s">
        <v>9</v>
      </c>
      <c r="C29" s="8" t="s">
        <v>126</v>
      </c>
      <c r="D29" s="8" t="s">
        <v>125</v>
      </c>
      <c r="E29" s="2" t="s">
        <v>1</v>
      </c>
      <c r="F29" t="s">
        <v>98</v>
      </c>
      <c r="G29" t="s">
        <v>99</v>
      </c>
      <c r="I29">
        <v>2014</v>
      </c>
      <c r="J29" t="s">
        <v>100</v>
      </c>
      <c r="K29" t="s">
        <v>101</v>
      </c>
    </row>
    <row r="30" spans="1:11" x14ac:dyDescent="0.25">
      <c r="C30" s="8"/>
      <c r="D30" s="8"/>
      <c r="E30" s="2"/>
    </row>
    <row r="31" spans="1:11" ht="30" x14ac:dyDescent="0.25">
      <c r="A31" t="s">
        <v>11</v>
      </c>
      <c r="B31" t="s">
        <v>12</v>
      </c>
      <c r="C31" s="8" t="s">
        <v>41</v>
      </c>
      <c r="D31" s="8" t="s">
        <v>42</v>
      </c>
      <c r="E31" s="2"/>
    </row>
    <row r="32" spans="1:11" x14ac:dyDescent="0.25">
      <c r="E32" s="2"/>
    </row>
    <row r="33" spans="1:11" x14ac:dyDescent="0.25">
      <c r="A33" s="6" t="s">
        <v>43</v>
      </c>
      <c r="B33" s="6"/>
      <c r="C33" s="6"/>
      <c r="D33" s="6"/>
      <c r="E33" s="6"/>
    </row>
    <row r="34" spans="1:11" x14ac:dyDescent="0.25">
      <c r="A34" t="s">
        <v>11</v>
      </c>
      <c r="B34" t="s">
        <v>12</v>
      </c>
      <c r="C34" s="8" t="s">
        <v>44</v>
      </c>
      <c r="D34" s="8" t="s">
        <v>42</v>
      </c>
      <c r="E34" s="2"/>
    </row>
    <row r="36" spans="1:11" ht="30" x14ac:dyDescent="0.25">
      <c r="A36" t="s">
        <v>35</v>
      </c>
      <c r="B36" t="s">
        <v>36</v>
      </c>
      <c r="C36" s="8" t="s">
        <v>126</v>
      </c>
      <c r="D36" s="8" t="s">
        <v>127</v>
      </c>
      <c r="E36" s="2" t="s">
        <v>1</v>
      </c>
      <c r="F36" t="s">
        <v>98</v>
      </c>
      <c r="G36" t="s">
        <v>99</v>
      </c>
      <c r="I36">
        <v>2014</v>
      </c>
      <c r="J36" t="s">
        <v>100</v>
      </c>
      <c r="K36" t="s">
        <v>101</v>
      </c>
    </row>
    <row r="38" spans="1:11" x14ac:dyDescent="0.25">
      <c r="A38" s="6" t="s">
        <v>85</v>
      </c>
      <c r="B38" s="6"/>
      <c r="C38" s="6"/>
      <c r="D38" s="6"/>
      <c r="E38" s="6"/>
    </row>
    <row r="39" spans="1:11" ht="30" x14ac:dyDescent="0.25">
      <c r="A39" t="s">
        <v>8</v>
      </c>
      <c r="B39" t="s">
        <v>9</v>
      </c>
      <c r="C39" s="8" t="s">
        <v>86</v>
      </c>
      <c r="D39" s="8" t="s">
        <v>45</v>
      </c>
      <c r="E39" s="2" t="s">
        <v>1</v>
      </c>
      <c r="F39" t="s">
        <v>98</v>
      </c>
      <c r="G39" t="s">
        <v>99</v>
      </c>
      <c r="I39">
        <v>2014</v>
      </c>
      <c r="J39" t="s">
        <v>100</v>
      </c>
      <c r="K39" t="s">
        <v>101</v>
      </c>
    </row>
    <row r="41" spans="1:11" x14ac:dyDescent="0.25">
      <c r="A41" t="s">
        <v>46</v>
      </c>
      <c r="B41" t="s">
        <v>12</v>
      </c>
      <c r="C41" t="s">
        <v>47</v>
      </c>
    </row>
    <row r="43" spans="1:11" x14ac:dyDescent="0.25">
      <c r="A43" t="s">
        <v>48</v>
      </c>
      <c r="B43" t="s">
        <v>17</v>
      </c>
      <c r="C43" s="3" t="s">
        <v>49</v>
      </c>
    </row>
    <row r="44" spans="1:11" x14ac:dyDescent="0.25">
      <c r="B44" t="s">
        <v>20</v>
      </c>
      <c r="C44" s="3" t="s">
        <v>50</v>
      </c>
    </row>
    <row r="46" spans="1:11" x14ac:dyDescent="0.25">
      <c r="A46" s="6" t="s">
        <v>87</v>
      </c>
      <c r="B46" s="6"/>
      <c r="C46" s="6"/>
      <c r="D46" s="6"/>
      <c r="E46" s="6"/>
    </row>
    <row r="47" spans="1:11" ht="30" x14ac:dyDescent="0.25">
      <c r="A47" t="s">
        <v>8</v>
      </c>
      <c r="B47" t="s">
        <v>9</v>
      </c>
      <c r="C47" s="8" t="s">
        <v>88</v>
      </c>
      <c r="D47" s="8" t="s">
        <v>51</v>
      </c>
      <c r="E47" s="2" t="s">
        <v>1</v>
      </c>
      <c r="F47" t="s">
        <v>98</v>
      </c>
      <c r="G47" t="s">
        <v>99</v>
      </c>
      <c r="I47">
        <v>2014</v>
      </c>
      <c r="J47" t="s">
        <v>100</v>
      </c>
      <c r="K47" t="s">
        <v>101</v>
      </c>
    </row>
    <row r="49" spans="1:11" x14ac:dyDescent="0.25">
      <c r="A49" t="s">
        <v>46</v>
      </c>
      <c r="B49" t="s">
        <v>12</v>
      </c>
      <c r="C49" t="s">
        <v>47</v>
      </c>
    </row>
    <row r="51" spans="1:11" x14ac:dyDescent="0.25">
      <c r="A51" s="6" t="s">
        <v>52</v>
      </c>
      <c r="B51" s="6"/>
      <c r="C51" s="6"/>
      <c r="D51" s="6"/>
      <c r="E51" s="6"/>
    </row>
    <row r="52" spans="1:11" x14ac:dyDescent="0.25">
      <c r="A52" t="s">
        <v>8</v>
      </c>
      <c r="B52" t="s">
        <v>9</v>
      </c>
      <c r="C52" t="s">
        <v>54</v>
      </c>
      <c r="E52" s="2" t="s">
        <v>1</v>
      </c>
      <c r="F52" t="s">
        <v>98</v>
      </c>
      <c r="G52" t="s">
        <v>99</v>
      </c>
      <c r="I52">
        <v>2014</v>
      </c>
      <c r="J52" t="s">
        <v>100</v>
      </c>
      <c r="K52" t="s">
        <v>101</v>
      </c>
    </row>
    <row r="54" spans="1:11" x14ac:dyDescent="0.25">
      <c r="A54" t="s">
        <v>46</v>
      </c>
      <c r="B54" t="s">
        <v>12</v>
      </c>
      <c r="C54" t="s">
        <v>53</v>
      </c>
    </row>
    <row r="56" spans="1:11" x14ac:dyDescent="0.25">
      <c r="A56" s="6" t="s">
        <v>55</v>
      </c>
      <c r="B56" s="6"/>
      <c r="C56" s="6"/>
      <c r="D56" s="6"/>
      <c r="E56" s="6"/>
    </row>
    <row r="57" spans="1:11" x14ac:dyDescent="0.25">
      <c r="A57" t="s">
        <v>8</v>
      </c>
      <c r="B57" s="11" t="s">
        <v>9</v>
      </c>
      <c r="C57" t="s">
        <v>58</v>
      </c>
      <c r="D57" t="s">
        <v>62</v>
      </c>
      <c r="E57" s="2" t="s">
        <v>1</v>
      </c>
      <c r="F57" t="s">
        <v>98</v>
      </c>
      <c r="G57" t="s">
        <v>99</v>
      </c>
      <c r="H57" t="s">
        <v>59</v>
      </c>
      <c r="I57">
        <v>2014</v>
      </c>
      <c r="J57" t="s">
        <v>100</v>
      </c>
      <c r="K57" t="s">
        <v>101</v>
      </c>
    </row>
    <row r="58" spans="1:11" x14ac:dyDescent="0.25">
      <c r="B58" s="11"/>
    </row>
    <row r="59" spans="1:11" ht="30" x14ac:dyDescent="0.25">
      <c r="A59" t="s">
        <v>46</v>
      </c>
      <c r="B59" s="11" t="s">
        <v>12</v>
      </c>
      <c r="C59" t="s">
        <v>60</v>
      </c>
      <c r="D59" s="8" t="s">
        <v>57</v>
      </c>
      <c r="E59" s="12" t="s">
        <v>56</v>
      </c>
    </row>
    <row r="61" spans="1:11" x14ac:dyDescent="0.25">
      <c r="A61" s="6" t="s">
        <v>61</v>
      </c>
      <c r="B61" s="6"/>
      <c r="C61" s="6"/>
      <c r="D61" s="6"/>
      <c r="E61" s="6"/>
    </row>
    <row r="62" spans="1:11" ht="30" x14ac:dyDescent="0.25">
      <c r="A62" t="s">
        <v>8</v>
      </c>
      <c r="B62" s="11" t="s">
        <v>9</v>
      </c>
      <c r="C62" s="8" t="s">
        <v>64</v>
      </c>
      <c r="D62" s="8" t="s">
        <v>63</v>
      </c>
      <c r="E62" s="2" t="s">
        <v>1</v>
      </c>
      <c r="F62" t="s">
        <v>98</v>
      </c>
      <c r="G62" t="s">
        <v>99</v>
      </c>
      <c r="H62" t="s">
        <v>59</v>
      </c>
      <c r="I62">
        <v>2014</v>
      </c>
      <c r="J62" t="s">
        <v>100</v>
      </c>
      <c r="K62" t="s">
        <v>101</v>
      </c>
    </row>
    <row r="64" spans="1:11" x14ac:dyDescent="0.25">
      <c r="A64" t="s">
        <v>46</v>
      </c>
      <c r="B64" s="11" t="s">
        <v>12</v>
      </c>
      <c r="C64" t="s">
        <v>65</v>
      </c>
    </row>
    <row r="66" spans="1:11" x14ac:dyDescent="0.25">
      <c r="A66" s="6" t="s">
        <v>66</v>
      </c>
      <c r="B66" s="6"/>
      <c r="C66" s="6"/>
      <c r="D66" s="6"/>
      <c r="E66" s="6"/>
    </row>
    <row r="67" spans="1:11" ht="90" x14ac:dyDescent="0.25">
      <c r="A67" t="s">
        <v>8</v>
      </c>
      <c r="B67" s="11" t="s">
        <v>9</v>
      </c>
      <c r="C67" s="8" t="s">
        <v>68</v>
      </c>
      <c r="D67" s="8" t="s">
        <v>69</v>
      </c>
      <c r="E67" s="2" t="s">
        <v>1</v>
      </c>
      <c r="F67" t="s">
        <v>98</v>
      </c>
      <c r="G67" t="s">
        <v>99</v>
      </c>
      <c r="H67" t="s">
        <v>67</v>
      </c>
      <c r="I67">
        <v>2014</v>
      </c>
      <c r="J67" t="s">
        <v>100</v>
      </c>
      <c r="K67" t="s">
        <v>101</v>
      </c>
    </row>
    <row r="68" spans="1:11" x14ac:dyDescent="0.25">
      <c r="B68" s="11" t="s">
        <v>10</v>
      </c>
      <c r="C68" s="8" t="s">
        <v>74</v>
      </c>
      <c r="D68" s="8" t="s">
        <v>79</v>
      </c>
      <c r="E68" s="2" t="s">
        <v>73</v>
      </c>
    </row>
    <row r="70" spans="1:11" x14ac:dyDescent="0.25">
      <c r="A70" t="s">
        <v>70</v>
      </c>
      <c r="B70" t="s">
        <v>12</v>
      </c>
      <c r="C70" t="s">
        <v>71</v>
      </c>
      <c r="D70" t="s">
        <v>72</v>
      </c>
    </row>
    <row r="71" spans="1:11" ht="30" x14ac:dyDescent="0.25">
      <c r="B71" t="s">
        <v>75</v>
      </c>
      <c r="C71" s="8" t="s">
        <v>76</v>
      </c>
    </row>
    <row r="73" spans="1:11" x14ac:dyDescent="0.25">
      <c r="A73" t="s">
        <v>48</v>
      </c>
      <c r="B73" t="s">
        <v>17</v>
      </c>
      <c r="C73" s="7" t="s">
        <v>78</v>
      </c>
      <c r="D73" s="3" t="s">
        <v>80</v>
      </c>
    </row>
    <row r="74" spans="1:11" x14ac:dyDescent="0.25">
      <c r="B74" t="s">
        <v>20</v>
      </c>
      <c r="C74" s="7" t="s">
        <v>77</v>
      </c>
      <c r="D74" s="3" t="s">
        <v>81</v>
      </c>
    </row>
    <row r="76" spans="1:11" x14ac:dyDescent="0.25">
      <c r="A76" s="6" t="s">
        <v>112</v>
      </c>
      <c r="B76" s="6"/>
      <c r="C76" s="6"/>
      <c r="D76" s="6"/>
      <c r="E76" s="14"/>
    </row>
    <row r="77" spans="1:11" x14ac:dyDescent="0.25">
      <c r="A77" t="s">
        <v>8</v>
      </c>
      <c r="B77" t="s">
        <v>9</v>
      </c>
      <c r="D77" s="8" t="s">
        <v>115</v>
      </c>
      <c r="E77" s="2" t="s">
        <v>84</v>
      </c>
      <c r="F77" t="s">
        <v>102</v>
      </c>
      <c r="G77" t="s">
        <v>109</v>
      </c>
      <c r="H77" t="s">
        <v>104</v>
      </c>
      <c r="I77">
        <v>2020</v>
      </c>
      <c r="J77" t="s">
        <v>100</v>
      </c>
      <c r="K77" t="s">
        <v>110</v>
      </c>
    </row>
    <row r="78" spans="1:11" x14ac:dyDescent="0.25">
      <c r="B78" t="s">
        <v>10</v>
      </c>
      <c r="D78" s="8" t="s">
        <v>114</v>
      </c>
      <c r="E78" t="s">
        <v>113</v>
      </c>
    </row>
    <row r="79" spans="1:11" x14ac:dyDescent="0.25">
      <c r="B79" t="s">
        <v>116</v>
      </c>
      <c r="D79" s="8" t="s">
        <v>114</v>
      </c>
      <c r="E79" t="s">
        <v>117</v>
      </c>
    </row>
    <row r="80" spans="1:11" x14ac:dyDescent="0.25">
      <c r="D80" s="8"/>
    </row>
    <row r="81" spans="1:11" x14ac:dyDescent="0.25">
      <c r="A81" s="6" t="s">
        <v>118</v>
      </c>
      <c r="B81" s="6"/>
      <c r="C81" s="6"/>
      <c r="D81" s="6"/>
      <c r="E81" s="14"/>
    </row>
    <row r="82" spans="1:11" x14ac:dyDescent="0.25">
      <c r="A82" t="s">
        <v>8</v>
      </c>
      <c r="B82" t="s">
        <v>9</v>
      </c>
      <c r="D82" s="8" t="s">
        <v>119</v>
      </c>
      <c r="E82" s="2" t="s">
        <v>120</v>
      </c>
      <c r="F82" t="s">
        <v>121</v>
      </c>
      <c r="G82" t="s">
        <v>122</v>
      </c>
      <c r="H82" t="s">
        <v>123</v>
      </c>
      <c r="I82">
        <v>2017</v>
      </c>
      <c r="J82" t="s">
        <v>100</v>
      </c>
      <c r="K82" t="s">
        <v>124</v>
      </c>
    </row>
    <row r="84" spans="1:11" x14ac:dyDescent="0.25">
      <c r="A84" s="6" t="s">
        <v>111</v>
      </c>
      <c r="B84" s="6"/>
      <c r="C84" s="6"/>
      <c r="D84" s="6"/>
      <c r="E84" s="6"/>
    </row>
    <row r="85" spans="1:11" x14ac:dyDescent="0.25">
      <c r="A85" t="s">
        <v>70</v>
      </c>
      <c r="B85" t="s">
        <v>12</v>
      </c>
      <c r="C85" t="s">
        <v>82</v>
      </c>
      <c r="D85" t="s">
        <v>83</v>
      </c>
    </row>
    <row r="87" spans="1:11" x14ac:dyDescent="0.25">
      <c r="B87" s="3"/>
    </row>
    <row r="88" spans="1:11" x14ac:dyDescent="0.25">
      <c r="B88" s="3"/>
    </row>
  </sheetData>
  <hyperlinks>
    <hyperlink ref="E3" r:id="rId1" xr:uid="{00000000-0004-0000-0D00-000000000000}"/>
    <hyperlink ref="E4" r:id="rId2" xr:uid="{6C40261D-97B0-4D47-8818-CACF7C46101B}"/>
    <hyperlink ref="E12" r:id="rId3" xr:uid="{61F7384E-E5BB-489A-A6F4-2B12188A26B5}"/>
    <hyperlink ref="E13" r:id="rId4" xr:uid="{C8190A7A-C240-46E4-85F8-432652E11525}"/>
    <hyperlink ref="E19" r:id="rId5" xr:uid="{70B49522-4D9B-44B8-8D4E-8BF69A67F3A3}"/>
    <hyperlink ref="E20" r:id="rId6" xr:uid="{3B7F058E-9883-40D2-B195-2B5229CCF4AA}"/>
    <hyperlink ref="E29" r:id="rId7" xr:uid="{6374BA8C-0547-4595-B66B-22173A91BA99}"/>
    <hyperlink ref="E36" r:id="rId8" xr:uid="{C104F08F-EB2D-4C06-9E06-5699C1A8FA81}"/>
    <hyperlink ref="E39" r:id="rId9" xr:uid="{38BA6AC4-16A5-4CC0-A1C9-5668358D4214}"/>
    <hyperlink ref="E47" r:id="rId10" xr:uid="{32EA514A-A0F7-4F17-8B14-298D093C90F2}"/>
    <hyperlink ref="E52" r:id="rId11" xr:uid="{6DEFEE95-604C-4E02-8A52-9346CB66E407}"/>
    <hyperlink ref="E59" r:id="rId12" xr:uid="{E5788E35-0E70-40F0-B7D3-769C0F89A6B2}"/>
    <hyperlink ref="E57" r:id="rId13" xr:uid="{A34F2A33-8F41-4DE7-8DFB-E4818E020980}"/>
    <hyperlink ref="E62" r:id="rId14" xr:uid="{713F1A6F-394D-48E3-84B9-0A929434C39F}"/>
    <hyperlink ref="E77" r:id="rId15" xr:uid="{26435760-E4CB-462A-A69B-1516CCE25CA4}"/>
    <hyperlink ref="E26" r:id="rId16" xr:uid="{343544D7-B644-49AA-A279-42458BB4E4D5}"/>
    <hyperlink ref="E67" r:id="rId17" xr:uid="{582EC26F-4A9C-43A2-AF67-35BC4A09367A}"/>
    <hyperlink ref="E68" r:id="rId18" xr:uid="{618E33B2-BA08-4D38-911F-D038C60DBE22}"/>
    <hyperlink ref="E82" r:id="rId19" xr:uid="{2605CA8D-2B51-451A-AEE4-6307769462A1}"/>
  </hyperlinks>
  <pageMargins left="0.7" right="0.7" top="0.78740157499999996" bottom="0.78740157499999996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25</vt:i4>
      </vt:variant>
      <vt:variant>
        <vt:lpstr>Benannte Bereiche</vt:lpstr>
      </vt:variant>
      <vt:variant>
        <vt:i4>1</vt:i4>
      </vt:variant>
    </vt:vector>
  </HeadingPairs>
  <TitlesOfParts>
    <vt:vector size="26" baseType="lpstr">
      <vt:lpstr>steel</vt:lpstr>
      <vt:lpstr>steel_prim</vt:lpstr>
      <vt:lpstr>steel_sec</vt:lpstr>
      <vt:lpstr>steel_direct</vt:lpstr>
      <vt:lpstr>alu_prim</vt:lpstr>
      <vt:lpstr>alu_sec</vt:lpstr>
      <vt:lpstr>copper_prim</vt:lpstr>
      <vt:lpstr>copper_sec</vt:lpstr>
      <vt:lpstr>cement</vt:lpstr>
      <vt:lpstr>glass</vt:lpstr>
      <vt:lpstr>paper</vt:lpstr>
      <vt:lpstr>chlorine</vt:lpstr>
      <vt:lpstr>ammonia</vt:lpstr>
      <vt:lpstr>ammonia_classic</vt:lpstr>
      <vt:lpstr>methanol</vt:lpstr>
      <vt:lpstr>methanol_classic</vt:lpstr>
      <vt:lpstr>ethylene</vt:lpstr>
      <vt:lpstr>ethylene_classic</vt:lpstr>
      <vt:lpstr>propylene</vt:lpstr>
      <vt:lpstr>propylene_classic</vt:lpstr>
      <vt:lpstr>olefins</vt:lpstr>
      <vt:lpstr>olefins_classic</vt:lpstr>
      <vt:lpstr>aromatics</vt:lpstr>
      <vt:lpstr>aromatics_classic</vt:lpstr>
      <vt:lpstr>Info</vt:lpstr>
      <vt:lpstr>Info!_CTVL0014bc30cd650ab4ee9a6bbd5bf2e9a7c20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2025-02-05T12:37:32Z</dcterms:modified>
</cp:coreProperties>
</file>