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ish\PycharmProjects\endemo_git\pythonProject\endemo\input\"/>
    </mc:Choice>
  </mc:AlternateContent>
  <xr:revisionPtr revIDLastSave="0" documentId="13_ncr:1_{611F4BA8-5E8F-4BCF-AF68-C9D7441F4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3" r:id="rId1"/>
    <sheet name="Function options" sheetId="2" r:id="rId2"/>
    <sheet name="info" sheetId="4" r:id="rId3"/>
  </sheets>
  <externalReferences>
    <externalReference r:id="rId4"/>
    <externalReference r:id="rId5"/>
  </externalReferences>
  <definedNames>
    <definedName name="_xlnm._FilterDatabase" localSheetId="0" hidden="1">Data!$A$1:$AF$100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8" i="3" l="1" a="1"/>
  <c r="M98" i="3" s="1"/>
  <c r="M97" i="3" a="1"/>
  <c r="M97" i="3" s="1"/>
  <c r="M96" i="3" a="1"/>
  <c r="M96" i="3" s="1"/>
  <c r="M95" i="3" a="1"/>
  <c r="M95" i="3" s="1"/>
  <c r="M94" i="3" a="1"/>
  <c r="M94" i="3" s="1"/>
  <c r="M93" i="3" a="1"/>
  <c r="M93" i="3" s="1"/>
  <c r="M92" i="3" a="1"/>
  <c r="M92" i="3" s="1"/>
  <c r="M91" i="3" a="1"/>
  <c r="M91" i="3" s="1"/>
  <c r="M90" i="3" a="1"/>
  <c r="M90" i="3" s="1"/>
  <c r="M89" i="3" a="1"/>
  <c r="M89" i="3" s="1"/>
  <c r="M88" i="3" a="1"/>
  <c r="M88" i="3" s="1"/>
  <c r="M87" i="3" a="1"/>
  <c r="M87" i="3" s="1"/>
  <c r="M86" i="3" a="1"/>
  <c r="M86" i="3" s="1"/>
  <c r="M85" i="3" a="1"/>
  <c r="M85" i="3" s="1"/>
  <c r="M84" i="3" a="1"/>
  <c r="M84" i="3" s="1"/>
  <c r="M83" i="3" a="1"/>
  <c r="M83" i="3" s="1"/>
  <c r="M82" i="3" a="1"/>
  <c r="M82" i="3" s="1"/>
  <c r="M81" i="3" a="1"/>
  <c r="M81" i="3" s="1"/>
  <c r="M80" i="3" a="1"/>
  <c r="M80" i="3" s="1"/>
  <c r="M79" i="3" a="1"/>
  <c r="M79" i="3" s="1"/>
  <c r="M78" i="3" a="1"/>
  <c r="M78" i="3" s="1"/>
  <c r="M77" i="3" a="1"/>
  <c r="M77" i="3" s="1"/>
  <c r="M76" i="3" a="1"/>
  <c r="M76" i="3" s="1"/>
  <c r="M75" i="3"/>
  <c r="M75" i="3" a="1"/>
  <c r="M74" i="3" a="1"/>
  <c r="M74" i="3" s="1"/>
  <c r="M73" i="3" a="1"/>
  <c r="M73" i="3" s="1"/>
  <c r="M72" i="3" a="1"/>
  <c r="M72" i="3" s="1"/>
  <c r="M71" i="3" a="1"/>
  <c r="M71" i="3" s="1"/>
  <c r="M70" i="3" a="1"/>
  <c r="M70" i="3" s="1"/>
  <c r="M69" i="3" a="1"/>
  <c r="M69" i="3" s="1"/>
  <c r="M68" i="3" a="1"/>
  <c r="M68" i="3" s="1"/>
  <c r="M67" i="3" a="1"/>
  <c r="M67" i="3" s="1"/>
  <c r="M66" i="3" a="1"/>
  <c r="M66" i="3" s="1"/>
  <c r="M65" i="3" a="1"/>
  <c r="M65" i="3" s="1"/>
  <c r="M64" i="3" a="1"/>
  <c r="M64" i="3" s="1"/>
  <c r="M63" i="3" a="1"/>
  <c r="M63" i="3" s="1"/>
  <c r="M62" i="3" a="1"/>
  <c r="M62" i="3" s="1"/>
  <c r="M61" i="3" a="1"/>
  <c r="M61" i="3" s="1"/>
  <c r="M60" i="3" a="1"/>
  <c r="M60" i="3" s="1"/>
  <c r="M59" i="3" a="1"/>
  <c r="M59" i="3" s="1"/>
  <c r="M58" i="3" a="1"/>
  <c r="M58" i="3" s="1"/>
  <c r="M57" i="3" a="1"/>
  <c r="M57" i="3" s="1"/>
  <c r="M56" i="3" a="1"/>
  <c r="M56" i="3" s="1"/>
  <c r="M55" i="3" a="1"/>
  <c r="M55" i="3" s="1"/>
  <c r="M54" i="3" a="1"/>
  <c r="M54" i="3" s="1"/>
  <c r="M53" i="3" a="1"/>
  <c r="M53" i="3" s="1"/>
  <c r="M52" i="3" a="1"/>
  <c r="M52" i="3" s="1"/>
  <c r="M51" i="3" a="1"/>
  <c r="M51" i="3" s="1"/>
  <c r="M50" i="3" a="1"/>
  <c r="M50" i="3" s="1"/>
  <c r="M49" i="3" a="1"/>
  <c r="M49" i="3" s="1"/>
  <c r="M48" i="3" a="1"/>
  <c r="M48" i="3" s="1"/>
  <c r="M47" i="3" a="1"/>
  <c r="M47" i="3" s="1"/>
  <c r="M46" i="3" a="1"/>
  <c r="M46" i="3" s="1"/>
  <c r="M45" i="3" a="1"/>
  <c r="M45" i="3" s="1"/>
  <c r="M44" i="3" a="1"/>
  <c r="M44" i="3" s="1"/>
  <c r="M43" i="3" a="1"/>
  <c r="M43" i="3" s="1"/>
  <c r="M42" i="3" a="1"/>
  <c r="M42" i="3" s="1"/>
  <c r="M41" i="3" a="1"/>
  <c r="M41" i="3" s="1"/>
  <c r="M40" i="3" a="1"/>
  <c r="M40" i="3" s="1"/>
  <c r="M39" i="3" a="1"/>
  <c r="M39" i="3" s="1"/>
  <c r="M38" i="3" a="1"/>
  <c r="M38" i="3" s="1"/>
  <c r="M37" i="3" a="1"/>
  <c r="M37" i="3" s="1"/>
  <c r="M36" i="3" a="1"/>
  <c r="M36" i="3" s="1"/>
  <c r="M35" i="3" a="1"/>
  <c r="M35" i="3" s="1"/>
  <c r="M34" i="3" a="1"/>
  <c r="M34" i="3" s="1"/>
  <c r="M33" i="3" a="1"/>
  <c r="M33" i="3" s="1"/>
  <c r="M32" i="3" a="1"/>
  <c r="M32" i="3" s="1"/>
  <c r="M31" i="3" a="1"/>
  <c r="M31" i="3" s="1"/>
  <c r="M30" i="3" a="1"/>
  <c r="M30" i="3" s="1"/>
  <c r="M29" i="3" a="1"/>
  <c r="M29" i="3" s="1"/>
  <c r="M28" i="3" a="1"/>
  <c r="M28" i="3" s="1"/>
  <c r="M27" i="3" a="1"/>
  <c r="M27" i="3" s="1"/>
  <c r="M26" i="3" a="1"/>
  <c r="M26" i="3" s="1"/>
  <c r="M25" i="3" a="1"/>
  <c r="M25" i="3" s="1"/>
  <c r="M24" i="3" a="1"/>
  <c r="M24" i="3" s="1"/>
  <c r="M23" i="3" a="1"/>
  <c r="M23" i="3" s="1"/>
  <c r="M22" i="3" a="1"/>
  <c r="M22" i="3" s="1"/>
  <c r="M21" i="3" a="1"/>
  <c r="M21" i="3" s="1"/>
  <c r="M20" i="3" a="1"/>
  <c r="M20" i="3" s="1"/>
  <c r="M19" i="3" a="1"/>
  <c r="M19" i="3" s="1"/>
  <c r="M18" i="3" a="1"/>
  <c r="M18" i="3" s="1"/>
  <c r="M17" i="3" a="1"/>
  <c r="M17" i="3" s="1"/>
  <c r="M16" i="3" a="1"/>
  <c r="M16" i="3" s="1"/>
  <c r="M15" i="3" a="1"/>
  <c r="M15" i="3" s="1"/>
  <c r="M14" i="3" a="1"/>
  <c r="M14" i="3" s="1"/>
  <c r="R13" i="3"/>
  <c r="M13" i="3" a="1"/>
  <c r="M13" i="3" s="1"/>
  <c r="AF12" i="3"/>
  <c r="R12" i="3"/>
  <c r="M12" i="3" a="1"/>
  <c r="M12" i="3" s="1"/>
  <c r="AF11" i="3"/>
  <c r="R11" i="3"/>
  <c r="M11" i="3" a="1"/>
  <c r="M11" i="3" s="1"/>
  <c r="M10" i="3" a="1"/>
  <c r="M10" i="3" s="1"/>
  <c r="M9" i="3" a="1"/>
  <c r="M9" i="3" s="1"/>
  <c r="M8" i="3" a="1"/>
  <c r="M8" i="3" s="1"/>
  <c r="M7" i="3" a="1"/>
  <c r="M7" i="3" s="1"/>
  <c r="M6" i="3" a="1"/>
  <c r="M6" i="3" s="1"/>
  <c r="AF5" i="3"/>
  <c r="R5" i="3"/>
  <c r="M5" i="3" a="1"/>
  <c r="M5" i="3" s="1"/>
  <c r="R4" i="3"/>
  <c r="M4" i="3" a="1"/>
  <c r="M4" i="3" s="1"/>
  <c r="AF3" i="3"/>
  <c r="R3" i="3"/>
  <c r="M3" i="3" a="1"/>
  <c r="M3" i="3" s="1"/>
  <c r="M2" i="3" a="1"/>
  <c r="M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<sst xmlns="http://schemas.openxmlformats.org/spreadsheetml/2006/main" count="1398" uniqueCount="90">
  <si>
    <t>Region</t>
  </si>
  <si>
    <t>Sector</t>
  </si>
  <si>
    <t>Subsector</t>
  </si>
  <si>
    <t>Variable</t>
  </si>
  <si>
    <t>Technology</t>
  </si>
  <si>
    <t>Temp_level</t>
  </si>
  <si>
    <t>Unit</t>
  </si>
  <si>
    <t>Source / Assumption</t>
  </si>
  <si>
    <t>default</t>
  </si>
  <si>
    <t>IND</t>
  </si>
  <si>
    <t>STEEL_PRIM</t>
  </si>
  <si>
    <t>PROD_QUANT</t>
  </si>
  <si>
    <t>SPEC_EN_QUANT</t>
  </si>
  <si>
    <t>TECH_SHARE</t>
  </si>
  <si>
    <t>BOF</t>
  </si>
  <si>
    <t>DRI</t>
  </si>
  <si>
    <t>ELEC</t>
  </si>
  <si>
    <t>H2</t>
  </si>
  <si>
    <t>HEAT</t>
  </si>
  <si>
    <t>TOTAL</t>
  </si>
  <si>
    <t>Q1</t>
  </si>
  <si>
    <t>Q2</t>
  </si>
  <si>
    <t>Q3</t>
  </si>
  <si>
    <t>Q4</t>
  </si>
  <si>
    <t>Q5</t>
  </si>
  <si>
    <t>GJ/t</t>
  </si>
  <si>
    <t>%</t>
  </si>
  <si>
    <t>Tausend ton</t>
  </si>
  <si>
    <t>Factor</t>
  </si>
  <si>
    <t>Function</t>
  </si>
  <si>
    <t>Equation</t>
  </si>
  <si>
    <t>Forecast data</t>
  </si>
  <si>
    <t>DDr1</t>
  </si>
  <si>
    <t>DDr2</t>
  </si>
  <si>
    <t>k0</t>
  </si>
  <si>
    <t>k1</t>
  </si>
  <si>
    <t>k2</t>
  </si>
  <si>
    <t>k3</t>
  </si>
  <si>
    <t>k4</t>
  </si>
  <si>
    <t>Source/Assumption</t>
  </si>
  <si>
    <t>lin</t>
  </si>
  <si>
    <t>Historical</t>
  </si>
  <si>
    <t>TIME</t>
  </si>
  <si>
    <t>POP</t>
  </si>
  <si>
    <t>y = const = y(t_hist)</t>
  </si>
  <si>
    <t>const</t>
  </si>
  <si>
    <t>User</t>
  </si>
  <si>
    <t>interp_lin</t>
  </si>
  <si>
    <t>Lower limit</t>
  </si>
  <si>
    <t>const_mean</t>
  </si>
  <si>
    <t>const_last</t>
  </si>
  <si>
    <t>DDr3</t>
  </si>
  <si>
    <t>y = k0 + k1*DDr1 + k2*DDr2 + …</t>
  </si>
  <si>
    <t>Subtech</t>
  </si>
  <si>
    <t>Drive</t>
  </si>
  <si>
    <t>mult</t>
  </si>
  <si>
    <t>UE_Type</t>
  </si>
  <si>
    <t>FE_Type</t>
  </si>
  <si>
    <t>exp</t>
  </si>
  <si>
    <t>lin interpolation between given points - based on driver as x-aches</t>
  </si>
  <si>
    <t>y = const = k0</t>
  </si>
  <si>
    <t>y = const = avg of all y(t_hist))</t>
  </si>
  <si>
    <t>const_mult_div</t>
  </si>
  <si>
    <t>y = k0 * (DDr1 / DDr2)</t>
  </si>
  <si>
    <t>lin_mult_div</t>
  </si>
  <si>
    <t>y = k0 + (k1 + k2*DDr1)*DDr2/DDr3</t>
  </si>
  <si>
    <t>exp_mult_div</t>
  </si>
  <si>
    <t>y = k0 + k1 * ((1 + k2 / 100) ^ (DDr1 - k3)) * DDr2/DDr3</t>
  </si>
  <si>
    <t>y = k0 + k1 * ((1 + k2 / 100) ^ (DDr1 - k3))</t>
  </si>
  <si>
    <t>Applicable for Forecast data</t>
  </si>
  <si>
    <t>Historical and User</t>
  </si>
  <si>
    <t>mult_k0_zero</t>
  </si>
  <si>
    <t>y = k0 + k1 *DDr1*DDr2*DDr3…</t>
  </si>
  <si>
    <t>y = k1 *DDr1*DDr2*DDr3…</t>
  </si>
  <si>
    <t>lin_share</t>
  </si>
  <si>
    <t>y = k0 + (k1 + k2*DDr1)*DDr2</t>
  </si>
  <si>
    <t>EFFICIENCY</t>
  </si>
  <si>
    <t>SFF</t>
  </si>
  <si>
    <t>OIL</t>
  </si>
  <si>
    <t>DHEAT</t>
  </si>
  <si>
    <t>GAS</t>
  </si>
  <si>
    <t>FE_SHARE_FOR_UE</t>
  </si>
  <si>
    <t>Description:</t>
  </si>
  <si>
    <t>Description</t>
  </si>
  <si>
    <t>Source:</t>
  </si>
  <si>
    <t>[1]</t>
  </si>
  <si>
    <t>own assumption</t>
  </si>
  <si>
    <t xml:space="preserve"> The variables highlighted with "own assumption" are hypothetical. This is for demonstrative purposes only to illustrate the model's input-output mechanics and predictive capabilities.</t>
  </si>
  <si>
    <t>based on Database from the tool</t>
  </si>
  <si>
    <r>
      <t xml:space="preserve">A. Kerekeš and L. Breuning, </t>
    </r>
    <r>
      <rPr>
        <i/>
        <sz val="11"/>
        <color theme="1"/>
        <rFont val="Calibri"/>
        <family val="2"/>
        <scheme val="minor"/>
      </rPr>
      <t>endemo</t>
    </r>
    <r>
      <rPr>
        <sz val="11"/>
        <color theme="1"/>
        <rFont val="Calibri"/>
        <family val="2"/>
        <scheme val="minor"/>
      </rPr>
      <t>, 2024. Accessed: Aug. 28 2025. [Online]. Available: https://​github.com​/​tum-​ens/​endemo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</si>
</sst>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Times"/>
      <family val="1"/>
    </font>
    <font>
      <strike/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0" fillId="0" borderId="2" xfId="0" applyBorder="1"/>
    <xf numFmtId="0" fontId="7" fillId="2" borderId="0" xfId="0" applyFont="1" applyFill="1"/>
    <xf numFmtId="0" fontId="0" fillId="0" borderId="0" xfId="0" applyAlignment="1">
      <alignment horizontal="left"/>
    </xf>
    <xf numFmtId="0" fontId="4" fillId="0" borderId="0" xfId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 applyAlignment="1">
      <alignment horizontal="center" vertical="top" wrapText="1"/>
    </xf>
    <xf numFmtId="0" fontId="8" fillId="0" borderId="0" xfId="3"/>
    <xf numFmtId="0" fontId="0" fillId="0" borderId="0" xfId="0" applyAlignment="1">
      <alignment wrapText="1"/>
    </xf>
    <xf numFmtId="0" fontId="10" fillId="0" borderId="0" xfId="3" applyFont="1"/>
  </cellXfs>
  <cellStyles count="5">
    <cellStyle name="Hyperlink" xfId="3" builtinId="8"/>
    <cellStyle name="Normal" xfId="0" builtinId="0"/>
    <cellStyle name="Normal 2" xfId="4" xr:uid="{8D89EC1E-38F0-414D-A0B6-3996F015FDD5}"/>
    <cellStyle name="Standard 2" xfId="2" xr:uid="{0A9DA99B-2E44-4CE9-816F-2943A035778D}"/>
    <cellStyle name="Standard 3" xfId="1" xr:uid="{0BEE48CF-7C05-419A-A15A-1AC6B09570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ish\Downloads\Data_User_set%20(1).xlsx" TargetMode="External"/><Relationship Id="rId1" Type="http://schemas.openxmlformats.org/officeDocument/2006/relationships/externalLinkPath" Target="/Users/epish/Downloads/Data_User_set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18b101b82ebc1c1/Desktop/input/Data_User_set_1.xlsx" TargetMode="External"/><Relationship Id="rId1" Type="http://schemas.openxmlformats.org/officeDocument/2006/relationships/externalLinkPath" Target="https://d.docs.live.net/d18b101b82ebc1c1/Desktop/input/Data_User_se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Function options"/>
      <sheetName val="info"/>
    </sheetNames>
    <sheetDataSet>
      <sheetData sheetId="0"/>
      <sheetData sheetId="1">
        <row r="2">
          <cell r="A2" t="str">
            <v>lin</v>
          </cell>
          <cell r="B2" t="str">
            <v>y = k0 + k1*DDr1 + k2*DDr2 + …</v>
          </cell>
        </row>
        <row r="3">
          <cell r="A3" t="str">
            <v>exp</v>
          </cell>
          <cell r="B3" t="str">
            <v>y = k0 + k1 * ((1 + k2 / 100) ^ (DDr1 - k3))</v>
          </cell>
        </row>
        <row r="4">
          <cell r="A4" t="str">
            <v>interp_lin</v>
          </cell>
          <cell r="B4" t="str">
            <v>lin interpolation between given points - based on driver as x-aches</v>
          </cell>
        </row>
        <row r="5">
          <cell r="A5" t="str">
            <v>const</v>
          </cell>
          <cell r="B5" t="str">
            <v>y = const = k0</v>
          </cell>
        </row>
        <row r="6">
          <cell r="A6" t="str">
            <v>const_last</v>
          </cell>
          <cell r="B6" t="str">
            <v>y = const = y(t_hist)</v>
          </cell>
        </row>
        <row r="7">
          <cell r="A7" t="str">
            <v>const_mean</v>
          </cell>
          <cell r="B7" t="str">
            <v>y = const = avg of all y(t_hist))</v>
          </cell>
        </row>
        <row r="8">
          <cell r="A8" t="str">
            <v>const_mult_div</v>
          </cell>
          <cell r="B8" t="str">
            <v>y = k0 * (DDr1 / DDr2)</v>
          </cell>
        </row>
        <row r="9">
          <cell r="A9" t="str">
            <v>lin_mult_div</v>
          </cell>
          <cell r="B9" t="str">
            <v>y = k0 + (k1 + k2*DDr1)*DDr2/DDr3</v>
          </cell>
        </row>
        <row r="10">
          <cell r="A10" t="str">
            <v>lin_share</v>
          </cell>
          <cell r="B10" t="str">
            <v>y = k0 + (k1 + k2*DDr1)*DDr2</v>
          </cell>
        </row>
        <row r="11">
          <cell r="A11" t="str">
            <v>exp_mult_div</v>
          </cell>
          <cell r="B11" t="str">
            <v>y = k0 + k1 * ((1 + k2 / 100) ^ (DDr1 - k3)) * DDr2/DDr3</v>
          </cell>
        </row>
        <row r="12">
          <cell r="A12" t="str">
            <v>mult</v>
          </cell>
          <cell r="B12" t="str">
            <v>y = k0 + k1 *DDr1*DDr2*DDr3…</v>
          </cell>
        </row>
        <row r="13">
          <cell r="A13" t="str">
            <v>mult_k0_zero</v>
          </cell>
          <cell r="B13" t="str">
            <v>y = k1 *DDr1*DDr2*DDr3…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  <sheetName val="Function options"/>
    </sheetNames>
    <sheetDataSet>
      <sheetData sheetId="0" refreshError="1"/>
      <sheetData sheetId="1" refreshError="1"/>
      <sheetData sheetId="2" refreshError="1">
        <row r="2">
          <cell r="A2" t="str">
            <v>lin</v>
          </cell>
          <cell r="B2" t="str">
            <v>y = k0 + k1*DDr1 + k2*DDr2 + …</v>
          </cell>
        </row>
        <row r="3">
          <cell r="A3" t="str">
            <v>exp</v>
          </cell>
          <cell r="B3" t="str">
            <v>y = k0 + k1 * ((1 + k2 / 100) ^ (DDr1 - k3))</v>
          </cell>
        </row>
        <row r="4">
          <cell r="A4" t="str">
            <v>exp_v2</v>
          </cell>
          <cell r="B4" t="str">
            <v>y = 0  + y(t_hist)* ((1 + k2 / 100) ^ (DDr1 - t_hist))</v>
          </cell>
        </row>
        <row r="5">
          <cell r="A5" t="str">
            <v>log</v>
          </cell>
          <cell r="B5" t="str">
            <v>y ? ToDo</v>
          </cell>
        </row>
        <row r="6">
          <cell r="A6" t="str">
            <v>quadr</v>
          </cell>
          <cell r="B6" t="str">
            <v>y ? ToDo</v>
          </cell>
        </row>
        <row r="7">
          <cell r="A7" t="str">
            <v>poly</v>
          </cell>
          <cell r="B7" t="str">
            <v>y ? ToDo</v>
          </cell>
        </row>
        <row r="8">
          <cell r="A8" t="str">
            <v>interp_lin</v>
          </cell>
          <cell r="B8" t="str">
            <v>lin interpolation between given points - based on driver as x-aches</v>
          </cell>
        </row>
        <row r="9">
          <cell r="A9" t="str">
            <v>const</v>
          </cell>
          <cell r="B9" t="str">
            <v>y = const = k0</v>
          </cell>
        </row>
        <row r="10">
          <cell r="A10" t="str">
            <v>const_last</v>
          </cell>
          <cell r="B10" t="str">
            <v>y = const = y(t_hist)</v>
          </cell>
        </row>
        <row r="11">
          <cell r="A11" t="str">
            <v>const_mean</v>
          </cell>
          <cell r="B11" t="str">
            <v>y = const = avg of all y(t_hist))</v>
          </cell>
        </row>
        <row r="12">
          <cell r="A12" t="str">
            <v>const_mult_div</v>
          </cell>
          <cell r="B12" t="str">
            <v>y = k0 * (DDr1 / DDr2)</v>
          </cell>
        </row>
        <row r="13">
          <cell r="A13" t="str">
            <v>lin_mult_div</v>
          </cell>
          <cell r="B13" t="str">
            <v>y = k0 + (k1 + k2*DDr1)*DDr2/DDr3</v>
          </cell>
        </row>
        <row r="14">
          <cell r="A14" t="str">
            <v>lin_share</v>
          </cell>
          <cell r="B14" t="str">
            <v>y = k0 + (k1 + k2*DDr1)*DDr2</v>
          </cell>
        </row>
        <row r="15">
          <cell r="A15" t="str">
            <v>exp_mult_div</v>
          </cell>
          <cell r="B15" t="str">
            <v>y = k0 + k1 * ((1 + k2 / 100) ^ (DDr1 - k3)) * DDr2/DDr3</v>
          </cell>
        </row>
        <row r="16">
          <cell r="A16" t="str">
            <v>mult</v>
          </cell>
          <cell r="B16" t="str">
            <v>y = k0 + k1 *DDr1*DDr2*DDr3…</v>
          </cell>
        </row>
        <row r="17">
          <cell r="A17" t="str">
            <v>mult_k0_zero</v>
          </cell>
          <cell r="B17" t="str">
            <v>y = k1 *DDr1*DDr2*DDr3…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DADF-B8DF-48E5-BA19-53C996BFB8F9}">
  <dimension ref="A1:AF100"/>
  <sheetViews>
    <sheetView tabSelected="1" topLeftCell="J1" workbookViewId="0">
      <selection activeCell="I9" sqref="I9"/>
    </sheetView>
  </sheetViews>
  <sheetFormatPr defaultRowHeight="14.4" x14ac:dyDescent="0.3"/>
  <cols>
    <col min="4" max="4" width="17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7" t="s">
        <v>57</v>
      </c>
      <c r="H1" s="1" t="s">
        <v>5</v>
      </c>
      <c r="I1" t="s">
        <v>53</v>
      </c>
      <c r="J1" s="9" t="s">
        <v>54</v>
      </c>
      <c r="K1" s="1" t="s">
        <v>31</v>
      </c>
      <c r="L1" s="1" t="s">
        <v>29</v>
      </c>
      <c r="M1" s="1" t="s">
        <v>30</v>
      </c>
      <c r="N1" s="1" t="s">
        <v>32</v>
      </c>
      <c r="O1" s="3" t="s">
        <v>33</v>
      </c>
      <c r="P1" s="3" t="s">
        <v>51</v>
      </c>
      <c r="Q1" s="1" t="s">
        <v>6</v>
      </c>
      <c r="R1" s="1" t="s">
        <v>28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>
        <v>2019</v>
      </c>
      <c r="Z1" s="10">
        <v>2020</v>
      </c>
      <c r="AA1" s="10">
        <v>2030</v>
      </c>
      <c r="AB1" s="10">
        <v>2040</v>
      </c>
      <c r="AC1" s="10">
        <v>2050</v>
      </c>
      <c r="AD1" s="10">
        <v>2100</v>
      </c>
      <c r="AE1" t="s">
        <v>7</v>
      </c>
      <c r="AF1" t="s">
        <v>48</v>
      </c>
    </row>
    <row r="2" spans="1:32" x14ac:dyDescent="0.3">
      <c r="A2" t="s">
        <v>8</v>
      </c>
      <c r="B2" t="s">
        <v>9</v>
      </c>
      <c r="C2" t="s">
        <v>10</v>
      </c>
      <c r="D2" t="s">
        <v>11</v>
      </c>
      <c r="G2" s="5"/>
      <c r="J2" s="9"/>
      <c r="K2" s="2" t="s">
        <v>41</v>
      </c>
      <c r="L2" t="s">
        <v>74</v>
      </c>
      <c r="M2" t="str" cm="1">
        <f t="array" ref="M2">_xlfn.XLOOKUP(L2, '[1]Function options'!$A$2:$A$17, '[1]Function options'!$B$2:B$17, "Not found")</f>
        <v>y = k0 + (k1 + k2*DDr1)*DDr2</v>
      </c>
      <c r="N2" s="2" t="s">
        <v>42</v>
      </c>
      <c r="O2" s="2" t="s">
        <v>43</v>
      </c>
      <c r="P2" s="2"/>
      <c r="Q2" s="2" t="s">
        <v>27</v>
      </c>
      <c r="R2" s="2">
        <v>1000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>
        <v>0</v>
      </c>
    </row>
    <row r="3" spans="1:32" x14ac:dyDescent="0.3">
      <c r="A3" t="s">
        <v>8</v>
      </c>
      <c r="B3" t="s">
        <v>9</v>
      </c>
      <c r="C3" t="s">
        <v>10</v>
      </c>
      <c r="D3" t="s">
        <v>12</v>
      </c>
      <c r="E3" t="s">
        <v>14</v>
      </c>
      <c r="F3" t="s">
        <v>16</v>
      </c>
      <c r="G3" s="5"/>
      <c r="J3" s="9"/>
      <c r="K3" t="s">
        <v>46</v>
      </c>
      <c r="L3" t="s">
        <v>58</v>
      </c>
      <c r="M3" t="str" cm="1">
        <f t="array" ref="M3">_xlfn.XLOOKUP(L3, '[1]Function options'!$A$2:$A$17, '[1]Function options'!$B$2:B$17, "Not found")</f>
        <v>y = k0 + k1 * ((1 + k2 / 100) ^ (DDr1 - k3))</v>
      </c>
      <c r="N3" s="2" t="s">
        <v>42</v>
      </c>
      <c r="O3" s="2"/>
      <c r="Q3" t="s">
        <v>25</v>
      </c>
      <c r="R3">
        <f t="shared" ref="R3:R5" si="0">1/1000/3600</f>
        <v>2.7777777777777776E-7</v>
      </c>
      <c r="S3">
        <v>0</v>
      </c>
      <c r="T3">
        <v>2</v>
      </c>
      <c r="U3">
        <v>-1</v>
      </c>
      <c r="V3">
        <v>2020</v>
      </c>
      <c r="AE3" t="s">
        <v>85</v>
      </c>
      <c r="AF3" s="16">
        <f>1/2*T3</f>
        <v>1</v>
      </c>
    </row>
    <row r="4" spans="1:32" x14ac:dyDescent="0.3">
      <c r="A4" t="s">
        <v>8</v>
      </c>
      <c r="B4" t="s">
        <v>9</v>
      </c>
      <c r="C4" t="s">
        <v>10</v>
      </c>
      <c r="D4" t="s">
        <v>12</v>
      </c>
      <c r="E4" t="s">
        <v>14</v>
      </c>
      <c r="F4" t="s">
        <v>17</v>
      </c>
      <c r="G4" s="5"/>
      <c r="J4" s="9"/>
      <c r="K4" t="s">
        <v>46</v>
      </c>
      <c r="L4" t="s">
        <v>58</v>
      </c>
      <c r="M4" t="str" cm="1">
        <f t="array" ref="M4">_xlfn.XLOOKUP(L4, '[1]Function options'!$A$2:$A$17, '[1]Function options'!$B$2:B$17, "Not found")</f>
        <v>y = k0 + k1 * ((1 + k2 / 100) ^ (DDr1 - k3))</v>
      </c>
      <c r="N4" s="2" t="s">
        <v>42</v>
      </c>
      <c r="O4" s="2"/>
      <c r="Q4" t="s">
        <v>25</v>
      </c>
      <c r="R4">
        <f t="shared" si="0"/>
        <v>2.7777777777777776E-7</v>
      </c>
      <c r="S4">
        <v>0</v>
      </c>
      <c r="T4">
        <v>0</v>
      </c>
      <c r="U4">
        <v>-1</v>
      </c>
      <c r="V4">
        <v>2020</v>
      </c>
      <c r="AE4" t="s">
        <v>86</v>
      </c>
      <c r="AF4">
        <v>0</v>
      </c>
    </row>
    <row r="5" spans="1:32" x14ac:dyDescent="0.3">
      <c r="A5" t="s">
        <v>8</v>
      </c>
      <c r="B5" t="s">
        <v>9</v>
      </c>
      <c r="C5" t="s">
        <v>10</v>
      </c>
      <c r="D5" t="s">
        <v>12</v>
      </c>
      <c r="E5" t="s">
        <v>14</v>
      </c>
      <c r="F5" t="s">
        <v>18</v>
      </c>
      <c r="G5" s="5"/>
      <c r="J5" s="9"/>
      <c r="K5" t="s">
        <v>46</v>
      </c>
      <c r="L5" t="s">
        <v>58</v>
      </c>
      <c r="M5" t="str" cm="1">
        <f t="array" ref="M5">_xlfn.XLOOKUP(L5, '[1]Function options'!$A$2:$A$17, '[1]Function options'!$B$2:B$17, "Not found")</f>
        <v>y = k0 + k1 * ((1 + k2 / 100) ^ (DDr1 - k3))</v>
      </c>
      <c r="N5" s="2" t="s">
        <v>42</v>
      </c>
      <c r="O5" s="2"/>
      <c r="Q5" t="s">
        <v>25</v>
      </c>
      <c r="R5">
        <f t="shared" si="0"/>
        <v>2.7777777777777776E-7</v>
      </c>
      <c r="S5">
        <v>0</v>
      </c>
      <c r="T5">
        <v>19</v>
      </c>
      <c r="U5">
        <v>-1</v>
      </c>
      <c r="V5">
        <v>2020</v>
      </c>
      <c r="AE5" t="s">
        <v>85</v>
      </c>
      <c r="AF5" s="16">
        <f>1/2*T5</f>
        <v>9.5</v>
      </c>
    </row>
    <row r="6" spans="1:32" x14ac:dyDescent="0.3">
      <c r="A6" t="s">
        <v>8</v>
      </c>
      <c r="B6" t="s">
        <v>9</v>
      </c>
      <c r="C6" t="s">
        <v>10</v>
      </c>
      <c r="D6" t="s">
        <v>12</v>
      </c>
      <c r="E6" t="s">
        <v>14</v>
      </c>
      <c r="F6" t="s">
        <v>18</v>
      </c>
      <c r="G6" s="5"/>
      <c r="H6" t="s">
        <v>20</v>
      </c>
      <c r="J6" s="9"/>
      <c r="K6" t="s">
        <v>41</v>
      </c>
      <c r="L6" t="s">
        <v>50</v>
      </c>
      <c r="M6" t="str" cm="1">
        <f t="array" ref="M6">_xlfn.XLOOKUP(L6, '[1]Function options'!$A$2:$A$17, '[1]Function options'!$B$2:B$17, "Not found")</f>
        <v>y = const = y(t_hist)</v>
      </c>
      <c r="N6" s="2"/>
      <c r="O6" s="2"/>
      <c r="Q6" t="s">
        <v>26</v>
      </c>
      <c r="R6">
        <v>0.01</v>
      </c>
      <c r="AF6">
        <v>0</v>
      </c>
    </row>
    <row r="7" spans="1:32" x14ac:dyDescent="0.3">
      <c r="A7" t="s">
        <v>8</v>
      </c>
      <c r="B7" t="s">
        <v>9</v>
      </c>
      <c r="C7" t="s">
        <v>10</v>
      </c>
      <c r="D7" t="s">
        <v>12</v>
      </c>
      <c r="E7" t="s">
        <v>14</v>
      </c>
      <c r="F7" t="s">
        <v>18</v>
      </c>
      <c r="G7" s="5"/>
      <c r="H7" t="s">
        <v>21</v>
      </c>
      <c r="J7" s="9"/>
      <c r="K7" t="s">
        <v>41</v>
      </c>
      <c r="L7" t="s">
        <v>50</v>
      </c>
      <c r="M7" t="str" cm="1">
        <f t="array" ref="M7">_xlfn.XLOOKUP(L7, '[1]Function options'!$A$2:$A$17, '[1]Function options'!$B$2:B$17, "Not found")</f>
        <v>y = const = y(t_hist)</v>
      </c>
      <c r="N7" s="2"/>
      <c r="O7" s="2"/>
      <c r="P7" s="4"/>
      <c r="Q7" t="s">
        <v>26</v>
      </c>
      <c r="R7">
        <v>0.01</v>
      </c>
      <c r="AF7">
        <v>0</v>
      </c>
    </row>
    <row r="8" spans="1:32" x14ac:dyDescent="0.3">
      <c r="A8" t="s">
        <v>8</v>
      </c>
      <c r="B8" t="s">
        <v>9</v>
      </c>
      <c r="C8" t="s">
        <v>10</v>
      </c>
      <c r="D8" t="s">
        <v>12</v>
      </c>
      <c r="E8" t="s">
        <v>14</v>
      </c>
      <c r="F8" t="s">
        <v>18</v>
      </c>
      <c r="G8" s="5"/>
      <c r="H8" t="s">
        <v>22</v>
      </c>
      <c r="J8" s="9"/>
      <c r="K8" t="s">
        <v>41</v>
      </c>
      <c r="L8" t="s">
        <v>50</v>
      </c>
      <c r="M8" t="str" cm="1">
        <f t="array" ref="M8">_xlfn.XLOOKUP(L8, '[1]Function options'!$A$2:$A$17, '[1]Function options'!$B$2:B$17, "Not found")</f>
        <v>y = const = y(t_hist)</v>
      </c>
      <c r="N8" s="2"/>
      <c r="O8" s="2"/>
      <c r="Q8" t="s">
        <v>26</v>
      </c>
      <c r="R8">
        <v>0.01</v>
      </c>
      <c r="AF8">
        <v>0</v>
      </c>
    </row>
    <row r="9" spans="1:32" x14ac:dyDescent="0.3">
      <c r="A9" t="s">
        <v>8</v>
      </c>
      <c r="B9" t="s">
        <v>9</v>
      </c>
      <c r="C9" t="s">
        <v>10</v>
      </c>
      <c r="D9" t="s">
        <v>12</v>
      </c>
      <c r="E9" t="s">
        <v>14</v>
      </c>
      <c r="F9" t="s">
        <v>18</v>
      </c>
      <c r="G9" s="5"/>
      <c r="H9" t="s">
        <v>23</v>
      </c>
      <c r="J9" s="9"/>
      <c r="K9" t="s">
        <v>41</v>
      </c>
      <c r="L9" t="s">
        <v>50</v>
      </c>
      <c r="M9" t="str" cm="1">
        <f t="array" ref="M9">_xlfn.XLOOKUP(L9, '[1]Function options'!$A$2:$A$17, '[1]Function options'!$B$2:B$17, "Not found")</f>
        <v>y = const = y(t_hist)</v>
      </c>
      <c r="N9" s="2"/>
      <c r="O9" s="2"/>
      <c r="P9" s="4"/>
      <c r="Q9" t="s">
        <v>26</v>
      </c>
      <c r="R9">
        <v>0.01</v>
      </c>
      <c r="AF9">
        <v>0</v>
      </c>
    </row>
    <row r="10" spans="1:32" x14ac:dyDescent="0.3">
      <c r="A10" t="s">
        <v>8</v>
      </c>
      <c r="B10" t="s">
        <v>9</v>
      </c>
      <c r="C10" t="s">
        <v>10</v>
      </c>
      <c r="D10" t="s">
        <v>12</v>
      </c>
      <c r="E10" t="s">
        <v>14</v>
      </c>
      <c r="F10" t="s">
        <v>18</v>
      </c>
      <c r="G10" s="5"/>
      <c r="H10" t="s">
        <v>24</v>
      </c>
      <c r="J10" s="9"/>
      <c r="K10" t="s">
        <v>41</v>
      </c>
      <c r="L10" t="s">
        <v>50</v>
      </c>
      <c r="M10" t="str" cm="1">
        <f t="array" ref="M10">_xlfn.XLOOKUP(L10, '[1]Function options'!$A$2:$A$17, '[1]Function options'!$B$2:B$17, "Not found")</f>
        <v>y = const = y(t_hist)</v>
      </c>
      <c r="N10" s="2"/>
      <c r="O10" s="2"/>
      <c r="Q10" t="s">
        <v>26</v>
      </c>
      <c r="R10">
        <v>0.01</v>
      </c>
      <c r="AF10">
        <v>0</v>
      </c>
    </row>
    <row r="11" spans="1:32" x14ac:dyDescent="0.3">
      <c r="A11" t="s">
        <v>8</v>
      </c>
      <c r="B11" t="s">
        <v>9</v>
      </c>
      <c r="C11" t="s">
        <v>10</v>
      </c>
      <c r="D11" t="s">
        <v>12</v>
      </c>
      <c r="E11" t="s">
        <v>15</v>
      </c>
      <c r="F11" t="s">
        <v>16</v>
      </c>
      <c r="G11" s="5"/>
      <c r="J11" s="9"/>
      <c r="K11" t="s">
        <v>46</v>
      </c>
      <c r="L11" t="s">
        <v>58</v>
      </c>
      <c r="M11" t="str" cm="1">
        <f t="array" ref="M11">_xlfn.XLOOKUP(L11, '[1]Function options'!$A$2:$A$17, '[1]Function options'!$B$2:B$17, "Not found")</f>
        <v>y = k0 + k1 * ((1 + k2 / 100) ^ (DDr1 - k3))</v>
      </c>
      <c r="N11" s="2" t="s">
        <v>42</v>
      </c>
      <c r="O11" s="2"/>
      <c r="Q11" t="s">
        <v>25</v>
      </c>
      <c r="R11">
        <f t="shared" ref="R11:R13" si="1">1/1000/3600</f>
        <v>2.7777777777777776E-7</v>
      </c>
      <c r="S11">
        <v>0</v>
      </c>
      <c r="T11">
        <v>1</v>
      </c>
      <c r="U11">
        <v>-1</v>
      </c>
      <c r="V11">
        <v>2020</v>
      </c>
      <c r="AE11" t="s">
        <v>86</v>
      </c>
      <c r="AF11" s="16">
        <f>1/2*T11</f>
        <v>0.5</v>
      </c>
    </row>
    <row r="12" spans="1:32" x14ac:dyDescent="0.3">
      <c r="A12" t="s">
        <v>8</v>
      </c>
      <c r="B12" t="s">
        <v>9</v>
      </c>
      <c r="C12" t="s">
        <v>10</v>
      </c>
      <c r="D12" t="s">
        <v>12</v>
      </c>
      <c r="E12" t="s">
        <v>15</v>
      </c>
      <c r="F12" t="s">
        <v>17</v>
      </c>
      <c r="G12" s="5"/>
      <c r="J12" s="9"/>
      <c r="K12" t="s">
        <v>46</v>
      </c>
      <c r="L12" t="s">
        <v>58</v>
      </c>
      <c r="M12" t="str" cm="1">
        <f t="array" ref="M12">_xlfn.XLOOKUP(L12, '[1]Function options'!$A$2:$A$17, '[1]Function options'!$B$2:B$17, "Not found")</f>
        <v>y = k0 + k1 * ((1 + k2 / 100) ^ (DDr1 - k3))</v>
      </c>
      <c r="N12" s="2" t="s">
        <v>42</v>
      </c>
      <c r="O12" s="2"/>
      <c r="Q12" t="s">
        <v>25</v>
      </c>
      <c r="R12">
        <f t="shared" si="1"/>
        <v>2.7777777777777776E-7</v>
      </c>
      <c r="S12">
        <v>0</v>
      </c>
      <c r="T12">
        <v>6</v>
      </c>
      <c r="U12">
        <v>-1</v>
      </c>
      <c r="V12">
        <v>2020</v>
      </c>
      <c r="AE12" t="s">
        <v>86</v>
      </c>
      <c r="AF12" s="16">
        <f>1/2*T12</f>
        <v>3</v>
      </c>
    </row>
    <row r="13" spans="1:32" x14ac:dyDescent="0.3">
      <c r="A13" t="s">
        <v>8</v>
      </c>
      <c r="B13" t="s">
        <v>9</v>
      </c>
      <c r="C13" t="s">
        <v>10</v>
      </c>
      <c r="D13" t="s">
        <v>12</v>
      </c>
      <c r="E13" t="s">
        <v>15</v>
      </c>
      <c r="F13" t="s">
        <v>18</v>
      </c>
      <c r="G13" s="5"/>
      <c r="J13" s="9"/>
      <c r="K13" t="s">
        <v>46</v>
      </c>
      <c r="L13" t="s">
        <v>58</v>
      </c>
      <c r="M13" t="str" cm="1">
        <f t="array" ref="M13">_xlfn.XLOOKUP(L13, '[1]Function options'!$A$2:$A$17, '[1]Function options'!$B$2:B$17, "Not found")</f>
        <v>y = k0 + k1 * ((1 + k2 / 100) ^ (DDr1 - k3))</v>
      </c>
      <c r="N13" s="2" t="s">
        <v>42</v>
      </c>
      <c r="O13" s="2"/>
      <c r="Q13" t="s">
        <v>25</v>
      </c>
      <c r="R13">
        <f t="shared" si="1"/>
        <v>2.7777777777777776E-7</v>
      </c>
      <c r="S13">
        <v>0</v>
      </c>
      <c r="T13">
        <v>0</v>
      </c>
      <c r="U13">
        <v>-1</v>
      </c>
      <c r="V13">
        <v>2020</v>
      </c>
      <c r="AE13" t="s">
        <v>86</v>
      </c>
      <c r="AF13">
        <v>0</v>
      </c>
    </row>
    <row r="14" spans="1:32" x14ac:dyDescent="0.3">
      <c r="A14" t="s">
        <v>8</v>
      </c>
      <c r="B14" t="s">
        <v>9</v>
      </c>
      <c r="C14" t="s">
        <v>10</v>
      </c>
      <c r="D14" t="s">
        <v>12</v>
      </c>
      <c r="E14" t="s">
        <v>15</v>
      </c>
      <c r="F14" t="s">
        <v>18</v>
      </c>
      <c r="G14" s="5"/>
      <c r="H14" t="s">
        <v>20</v>
      </c>
      <c r="J14" s="9"/>
      <c r="K14" t="s">
        <v>41</v>
      </c>
      <c r="L14" t="s">
        <v>50</v>
      </c>
      <c r="M14" t="str" cm="1">
        <f t="array" ref="M14">_xlfn.XLOOKUP(L14, '[1]Function options'!$A$2:$A$17, '[1]Function options'!$B$2:B$17, "Not found")</f>
        <v>y = const = y(t_hist)</v>
      </c>
      <c r="N14" s="2"/>
      <c r="O14" s="2"/>
      <c r="Q14" t="s">
        <v>26</v>
      </c>
      <c r="R14">
        <v>0.01</v>
      </c>
      <c r="AF14">
        <v>0</v>
      </c>
    </row>
    <row r="15" spans="1:32" x14ac:dyDescent="0.3">
      <c r="A15" t="s">
        <v>8</v>
      </c>
      <c r="B15" t="s">
        <v>9</v>
      </c>
      <c r="C15" t="s">
        <v>10</v>
      </c>
      <c r="D15" t="s">
        <v>12</v>
      </c>
      <c r="E15" t="s">
        <v>15</v>
      </c>
      <c r="F15" t="s">
        <v>18</v>
      </c>
      <c r="G15" s="5"/>
      <c r="H15" t="s">
        <v>21</v>
      </c>
      <c r="J15" s="9"/>
      <c r="K15" t="s">
        <v>41</v>
      </c>
      <c r="L15" t="s">
        <v>50</v>
      </c>
      <c r="M15" t="str" cm="1">
        <f t="array" ref="M15">_xlfn.XLOOKUP(L15, '[1]Function options'!$A$2:$A$17, '[1]Function options'!$B$2:B$17, "Not found")</f>
        <v>y = const = y(t_hist)</v>
      </c>
      <c r="N15" s="2"/>
      <c r="O15" s="2"/>
      <c r="Q15" t="s">
        <v>26</v>
      </c>
      <c r="R15">
        <v>0.01</v>
      </c>
      <c r="AF15">
        <v>0</v>
      </c>
    </row>
    <row r="16" spans="1:32" x14ac:dyDescent="0.3">
      <c r="A16" t="s">
        <v>8</v>
      </c>
      <c r="B16" t="s">
        <v>9</v>
      </c>
      <c r="C16" t="s">
        <v>10</v>
      </c>
      <c r="D16" t="s">
        <v>12</v>
      </c>
      <c r="E16" t="s">
        <v>15</v>
      </c>
      <c r="F16" t="s">
        <v>18</v>
      </c>
      <c r="G16" s="5"/>
      <c r="H16" t="s">
        <v>22</v>
      </c>
      <c r="J16" s="9"/>
      <c r="K16" t="s">
        <v>41</v>
      </c>
      <c r="L16" t="s">
        <v>50</v>
      </c>
      <c r="M16" t="str" cm="1">
        <f t="array" ref="M16">_xlfn.XLOOKUP(L16, '[1]Function options'!$A$2:$A$17, '[1]Function options'!$B$2:B$17, "Not found")</f>
        <v>y = const = y(t_hist)</v>
      </c>
      <c r="N16" s="2"/>
      <c r="O16" s="2"/>
      <c r="Q16" t="s">
        <v>26</v>
      </c>
      <c r="R16">
        <v>0.01</v>
      </c>
      <c r="AF16">
        <v>0</v>
      </c>
    </row>
    <row r="17" spans="1:32" x14ac:dyDescent="0.3">
      <c r="A17" t="s">
        <v>8</v>
      </c>
      <c r="B17" t="s">
        <v>9</v>
      </c>
      <c r="C17" t="s">
        <v>10</v>
      </c>
      <c r="D17" t="s">
        <v>12</v>
      </c>
      <c r="E17" t="s">
        <v>15</v>
      </c>
      <c r="F17" t="s">
        <v>18</v>
      </c>
      <c r="G17" s="5"/>
      <c r="H17" t="s">
        <v>23</v>
      </c>
      <c r="J17" s="9"/>
      <c r="K17" t="s">
        <v>41</v>
      </c>
      <c r="L17" t="s">
        <v>50</v>
      </c>
      <c r="M17" t="str" cm="1">
        <f t="array" ref="M17">_xlfn.XLOOKUP(L17, '[1]Function options'!$A$2:$A$17, '[1]Function options'!$B$2:B$17, "Not found")</f>
        <v>y = const = y(t_hist)</v>
      </c>
      <c r="N17" s="2"/>
      <c r="O17" s="2"/>
      <c r="Q17" t="s">
        <v>26</v>
      </c>
      <c r="R17">
        <v>0.01</v>
      </c>
      <c r="AF17">
        <v>0</v>
      </c>
    </row>
    <row r="18" spans="1:32" x14ac:dyDescent="0.3">
      <c r="A18" t="s">
        <v>8</v>
      </c>
      <c r="B18" t="s">
        <v>9</v>
      </c>
      <c r="C18" t="s">
        <v>10</v>
      </c>
      <c r="D18" t="s">
        <v>12</v>
      </c>
      <c r="E18" t="s">
        <v>15</v>
      </c>
      <c r="F18" t="s">
        <v>18</v>
      </c>
      <c r="G18" s="5"/>
      <c r="H18" t="s">
        <v>24</v>
      </c>
      <c r="J18" s="9"/>
      <c r="K18" t="s">
        <v>41</v>
      </c>
      <c r="L18" t="s">
        <v>50</v>
      </c>
      <c r="M18" t="str" cm="1">
        <f t="array" ref="M18">_xlfn.XLOOKUP(L18, '[1]Function options'!$A$2:$A$17, '[1]Function options'!$B$2:B$17, "Not found")</f>
        <v>y = const = y(t_hist)</v>
      </c>
      <c r="N18" s="2"/>
      <c r="O18" s="2"/>
      <c r="Q18" t="s">
        <v>26</v>
      </c>
      <c r="R18">
        <v>0.01</v>
      </c>
      <c r="AF18">
        <v>0</v>
      </c>
    </row>
    <row r="19" spans="1:32" x14ac:dyDescent="0.3">
      <c r="A19" t="s">
        <v>8</v>
      </c>
      <c r="B19" t="s">
        <v>9</v>
      </c>
      <c r="C19" t="s">
        <v>10</v>
      </c>
      <c r="D19" t="s">
        <v>13</v>
      </c>
      <c r="E19" t="s">
        <v>14</v>
      </c>
      <c r="G19" s="5"/>
      <c r="J19" s="9"/>
      <c r="K19" t="s">
        <v>46</v>
      </c>
      <c r="L19" t="s">
        <v>47</v>
      </c>
      <c r="M19" t="str" cm="1">
        <f t="array" ref="M19">_xlfn.XLOOKUP(L19, '[1]Function options'!$A$2:$A$17, '[1]Function options'!$B$2:B$17, "Not found")</f>
        <v>lin interpolation between given points - based on driver as x-aches</v>
      </c>
      <c r="N19" t="s">
        <v>42</v>
      </c>
      <c r="O19" s="2"/>
      <c r="Q19" t="s">
        <v>26</v>
      </c>
      <c r="R19">
        <v>0.01</v>
      </c>
      <c r="Z19">
        <v>100</v>
      </c>
      <c r="AC19">
        <v>0</v>
      </c>
      <c r="AE19" t="s">
        <v>86</v>
      </c>
      <c r="AF19">
        <v>0</v>
      </c>
    </row>
    <row r="20" spans="1:32" x14ac:dyDescent="0.3">
      <c r="A20" t="s">
        <v>8</v>
      </c>
      <c r="B20" t="s">
        <v>9</v>
      </c>
      <c r="C20" t="s">
        <v>10</v>
      </c>
      <c r="D20" t="s">
        <v>13</v>
      </c>
      <c r="E20" t="s">
        <v>15</v>
      </c>
      <c r="G20" s="5"/>
      <c r="J20" s="9"/>
      <c r="K20" t="s">
        <v>46</v>
      </c>
      <c r="L20" t="s">
        <v>47</v>
      </c>
      <c r="M20" t="str" cm="1">
        <f t="array" ref="M20">_xlfn.XLOOKUP(L20, '[1]Function options'!$A$2:$A$17, '[1]Function options'!$B$2:B$17, "Not found")</f>
        <v>lin interpolation between given points - based on driver as x-aches</v>
      </c>
      <c r="N20" t="s">
        <v>42</v>
      </c>
      <c r="O20" s="2"/>
      <c r="Q20" t="s">
        <v>26</v>
      </c>
      <c r="R20">
        <v>0.01</v>
      </c>
      <c r="Z20">
        <v>0</v>
      </c>
      <c r="AC20">
        <v>100</v>
      </c>
      <c r="AE20" t="s">
        <v>86</v>
      </c>
      <c r="AF20">
        <v>0</v>
      </c>
    </row>
    <row r="21" spans="1:32" x14ac:dyDescent="0.3">
      <c r="A21" s="5" t="s">
        <v>8</v>
      </c>
      <c r="B21" s="5" t="s">
        <v>8</v>
      </c>
      <c r="C21" s="5" t="s">
        <v>8</v>
      </c>
      <c r="D21" s="5" t="s">
        <v>76</v>
      </c>
      <c r="E21" s="5" t="s">
        <v>8</v>
      </c>
      <c r="F21" s="5" t="s">
        <v>18</v>
      </c>
      <c r="G21" s="5" t="s">
        <v>77</v>
      </c>
      <c r="H21" s="5" t="s">
        <v>19</v>
      </c>
      <c r="I21" s="5" t="s">
        <v>8</v>
      </c>
      <c r="J21" s="5" t="s">
        <v>8</v>
      </c>
      <c r="K21" s="5" t="s">
        <v>46</v>
      </c>
      <c r="L21" s="5" t="s">
        <v>45</v>
      </c>
      <c r="M21" t="str" cm="1">
        <f t="array" ref="M21">_xlfn.XLOOKUP(L21, '[2]Function options'!$A$2:$A$21, '[2]Function options'!$B$2:B$21, "Not found")</f>
        <v>y = const = k0</v>
      </c>
      <c r="N21" s="11"/>
      <c r="O21" s="5"/>
      <c r="P21" s="5"/>
      <c r="Q21" s="5" t="s">
        <v>26</v>
      </c>
      <c r="R21" s="5">
        <v>0.01</v>
      </c>
      <c r="S21" s="5">
        <v>90.75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t="s">
        <v>85</v>
      </c>
      <c r="AF21" s="5">
        <v>0</v>
      </c>
    </row>
    <row r="22" spans="1:32" x14ac:dyDescent="0.3">
      <c r="A22" s="5" t="s">
        <v>8</v>
      </c>
      <c r="B22" s="5" t="s">
        <v>8</v>
      </c>
      <c r="C22" s="5" t="s">
        <v>8</v>
      </c>
      <c r="D22" s="5" t="s">
        <v>76</v>
      </c>
      <c r="E22" s="5" t="s">
        <v>8</v>
      </c>
      <c r="F22" s="5" t="s">
        <v>18</v>
      </c>
      <c r="G22" s="5" t="s">
        <v>77</v>
      </c>
      <c r="H22" s="5" t="s">
        <v>20</v>
      </c>
      <c r="I22" s="5" t="s">
        <v>8</v>
      </c>
      <c r="J22" s="5" t="s">
        <v>8</v>
      </c>
      <c r="K22" s="5" t="s">
        <v>46</v>
      </c>
      <c r="L22" s="5" t="s">
        <v>45</v>
      </c>
      <c r="M22" t="str" cm="1">
        <f t="array" ref="M22">_xlfn.XLOOKUP(L22, '[2]Function options'!$A$2:$A$21, '[2]Function options'!$B$2:B$21, "Not found")</f>
        <v>y = const = k0</v>
      </c>
      <c r="N22" s="11"/>
      <c r="O22" s="5"/>
      <c r="P22" s="5"/>
      <c r="Q22" s="5" t="s">
        <v>26</v>
      </c>
      <c r="R22" s="5">
        <v>0.01</v>
      </c>
      <c r="S22" s="5">
        <v>90.75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t="s">
        <v>85</v>
      </c>
      <c r="AF22" s="5">
        <v>0</v>
      </c>
    </row>
    <row r="23" spans="1:32" s="5" customFormat="1" x14ac:dyDescent="0.3">
      <c r="A23" s="5" t="s">
        <v>8</v>
      </c>
      <c r="B23" s="5" t="s">
        <v>8</v>
      </c>
      <c r="C23" s="5" t="s">
        <v>8</v>
      </c>
      <c r="D23" s="5" t="s">
        <v>76</v>
      </c>
      <c r="E23" s="5" t="s">
        <v>8</v>
      </c>
      <c r="F23" s="5" t="s">
        <v>18</v>
      </c>
      <c r="G23" s="5" t="s">
        <v>77</v>
      </c>
      <c r="H23" s="5" t="s">
        <v>21</v>
      </c>
      <c r="I23" s="5" t="s">
        <v>8</v>
      </c>
      <c r="J23" s="5" t="s">
        <v>8</v>
      </c>
      <c r="K23" s="5" t="s">
        <v>46</v>
      </c>
      <c r="L23" s="5" t="s">
        <v>45</v>
      </c>
      <c r="M23" t="str" cm="1">
        <f t="array" ref="M23">_xlfn.XLOOKUP(L23, '[2]Function options'!$A$2:$A$21, '[2]Function options'!$B$2:B$21, "Not found")</f>
        <v>y = const = k0</v>
      </c>
      <c r="N23" s="11"/>
      <c r="Q23" s="5" t="s">
        <v>26</v>
      </c>
      <c r="R23" s="5">
        <v>0.01</v>
      </c>
      <c r="S23" s="5">
        <v>90.75</v>
      </c>
      <c r="AE23" t="s">
        <v>85</v>
      </c>
      <c r="AF23" s="5">
        <v>0</v>
      </c>
    </row>
    <row r="24" spans="1:32" s="5" customFormat="1" x14ac:dyDescent="0.3">
      <c r="A24" s="5" t="s">
        <v>8</v>
      </c>
      <c r="B24" s="5" t="s">
        <v>8</v>
      </c>
      <c r="C24" s="5" t="s">
        <v>8</v>
      </c>
      <c r="D24" s="5" t="s">
        <v>76</v>
      </c>
      <c r="E24" s="5" t="s">
        <v>8</v>
      </c>
      <c r="F24" s="5" t="s">
        <v>18</v>
      </c>
      <c r="G24" s="5" t="s">
        <v>77</v>
      </c>
      <c r="H24" s="5" t="s">
        <v>22</v>
      </c>
      <c r="I24" s="5" t="s">
        <v>8</v>
      </c>
      <c r="J24" s="5" t="s">
        <v>8</v>
      </c>
      <c r="K24" s="5" t="s">
        <v>46</v>
      </c>
      <c r="L24" s="5" t="s">
        <v>45</v>
      </c>
      <c r="M24" t="str" cm="1">
        <f t="array" ref="M24">_xlfn.XLOOKUP(L24, '[2]Function options'!$A$2:$A$21, '[2]Function options'!$B$2:B$21, "Not found")</f>
        <v>y = const = k0</v>
      </c>
      <c r="N24" s="11"/>
      <c r="Q24" s="5" t="s">
        <v>26</v>
      </c>
      <c r="R24" s="5">
        <v>0.01</v>
      </c>
      <c r="S24" s="5">
        <v>90.75</v>
      </c>
      <c r="AE24" t="s">
        <v>85</v>
      </c>
      <c r="AF24" s="5">
        <v>0</v>
      </c>
    </row>
    <row r="25" spans="1:32" s="5" customFormat="1" x14ac:dyDescent="0.3">
      <c r="A25" s="5" t="s">
        <v>8</v>
      </c>
      <c r="B25" s="5" t="s">
        <v>8</v>
      </c>
      <c r="C25" s="5" t="s">
        <v>8</v>
      </c>
      <c r="D25" s="5" t="s">
        <v>76</v>
      </c>
      <c r="E25" s="5" t="s">
        <v>8</v>
      </c>
      <c r="F25" s="5" t="s">
        <v>18</v>
      </c>
      <c r="G25" s="5" t="s">
        <v>77</v>
      </c>
      <c r="H25" s="5" t="s">
        <v>23</v>
      </c>
      <c r="I25" s="5" t="s">
        <v>8</v>
      </c>
      <c r="J25" s="5" t="s">
        <v>8</v>
      </c>
      <c r="K25" s="5" t="s">
        <v>46</v>
      </c>
      <c r="L25" s="5" t="s">
        <v>45</v>
      </c>
      <c r="M25" t="str" cm="1">
        <f t="array" ref="M25">_xlfn.XLOOKUP(L25, '[2]Function options'!$A$2:$A$21, '[2]Function options'!$B$2:B$21, "Not found")</f>
        <v>y = const = k0</v>
      </c>
      <c r="N25" s="11"/>
      <c r="Q25" s="5" t="s">
        <v>26</v>
      </c>
      <c r="R25" s="5">
        <v>0.01</v>
      </c>
      <c r="S25" s="5">
        <v>90.75</v>
      </c>
      <c r="AE25" t="s">
        <v>85</v>
      </c>
      <c r="AF25" s="5">
        <v>0</v>
      </c>
    </row>
    <row r="26" spans="1:32" s="5" customFormat="1" x14ac:dyDescent="0.3">
      <c r="A26" s="5" t="s">
        <v>8</v>
      </c>
      <c r="B26" s="5" t="s">
        <v>8</v>
      </c>
      <c r="C26" s="5" t="s">
        <v>8</v>
      </c>
      <c r="D26" s="5" t="s">
        <v>76</v>
      </c>
      <c r="E26" s="5" t="s">
        <v>8</v>
      </c>
      <c r="F26" s="5" t="s">
        <v>18</v>
      </c>
      <c r="G26" s="5" t="s">
        <v>77</v>
      </c>
      <c r="H26" s="5" t="s">
        <v>24</v>
      </c>
      <c r="I26" s="5" t="s">
        <v>8</v>
      </c>
      <c r="J26" s="5" t="s">
        <v>8</v>
      </c>
      <c r="K26" s="5" t="s">
        <v>46</v>
      </c>
      <c r="L26" s="5" t="s">
        <v>45</v>
      </c>
      <c r="M26" t="str" cm="1">
        <f t="array" ref="M26">_xlfn.XLOOKUP(L26, '[2]Function options'!$A$2:$A$21, '[2]Function options'!$B$2:B$21, "Not found")</f>
        <v>y = const = k0</v>
      </c>
      <c r="N26" s="11"/>
      <c r="Q26" s="5" t="s">
        <v>26</v>
      </c>
      <c r="R26" s="5">
        <v>0.01</v>
      </c>
      <c r="S26" s="5">
        <v>90.75</v>
      </c>
      <c r="AE26" t="s">
        <v>85</v>
      </c>
      <c r="AF26" s="5">
        <v>0</v>
      </c>
    </row>
    <row r="27" spans="1:32" s="5" customFormat="1" x14ac:dyDescent="0.3">
      <c r="A27" s="5" t="s">
        <v>8</v>
      </c>
      <c r="B27" s="5" t="s">
        <v>8</v>
      </c>
      <c r="C27" s="5" t="s">
        <v>8</v>
      </c>
      <c r="D27" s="5" t="s">
        <v>76</v>
      </c>
      <c r="E27" s="5" t="s">
        <v>8</v>
      </c>
      <c r="F27" s="5" t="s">
        <v>18</v>
      </c>
      <c r="G27" s="5" t="s">
        <v>78</v>
      </c>
      <c r="H27" s="5" t="s">
        <v>19</v>
      </c>
      <c r="I27" s="5" t="s">
        <v>8</v>
      </c>
      <c r="J27" s="5" t="s">
        <v>8</v>
      </c>
      <c r="K27" s="5" t="s">
        <v>46</v>
      </c>
      <c r="L27" s="5" t="s">
        <v>45</v>
      </c>
      <c r="M27" t="str" cm="1">
        <f t="array" ref="M27">_xlfn.XLOOKUP(L27, '[2]Function options'!$A$2:$A$21, '[2]Function options'!$B$2:B$21, "Not found")</f>
        <v>y = const = k0</v>
      </c>
      <c r="N27" s="11"/>
      <c r="Q27" s="5" t="s">
        <v>26</v>
      </c>
      <c r="R27" s="5">
        <v>0.01</v>
      </c>
      <c r="S27" s="5">
        <v>90</v>
      </c>
      <c r="AE27" t="s">
        <v>85</v>
      </c>
      <c r="AF27" s="5">
        <v>0</v>
      </c>
    </row>
    <row r="28" spans="1:32" s="5" customFormat="1" x14ac:dyDescent="0.3">
      <c r="A28" s="5" t="s">
        <v>8</v>
      </c>
      <c r="B28" s="5" t="s">
        <v>8</v>
      </c>
      <c r="C28" s="5" t="s">
        <v>8</v>
      </c>
      <c r="D28" s="5" t="s">
        <v>76</v>
      </c>
      <c r="E28" s="5" t="s">
        <v>8</v>
      </c>
      <c r="F28" s="5" t="s">
        <v>18</v>
      </c>
      <c r="G28" s="5" t="s">
        <v>78</v>
      </c>
      <c r="H28" s="5" t="s">
        <v>20</v>
      </c>
      <c r="I28" s="5" t="s">
        <v>8</v>
      </c>
      <c r="J28" s="5" t="s">
        <v>8</v>
      </c>
      <c r="K28" s="5" t="s">
        <v>46</v>
      </c>
      <c r="L28" s="5" t="s">
        <v>45</v>
      </c>
      <c r="M28" t="str" cm="1">
        <f t="array" ref="M28">_xlfn.XLOOKUP(L28, '[2]Function options'!$A$2:$A$21, '[2]Function options'!$B$2:B$21, "Not found")</f>
        <v>y = const = k0</v>
      </c>
      <c r="N28" s="11"/>
      <c r="Q28" s="5" t="s">
        <v>26</v>
      </c>
      <c r="R28" s="5">
        <v>0.01</v>
      </c>
      <c r="S28" s="5">
        <v>90</v>
      </c>
      <c r="AE28" t="s">
        <v>85</v>
      </c>
      <c r="AF28" s="5">
        <v>0</v>
      </c>
    </row>
    <row r="29" spans="1:32" s="5" customFormat="1" x14ac:dyDescent="0.3">
      <c r="A29" s="5" t="s">
        <v>8</v>
      </c>
      <c r="B29" s="5" t="s">
        <v>8</v>
      </c>
      <c r="C29" s="5" t="s">
        <v>8</v>
      </c>
      <c r="D29" s="5" t="s">
        <v>76</v>
      </c>
      <c r="E29" s="5" t="s">
        <v>8</v>
      </c>
      <c r="F29" s="5" t="s">
        <v>18</v>
      </c>
      <c r="G29" s="5" t="s">
        <v>78</v>
      </c>
      <c r="H29" s="5" t="s">
        <v>21</v>
      </c>
      <c r="I29" s="5" t="s">
        <v>8</v>
      </c>
      <c r="J29" s="5" t="s">
        <v>8</v>
      </c>
      <c r="K29" s="5" t="s">
        <v>46</v>
      </c>
      <c r="L29" s="5" t="s">
        <v>45</v>
      </c>
      <c r="M29" t="str" cm="1">
        <f t="array" ref="M29">_xlfn.XLOOKUP(L29, '[2]Function options'!$A$2:$A$21, '[2]Function options'!$B$2:B$21, "Not found")</f>
        <v>y = const = k0</v>
      </c>
      <c r="N29" s="11"/>
      <c r="Q29" s="5" t="s">
        <v>26</v>
      </c>
      <c r="R29" s="5">
        <v>0.01</v>
      </c>
      <c r="S29" s="5">
        <v>90</v>
      </c>
      <c r="AE29" t="s">
        <v>85</v>
      </c>
      <c r="AF29" s="5">
        <v>0</v>
      </c>
    </row>
    <row r="30" spans="1:32" s="5" customFormat="1" x14ac:dyDescent="0.3">
      <c r="A30" s="5" t="s">
        <v>8</v>
      </c>
      <c r="B30" s="5" t="s">
        <v>8</v>
      </c>
      <c r="C30" s="5" t="s">
        <v>8</v>
      </c>
      <c r="D30" s="5" t="s">
        <v>76</v>
      </c>
      <c r="E30" s="5" t="s">
        <v>8</v>
      </c>
      <c r="F30" s="5" t="s">
        <v>18</v>
      </c>
      <c r="G30" s="5" t="s">
        <v>78</v>
      </c>
      <c r="H30" s="5" t="s">
        <v>22</v>
      </c>
      <c r="I30" s="5" t="s">
        <v>8</v>
      </c>
      <c r="J30" s="5" t="s">
        <v>8</v>
      </c>
      <c r="K30" s="5" t="s">
        <v>46</v>
      </c>
      <c r="L30" s="5" t="s">
        <v>45</v>
      </c>
      <c r="M30" t="str" cm="1">
        <f t="array" ref="M30">_xlfn.XLOOKUP(L30, '[2]Function options'!$A$2:$A$21, '[2]Function options'!$B$2:B$21, "Not found")</f>
        <v>y = const = k0</v>
      </c>
      <c r="N30" s="11"/>
      <c r="Q30" s="5" t="s">
        <v>26</v>
      </c>
      <c r="R30" s="5">
        <v>0.01</v>
      </c>
      <c r="S30" s="5">
        <v>90</v>
      </c>
      <c r="AE30" t="s">
        <v>85</v>
      </c>
      <c r="AF30" s="5">
        <v>0</v>
      </c>
    </row>
    <row r="31" spans="1:32" s="5" customFormat="1" x14ac:dyDescent="0.3">
      <c r="A31" s="5" t="s">
        <v>8</v>
      </c>
      <c r="B31" s="5" t="s">
        <v>8</v>
      </c>
      <c r="C31" s="5" t="s">
        <v>8</v>
      </c>
      <c r="D31" s="5" t="s">
        <v>76</v>
      </c>
      <c r="E31" s="5" t="s">
        <v>8</v>
      </c>
      <c r="F31" s="5" t="s">
        <v>18</v>
      </c>
      <c r="G31" s="5" t="s">
        <v>78</v>
      </c>
      <c r="H31" s="5" t="s">
        <v>23</v>
      </c>
      <c r="I31" s="5" t="s">
        <v>8</v>
      </c>
      <c r="J31" s="5" t="s">
        <v>8</v>
      </c>
      <c r="K31" s="5" t="s">
        <v>46</v>
      </c>
      <c r="L31" s="5" t="s">
        <v>45</v>
      </c>
      <c r="M31" t="str" cm="1">
        <f t="array" ref="M31">_xlfn.XLOOKUP(L31, '[2]Function options'!$A$2:$A$21, '[2]Function options'!$B$2:B$21, "Not found")</f>
        <v>y = const = k0</v>
      </c>
      <c r="N31" s="11"/>
      <c r="Q31" s="5" t="s">
        <v>26</v>
      </c>
      <c r="R31" s="5">
        <v>0.01</v>
      </c>
      <c r="S31" s="5">
        <v>90</v>
      </c>
      <c r="AE31" t="s">
        <v>85</v>
      </c>
      <c r="AF31" s="5">
        <v>0</v>
      </c>
    </row>
    <row r="32" spans="1:32" s="5" customFormat="1" x14ac:dyDescent="0.3">
      <c r="A32" s="5" t="s">
        <v>8</v>
      </c>
      <c r="B32" s="5" t="s">
        <v>8</v>
      </c>
      <c r="C32" s="5" t="s">
        <v>8</v>
      </c>
      <c r="D32" s="5" t="s">
        <v>76</v>
      </c>
      <c r="E32" s="5" t="s">
        <v>8</v>
      </c>
      <c r="F32" s="5" t="s">
        <v>18</v>
      </c>
      <c r="G32" s="5" t="s">
        <v>78</v>
      </c>
      <c r="H32" s="5" t="s">
        <v>24</v>
      </c>
      <c r="I32" s="5" t="s">
        <v>8</v>
      </c>
      <c r="J32" s="5" t="s">
        <v>8</v>
      </c>
      <c r="K32" s="5" t="s">
        <v>46</v>
      </c>
      <c r="L32" s="5" t="s">
        <v>45</v>
      </c>
      <c r="M32" t="str" cm="1">
        <f t="array" ref="M32">_xlfn.XLOOKUP(L32, '[2]Function options'!$A$2:$A$21, '[2]Function options'!$B$2:B$21, "Not found")</f>
        <v>y = const = k0</v>
      </c>
      <c r="N32" s="11"/>
      <c r="Q32" s="5" t="s">
        <v>26</v>
      </c>
      <c r="R32" s="5">
        <v>0.01</v>
      </c>
      <c r="S32" s="5">
        <v>90</v>
      </c>
      <c r="AE32" t="s">
        <v>85</v>
      </c>
      <c r="AF32" s="5">
        <v>0</v>
      </c>
    </row>
    <row r="33" spans="1:32" s="5" customFormat="1" x14ac:dyDescent="0.3">
      <c r="A33" s="5" t="s">
        <v>8</v>
      </c>
      <c r="B33" s="5" t="s">
        <v>8</v>
      </c>
      <c r="C33" s="5" t="s">
        <v>8</v>
      </c>
      <c r="D33" s="5" t="s">
        <v>76</v>
      </c>
      <c r="E33" s="5" t="s">
        <v>8</v>
      </c>
      <c r="F33" s="5" t="s">
        <v>18</v>
      </c>
      <c r="G33" s="5" t="s">
        <v>79</v>
      </c>
      <c r="H33" s="5" t="s">
        <v>19</v>
      </c>
      <c r="I33" s="5" t="s">
        <v>8</v>
      </c>
      <c r="J33" s="5" t="s">
        <v>8</v>
      </c>
      <c r="K33" s="5" t="s">
        <v>46</v>
      </c>
      <c r="L33" s="5" t="s">
        <v>45</v>
      </c>
      <c r="M33" t="str" cm="1">
        <f t="array" ref="M33">_xlfn.XLOOKUP(L33, '[2]Function options'!$A$2:$A$21, '[2]Function options'!$B$2:B$21, "Not found")</f>
        <v>y = const = k0</v>
      </c>
      <c r="N33" s="11"/>
      <c r="Q33" s="5" t="s">
        <v>26</v>
      </c>
      <c r="R33" s="5">
        <v>0.01</v>
      </c>
      <c r="S33" s="5">
        <v>100</v>
      </c>
      <c r="AE33" t="s">
        <v>86</v>
      </c>
      <c r="AF33" s="5">
        <v>0</v>
      </c>
    </row>
    <row r="34" spans="1:32" s="5" customFormat="1" x14ac:dyDescent="0.3">
      <c r="A34" s="5" t="s">
        <v>8</v>
      </c>
      <c r="B34" s="5" t="s">
        <v>8</v>
      </c>
      <c r="C34" s="5" t="s">
        <v>8</v>
      </c>
      <c r="D34" s="5" t="s">
        <v>76</v>
      </c>
      <c r="E34" s="5" t="s">
        <v>8</v>
      </c>
      <c r="F34" s="5" t="s">
        <v>18</v>
      </c>
      <c r="G34" s="5" t="s">
        <v>79</v>
      </c>
      <c r="H34" s="5" t="s">
        <v>20</v>
      </c>
      <c r="I34" s="5" t="s">
        <v>8</v>
      </c>
      <c r="J34" s="5" t="s">
        <v>8</v>
      </c>
      <c r="K34" s="5" t="s">
        <v>46</v>
      </c>
      <c r="L34" s="5" t="s">
        <v>45</v>
      </c>
      <c r="M34" t="str" cm="1">
        <f t="array" ref="M34">_xlfn.XLOOKUP(L34, '[2]Function options'!$A$2:$A$21, '[2]Function options'!$B$2:B$21, "Not found")</f>
        <v>y = const = k0</v>
      </c>
      <c r="N34" s="11"/>
      <c r="Q34" s="5" t="s">
        <v>26</v>
      </c>
      <c r="R34" s="5">
        <v>0.01</v>
      </c>
      <c r="S34" s="5">
        <v>100</v>
      </c>
      <c r="AE34" t="s">
        <v>86</v>
      </c>
      <c r="AF34" s="5">
        <v>0</v>
      </c>
    </row>
    <row r="35" spans="1:32" s="5" customFormat="1" x14ac:dyDescent="0.3">
      <c r="A35" s="5" t="s">
        <v>8</v>
      </c>
      <c r="B35" s="5" t="s">
        <v>8</v>
      </c>
      <c r="C35" s="5" t="s">
        <v>8</v>
      </c>
      <c r="D35" s="5" t="s">
        <v>76</v>
      </c>
      <c r="E35" s="5" t="s">
        <v>8</v>
      </c>
      <c r="F35" s="5" t="s">
        <v>18</v>
      </c>
      <c r="G35" s="5" t="s">
        <v>79</v>
      </c>
      <c r="H35" s="5" t="s">
        <v>21</v>
      </c>
      <c r="I35" s="5" t="s">
        <v>8</v>
      </c>
      <c r="J35" s="5" t="s">
        <v>8</v>
      </c>
      <c r="K35" s="5" t="s">
        <v>46</v>
      </c>
      <c r="L35" s="5" t="s">
        <v>45</v>
      </c>
      <c r="M35" t="str" cm="1">
        <f t="array" ref="M35">_xlfn.XLOOKUP(L35, '[2]Function options'!$A$2:$A$21, '[2]Function options'!$B$2:B$21, "Not found")</f>
        <v>y = const = k0</v>
      </c>
      <c r="N35" s="11"/>
      <c r="Q35" s="5" t="s">
        <v>26</v>
      </c>
      <c r="R35" s="5">
        <v>0.01</v>
      </c>
      <c r="S35" s="5">
        <v>100</v>
      </c>
      <c r="AE35" t="s">
        <v>86</v>
      </c>
      <c r="AF35" s="5">
        <v>0</v>
      </c>
    </row>
    <row r="36" spans="1:32" s="5" customFormat="1" x14ac:dyDescent="0.3">
      <c r="A36" s="5" t="s">
        <v>8</v>
      </c>
      <c r="B36" s="5" t="s">
        <v>8</v>
      </c>
      <c r="C36" s="5" t="s">
        <v>8</v>
      </c>
      <c r="D36" s="5" t="s">
        <v>76</v>
      </c>
      <c r="E36" s="5" t="s">
        <v>8</v>
      </c>
      <c r="F36" s="5" t="s">
        <v>18</v>
      </c>
      <c r="G36" s="5" t="s">
        <v>79</v>
      </c>
      <c r="H36" s="5" t="s">
        <v>22</v>
      </c>
      <c r="I36" s="5" t="s">
        <v>8</v>
      </c>
      <c r="J36" s="5" t="s">
        <v>8</v>
      </c>
      <c r="K36" s="5" t="s">
        <v>46</v>
      </c>
      <c r="L36" s="5" t="s">
        <v>45</v>
      </c>
      <c r="M36" t="str" cm="1">
        <f t="array" ref="M36">_xlfn.XLOOKUP(L36, '[2]Function options'!$A$2:$A$21, '[2]Function options'!$B$2:B$21, "Not found")</f>
        <v>y = const = k0</v>
      </c>
      <c r="N36" s="11"/>
      <c r="Q36" s="5" t="s">
        <v>26</v>
      </c>
      <c r="R36" s="5">
        <v>0.01</v>
      </c>
      <c r="S36" s="5">
        <v>100</v>
      </c>
      <c r="AE36" t="s">
        <v>86</v>
      </c>
      <c r="AF36" s="5">
        <v>0</v>
      </c>
    </row>
    <row r="37" spans="1:32" s="5" customFormat="1" x14ac:dyDescent="0.3">
      <c r="A37" s="5" t="s">
        <v>8</v>
      </c>
      <c r="B37" s="5" t="s">
        <v>8</v>
      </c>
      <c r="C37" s="5" t="s">
        <v>8</v>
      </c>
      <c r="D37" s="5" t="s">
        <v>76</v>
      </c>
      <c r="E37" s="5" t="s">
        <v>8</v>
      </c>
      <c r="F37" s="5" t="s">
        <v>18</v>
      </c>
      <c r="G37" s="5" t="s">
        <v>79</v>
      </c>
      <c r="H37" s="5" t="s">
        <v>23</v>
      </c>
      <c r="I37" s="5" t="s">
        <v>8</v>
      </c>
      <c r="J37" s="5" t="s">
        <v>8</v>
      </c>
      <c r="K37" s="5" t="s">
        <v>46</v>
      </c>
      <c r="L37" s="5" t="s">
        <v>45</v>
      </c>
      <c r="M37" t="str" cm="1">
        <f t="array" ref="M37">_xlfn.XLOOKUP(L37, '[2]Function options'!$A$2:$A$21, '[2]Function options'!$B$2:B$21, "Not found")</f>
        <v>y = const = k0</v>
      </c>
      <c r="N37" s="11"/>
      <c r="Q37" s="5" t="s">
        <v>26</v>
      </c>
      <c r="R37" s="5">
        <v>0.01</v>
      </c>
      <c r="S37" s="5">
        <v>100</v>
      </c>
      <c r="AE37" t="s">
        <v>86</v>
      </c>
      <c r="AF37" s="5">
        <v>0</v>
      </c>
    </row>
    <row r="38" spans="1:32" s="5" customFormat="1" x14ac:dyDescent="0.3">
      <c r="A38" s="5" t="s">
        <v>8</v>
      </c>
      <c r="B38" s="5" t="s">
        <v>8</v>
      </c>
      <c r="C38" s="5" t="s">
        <v>8</v>
      </c>
      <c r="D38" s="5" t="s">
        <v>76</v>
      </c>
      <c r="E38" s="5" t="s">
        <v>8</v>
      </c>
      <c r="F38" s="5" t="s">
        <v>18</v>
      </c>
      <c r="G38" s="5" t="s">
        <v>79</v>
      </c>
      <c r="H38" s="5" t="s">
        <v>24</v>
      </c>
      <c r="I38" s="5" t="s">
        <v>8</v>
      </c>
      <c r="J38" s="5" t="s">
        <v>8</v>
      </c>
      <c r="K38" s="5" t="s">
        <v>46</v>
      </c>
      <c r="L38" s="5" t="s">
        <v>45</v>
      </c>
      <c r="M38" t="str" cm="1">
        <f t="array" ref="M38">_xlfn.XLOOKUP(L38, '[2]Function options'!$A$2:$A$21, '[2]Function options'!$B$2:B$21, "Not found")</f>
        <v>y = const = k0</v>
      </c>
      <c r="N38" s="11"/>
      <c r="Q38" s="5" t="s">
        <v>26</v>
      </c>
      <c r="R38" s="5">
        <v>0.01</v>
      </c>
      <c r="S38" s="5">
        <v>100</v>
      </c>
      <c r="AE38" t="s">
        <v>86</v>
      </c>
      <c r="AF38" s="5">
        <v>0</v>
      </c>
    </row>
    <row r="39" spans="1:32" s="5" customFormat="1" x14ac:dyDescent="0.3">
      <c r="A39" s="5" t="s">
        <v>8</v>
      </c>
      <c r="B39" s="5" t="s">
        <v>8</v>
      </c>
      <c r="C39" s="5" t="s">
        <v>8</v>
      </c>
      <c r="D39" s="5" t="s">
        <v>76</v>
      </c>
      <c r="E39" s="5" t="s">
        <v>8</v>
      </c>
      <c r="F39" s="5" t="s">
        <v>18</v>
      </c>
      <c r="G39" s="5" t="s">
        <v>16</v>
      </c>
      <c r="H39" s="5" t="s">
        <v>19</v>
      </c>
      <c r="I39" s="5" t="s">
        <v>8</v>
      </c>
      <c r="J39" s="5" t="s">
        <v>8</v>
      </c>
      <c r="K39" s="5" t="s">
        <v>46</v>
      </c>
      <c r="L39" s="5" t="s">
        <v>45</v>
      </c>
      <c r="M39" t="str" cm="1">
        <f t="array" ref="M39">_xlfn.XLOOKUP(L39, '[2]Function options'!$A$2:$A$21, '[2]Function options'!$B$2:B$21, "Not found")</f>
        <v>y = const = k0</v>
      </c>
      <c r="N39" s="11"/>
      <c r="Q39" s="5" t="s">
        <v>26</v>
      </c>
      <c r="R39" s="5">
        <v>0.01</v>
      </c>
      <c r="S39" s="5">
        <v>100</v>
      </c>
      <c r="AE39" t="s">
        <v>86</v>
      </c>
      <c r="AF39" s="5">
        <v>0</v>
      </c>
    </row>
    <row r="40" spans="1:32" s="5" customFormat="1" x14ac:dyDescent="0.3">
      <c r="A40" s="5" t="s">
        <v>8</v>
      </c>
      <c r="B40" s="5" t="s">
        <v>8</v>
      </c>
      <c r="C40" s="5" t="s">
        <v>8</v>
      </c>
      <c r="D40" s="5" t="s">
        <v>76</v>
      </c>
      <c r="E40" s="5" t="s">
        <v>8</v>
      </c>
      <c r="F40" s="5" t="s">
        <v>18</v>
      </c>
      <c r="G40" s="5" t="s">
        <v>16</v>
      </c>
      <c r="H40" s="5" t="s">
        <v>20</v>
      </c>
      <c r="I40" s="5" t="s">
        <v>8</v>
      </c>
      <c r="J40" s="5" t="s">
        <v>8</v>
      </c>
      <c r="K40" s="5" t="s">
        <v>46</v>
      </c>
      <c r="L40" s="5" t="s">
        <v>45</v>
      </c>
      <c r="M40" t="str" cm="1">
        <f t="array" ref="M40">_xlfn.XLOOKUP(L40, '[2]Function options'!$A$2:$A$21, '[2]Function options'!$B$2:B$21, "Not found")</f>
        <v>y = const = k0</v>
      </c>
      <c r="N40" s="11"/>
      <c r="Q40" s="5" t="s">
        <v>26</v>
      </c>
      <c r="R40" s="5">
        <v>0.01</v>
      </c>
      <c r="S40" s="5">
        <v>300</v>
      </c>
      <c r="AE40" t="s">
        <v>86</v>
      </c>
      <c r="AF40" s="5">
        <v>0</v>
      </c>
    </row>
    <row r="41" spans="1:32" s="5" customFormat="1" x14ac:dyDescent="0.3">
      <c r="A41" s="5" t="s">
        <v>8</v>
      </c>
      <c r="B41" s="5" t="s">
        <v>8</v>
      </c>
      <c r="C41" s="5" t="s">
        <v>8</v>
      </c>
      <c r="D41" s="5" t="s">
        <v>76</v>
      </c>
      <c r="E41" s="5" t="s">
        <v>8</v>
      </c>
      <c r="F41" s="5" t="s">
        <v>18</v>
      </c>
      <c r="G41" s="5" t="s">
        <v>16</v>
      </c>
      <c r="H41" s="5" t="s">
        <v>21</v>
      </c>
      <c r="I41" s="5" t="s">
        <v>8</v>
      </c>
      <c r="J41" s="5" t="s">
        <v>8</v>
      </c>
      <c r="K41" s="5" t="s">
        <v>46</v>
      </c>
      <c r="L41" s="5" t="s">
        <v>45</v>
      </c>
      <c r="M41" t="str" cm="1">
        <f t="array" ref="M41">_xlfn.XLOOKUP(L41, '[2]Function options'!$A$2:$A$21, '[2]Function options'!$B$2:B$21, "Not found")</f>
        <v>y = const = k0</v>
      </c>
      <c r="N41" s="11"/>
      <c r="Q41" s="5" t="s">
        <v>26</v>
      </c>
      <c r="R41" s="5">
        <v>0.01</v>
      </c>
      <c r="S41" s="5">
        <v>300</v>
      </c>
      <c r="AE41" t="s">
        <v>86</v>
      </c>
      <c r="AF41" s="5">
        <v>0</v>
      </c>
    </row>
    <row r="42" spans="1:32" s="5" customFormat="1" x14ac:dyDescent="0.3">
      <c r="A42" s="5" t="s">
        <v>8</v>
      </c>
      <c r="B42" s="5" t="s">
        <v>8</v>
      </c>
      <c r="C42" s="5" t="s">
        <v>8</v>
      </c>
      <c r="D42" s="5" t="s">
        <v>76</v>
      </c>
      <c r="E42" s="5" t="s">
        <v>8</v>
      </c>
      <c r="F42" s="5" t="s">
        <v>18</v>
      </c>
      <c r="G42" s="5" t="s">
        <v>16</v>
      </c>
      <c r="H42" s="5" t="s">
        <v>22</v>
      </c>
      <c r="I42" s="5" t="s">
        <v>8</v>
      </c>
      <c r="J42" s="5" t="s">
        <v>8</v>
      </c>
      <c r="K42" s="5" t="s">
        <v>46</v>
      </c>
      <c r="L42" s="5" t="s">
        <v>45</v>
      </c>
      <c r="M42" t="str" cm="1">
        <f t="array" ref="M42">_xlfn.XLOOKUP(L42, '[2]Function options'!$A$2:$A$21, '[2]Function options'!$B$2:B$21, "Not found")</f>
        <v>y = const = k0</v>
      </c>
      <c r="N42" s="11"/>
      <c r="Q42" s="5" t="s">
        <v>26</v>
      </c>
      <c r="R42" s="5">
        <v>0.01</v>
      </c>
      <c r="S42" s="5">
        <v>100</v>
      </c>
      <c r="AE42" t="s">
        <v>86</v>
      </c>
      <c r="AF42" s="5">
        <v>0</v>
      </c>
    </row>
    <row r="43" spans="1:32" s="5" customFormat="1" x14ac:dyDescent="0.3">
      <c r="A43" s="5" t="s">
        <v>8</v>
      </c>
      <c r="B43" s="5" t="s">
        <v>8</v>
      </c>
      <c r="C43" s="5" t="s">
        <v>8</v>
      </c>
      <c r="D43" s="5" t="s">
        <v>76</v>
      </c>
      <c r="E43" s="5" t="s">
        <v>8</v>
      </c>
      <c r="F43" s="5" t="s">
        <v>18</v>
      </c>
      <c r="G43" s="5" t="s">
        <v>16</v>
      </c>
      <c r="H43" s="5" t="s">
        <v>23</v>
      </c>
      <c r="I43" s="5" t="s">
        <v>8</v>
      </c>
      <c r="J43" s="5" t="s">
        <v>8</v>
      </c>
      <c r="K43" s="5" t="s">
        <v>46</v>
      </c>
      <c r="L43" s="5" t="s">
        <v>45</v>
      </c>
      <c r="M43" t="str" cm="1">
        <f t="array" ref="M43">_xlfn.XLOOKUP(L43, '[2]Function options'!$A$2:$A$21, '[2]Function options'!$B$2:B$21, "Not found")</f>
        <v>y = const = k0</v>
      </c>
      <c r="N43" s="11"/>
      <c r="Q43" s="5" t="s">
        <v>26</v>
      </c>
      <c r="R43" s="5">
        <v>0.01</v>
      </c>
      <c r="S43" s="5">
        <v>100</v>
      </c>
      <c r="AE43" t="s">
        <v>86</v>
      </c>
      <c r="AF43" s="5">
        <v>0</v>
      </c>
    </row>
    <row r="44" spans="1:32" s="5" customFormat="1" x14ac:dyDescent="0.3">
      <c r="A44" s="5" t="s">
        <v>8</v>
      </c>
      <c r="B44" s="5" t="s">
        <v>8</v>
      </c>
      <c r="C44" s="5" t="s">
        <v>8</v>
      </c>
      <c r="D44" s="5" t="s">
        <v>76</v>
      </c>
      <c r="E44" s="5" t="s">
        <v>8</v>
      </c>
      <c r="F44" s="5" t="s">
        <v>18</v>
      </c>
      <c r="G44" s="5" t="s">
        <v>16</v>
      </c>
      <c r="H44" s="5" t="s">
        <v>24</v>
      </c>
      <c r="I44" s="5" t="s">
        <v>8</v>
      </c>
      <c r="J44" s="5" t="s">
        <v>8</v>
      </c>
      <c r="K44" s="5" t="s">
        <v>46</v>
      </c>
      <c r="L44" s="5" t="s">
        <v>45</v>
      </c>
      <c r="M44" t="str" cm="1">
        <f t="array" ref="M44">_xlfn.XLOOKUP(L44, '[2]Function options'!$A$2:$A$21, '[2]Function options'!$B$2:B$21, "Not found")</f>
        <v>y = const = k0</v>
      </c>
      <c r="N44" s="11"/>
      <c r="Q44" s="5" t="s">
        <v>26</v>
      </c>
      <c r="R44" s="5">
        <v>0.01</v>
      </c>
      <c r="S44" s="5">
        <v>100</v>
      </c>
      <c r="AE44" t="s">
        <v>86</v>
      </c>
      <c r="AF44" s="5">
        <v>0</v>
      </c>
    </row>
    <row r="45" spans="1:32" s="5" customFormat="1" x14ac:dyDescent="0.3">
      <c r="A45" s="5" t="s">
        <v>8</v>
      </c>
      <c r="B45" s="5" t="s">
        <v>8</v>
      </c>
      <c r="C45" s="5" t="s">
        <v>8</v>
      </c>
      <c r="D45" s="5" t="s">
        <v>76</v>
      </c>
      <c r="E45" s="5" t="s">
        <v>8</v>
      </c>
      <c r="F45" s="5" t="s">
        <v>16</v>
      </c>
      <c r="G45" s="5" t="s">
        <v>16</v>
      </c>
      <c r="H45" s="5" t="s">
        <v>19</v>
      </c>
      <c r="I45" s="5" t="s">
        <v>8</v>
      </c>
      <c r="J45" s="5" t="s">
        <v>8</v>
      </c>
      <c r="K45" s="5" t="s">
        <v>46</v>
      </c>
      <c r="L45" s="5" t="s">
        <v>45</v>
      </c>
      <c r="M45" t="str" cm="1">
        <f t="array" ref="M45">_xlfn.XLOOKUP(L45, '[2]Function options'!$A$2:$A$21, '[2]Function options'!$B$2:B$21, "Not found")</f>
        <v>y = const = k0</v>
      </c>
      <c r="N45" s="11"/>
      <c r="Q45" s="5" t="s">
        <v>26</v>
      </c>
      <c r="R45" s="5">
        <v>0.01</v>
      </c>
      <c r="S45" s="5">
        <v>100</v>
      </c>
      <c r="AE45" t="s">
        <v>86</v>
      </c>
      <c r="AF45" s="5">
        <v>0</v>
      </c>
    </row>
    <row r="46" spans="1:32" s="5" customFormat="1" x14ac:dyDescent="0.3">
      <c r="A46" s="5" t="s">
        <v>8</v>
      </c>
      <c r="B46" s="5" t="s">
        <v>8</v>
      </c>
      <c r="C46" s="5" t="s">
        <v>8</v>
      </c>
      <c r="D46" s="5" t="s">
        <v>76</v>
      </c>
      <c r="E46" s="5" t="s">
        <v>8</v>
      </c>
      <c r="F46" s="5" t="s">
        <v>18</v>
      </c>
      <c r="G46" s="5" t="s">
        <v>80</v>
      </c>
      <c r="H46" s="5" t="s">
        <v>19</v>
      </c>
      <c r="I46" s="5" t="s">
        <v>8</v>
      </c>
      <c r="J46" s="5" t="s">
        <v>8</v>
      </c>
      <c r="K46" s="5" t="s">
        <v>46</v>
      </c>
      <c r="L46" s="5" t="s">
        <v>45</v>
      </c>
      <c r="M46" t="str" cm="1">
        <f t="array" ref="M46">_xlfn.XLOOKUP(L46, '[2]Function options'!$A$2:$A$21, '[2]Function options'!$B$2:B$21, "Not found")</f>
        <v>y = const = k0</v>
      </c>
      <c r="N46" s="11"/>
      <c r="Q46" s="5" t="s">
        <v>26</v>
      </c>
      <c r="R46" s="5">
        <v>0.01</v>
      </c>
      <c r="S46" s="5">
        <v>93</v>
      </c>
      <c r="AE46" t="s">
        <v>85</v>
      </c>
      <c r="AF46" s="5">
        <v>0</v>
      </c>
    </row>
    <row r="47" spans="1:32" s="5" customFormat="1" x14ac:dyDescent="0.3">
      <c r="A47" s="5" t="s">
        <v>8</v>
      </c>
      <c r="B47" s="5" t="s">
        <v>8</v>
      </c>
      <c r="C47" s="5" t="s">
        <v>8</v>
      </c>
      <c r="D47" s="5" t="s">
        <v>76</v>
      </c>
      <c r="E47" s="5" t="s">
        <v>8</v>
      </c>
      <c r="F47" s="5" t="s">
        <v>18</v>
      </c>
      <c r="G47" s="5" t="s">
        <v>80</v>
      </c>
      <c r="H47" s="5" t="s">
        <v>20</v>
      </c>
      <c r="I47" s="5" t="s">
        <v>8</v>
      </c>
      <c r="J47" s="5" t="s">
        <v>8</v>
      </c>
      <c r="K47" s="5" t="s">
        <v>46</v>
      </c>
      <c r="L47" s="5" t="s">
        <v>45</v>
      </c>
      <c r="M47" t="str" cm="1">
        <f t="array" ref="M47">_xlfn.XLOOKUP(L47, '[2]Function options'!$A$2:$A$21, '[2]Function options'!$B$2:B$21, "Not found")</f>
        <v>y = const = k0</v>
      </c>
      <c r="N47" s="11"/>
      <c r="Q47" s="5" t="s">
        <v>26</v>
      </c>
      <c r="R47" s="5">
        <v>0.01</v>
      </c>
      <c r="S47" s="5">
        <v>93</v>
      </c>
      <c r="AE47" t="s">
        <v>85</v>
      </c>
      <c r="AF47" s="5">
        <v>0</v>
      </c>
    </row>
    <row r="48" spans="1:32" s="5" customFormat="1" x14ac:dyDescent="0.3">
      <c r="A48" s="5" t="s">
        <v>8</v>
      </c>
      <c r="B48" s="5" t="s">
        <v>8</v>
      </c>
      <c r="C48" s="5" t="s">
        <v>8</v>
      </c>
      <c r="D48" s="5" t="s">
        <v>76</v>
      </c>
      <c r="E48" s="5" t="s">
        <v>8</v>
      </c>
      <c r="F48" s="5" t="s">
        <v>18</v>
      </c>
      <c r="G48" s="5" t="s">
        <v>80</v>
      </c>
      <c r="H48" s="5" t="s">
        <v>21</v>
      </c>
      <c r="I48" s="5" t="s">
        <v>8</v>
      </c>
      <c r="J48" s="5" t="s">
        <v>8</v>
      </c>
      <c r="K48" s="5" t="s">
        <v>46</v>
      </c>
      <c r="L48" s="5" t="s">
        <v>45</v>
      </c>
      <c r="M48" t="str" cm="1">
        <f t="array" ref="M48">_xlfn.XLOOKUP(L48, '[2]Function options'!$A$2:$A$21, '[2]Function options'!$B$2:B$21, "Not found")</f>
        <v>y = const = k0</v>
      </c>
      <c r="N48" s="11"/>
      <c r="Q48" s="5" t="s">
        <v>26</v>
      </c>
      <c r="R48" s="5">
        <v>0.01</v>
      </c>
      <c r="S48" s="5">
        <v>93</v>
      </c>
      <c r="AE48" t="s">
        <v>85</v>
      </c>
      <c r="AF48" s="5">
        <v>0</v>
      </c>
    </row>
    <row r="49" spans="1:32" s="5" customFormat="1" x14ac:dyDescent="0.3">
      <c r="A49" s="5" t="s">
        <v>8</v>
      </c>
      <c r="B49" s="5" t="s">
        <v>8</v>
      </c>
      <c r="C49" s="5" t="s">
        <v>8</v>
      </c>
      <c r="D49" s="5" t="s">
        <v>76</v>
      </c>
      <c r="E49" s="5" t="s">
        <v>8</v>
      </c>
      <c r="F49" s="5" t="s">
        <v>18</v>
      </c>
      <c r="G49" s="5" t="s">
        <v>80</v>
      </c>
      <c r="H49" s="5" t="s">
        <v>22</v>
      </c>
      <c r="I49" s="5" t="s">
        <v>8</v>
      </c>
      <c r="J49" s="5" t="s">
        <v>8</v>
      </c>
      <c r="K49" s="5" t="s">
        <v>46</v>
      </c>
      <c r="L49" s="5" t="s">
        <v>45</v>
      </c>
      <c r="M49" t="str" cm="1">
        <f t="array" ref="M49">_xlfn.XLOOKUP(L49, '[2]Function options'!$A$2:$A$21, '[2]Function options'!$B$2:B$21, "Not found")</f>
        <v>y = const = k0</v>
      </c>
      <c r="N49" s="11"/>
      <c r="Q49" s="5" t="s">
        <v>26</v>
      </c>
      <c r="R49" s="5">
        <v>0.01</v>
      </c>
      <c r="S49" s="5">
        <v>93</v>
      </c>
      <c r="AE49" t="s">
        <v>85</v>
      </c>
      <c r="AF49" s="5">
        <v>0</v>
      </c>
    </row>
    <row r="50" spans="1:32" s="5" customFormat="1" x14ac:dyDescent="0.3">
      <c r="A50" s="5" t="s">
        <v>8</v>
      </c>
      <c r="B50" s="5" t="s">
        <v>8</v>
      </c>
      <c r="C50" s="5" t="s">
        <v>8</v>
      </c>
      <c r="D50" s="5" t="s">
        <v>76</v>
      </c>
      <c r="E50" s="5" t="s">
        <v>8</v>
      </c>
      <c r="F50" s="5" t="s">
        <v>18</v>
      </c>
      <c r="G50" s="5" t="s">
        <v>80</v>
      </c>
      <c r="H50" s="5" t="s">
        <v>23</v>
      </c>
      <c r="I50" s="5" t="s">
        <v>8</v>
      </c>
      <c r="J50" s="5" t="s">
        <v>8</v>
      </c>
      <c r="K50" s="5" t="s">
        <v>46</v>
      </c>
      <c r="L50" s="5" t="s">
        <v>45</v>
      </c>
      <c r="M50" t="str" cm="1">
        <f t="array" ref="M50">_xlfn.XLOOKUP(L50, '[2]Function options'!$A$2:$A$21, '[2]Function options'!$B$2:B$21, "Not found")</f>
        <v>y = const = k0</v>
      </c>
      <c r="N50" s="11"/>
      <c r="Q50" s="5" t="s">
        <v>26</v>
      </c>
      <c r="R50" s="5">
        <v>0.01</v>
      </c>
      <c r="S50" s="5">
        <v>93</v>
      </c>
      <c r="AE50" t="s">
        <v>85</v>
      </c>
      <c r="AF50" s="5">
        <v>0</v>
      </c>
    </row>
    <row r="51" spans="1:32" s="5" customFormat="1" x14ac:dyDescent="0.3">
      <c r="A51" s="5" t="s">
        <v>8</v>
      </c>
      <c r="B51" s="5" t="s">
        <v>8</v>
      </c>
      <c r="C51" s="5" t="s">
        <v>8</v>
      </c>
      <c r="D51" s="5" t="s">
        <v>76</v>
      </c>
      <c r="E51" s="5" t="s">
        <v>8</v>
      </c>
      <c r="F51" s="5" t="s">
        <v>18</v>
      </c>
      <c r="G51" s="5" t="s">
        <v>80</v>
      </c>
      <c r="H51" s="5" t="s">
        <v>24</v>
      </c>
      <c r="I51" s="5" t="s">
        <v>8</v>
      </c>
      <c r="J51" s="5" t="s">
        <v>8</v>
      </c>
      <c r="K51" s="5" t="s">
        <v>46</v>
      </c>
      <c r="L51" s="5" t="s">
        <v>45</v>
      </c>
      <c r="M51" t="str" cm="1">
        <f t="array" ref="M51">_xlfn.XLOOKUP(L51, '[2]Function options'!$A$2:$A$21, '[2]Function options'!$B$2:B$21, "Not found")</f>
        <v>y = const = k0</v>
      </c>
      <c r="N51" s="11"/>
      <c r="Q51" s="5" t="s">
        <v>26</v>
      </c>
      <c r="R51" s="5">
        <v>0.01</v>
      </c>
      <c r="S51" s="5">
        <v>93</v>
      </c>
      <c r="AE51" t="s">
        <v>85</v>
      </c>
      <c r="AF51" s="5">
        <v>0</v>
      </c>
    </row>
    <row r="52" spans="1:32" s="5" customFormat="1" x14ac:dyDescent="0.3">
      <c r="A52" s="5" t="s">
        <v>8</v>
      </c>
      <c r="B52" s="5" t="s">
        <v>8</v>
      </c>
      <c r="C52" s="5" t="s">
        <v>8</v>
      </c>
      <c r="D52" s="5" t="s">
        <v>76</v>
      </c>
      <c r="E52" s="5" t="s">
        <v>8</v>
      </c>
      <c r="F52" s="5" t="s">
        <v>18</v>
      </c>
      <c r="G52" s="6" t="s">
        <v>17</v>
      </c>
      <c r="H52" s="5" t="s">
        <v>19</v>
      </c>
      <c r="I52" s="5" t="s">
        <v>8</v>
      </c>
      <c r="J52" s="5" t="s">
        <v>8</v>
      </c>
      <c r="K52" s="5" t="s">
        <v>46</v>
      </c>
      <c r="L52" s="5" t="s">
        <v>45</v>
      </c>
      <c r="M52" t="str" cm="1">
        <f t="array" ref="M52">_xlfn.XLOOKUP(L52, '[2]Function options'!$A$2:$A$21, '[2]Function options'!$B$2:B$21, "Not found")</f>
        <v>y = const = k0</v>
      </c>
      <c r="N52" s="11"/>
      <c r="Q52" s="5" t="s">
        <v>26</v>
      </c>
      <c r="R52" s="5">
        <v>0.01</v>
      </c>
      <c r="S52" s="5">
        <v>100</v>
      </c>
      <c r="AE52" t="s">
        <v>86</v>
      </c>
      <c r="AF52" s="5">
        <v>0</v>
      </c>
    </row>
    <row r="53" spans="1:32" s="5" customFormat="1" x14ac:dyDescent="0.3">
      <c r="A53" s="5" t="s">
        <v>8</v>
      </c>
      <c r="B53" s="5" t="s">
        <v>8</v>
      </c>
      <c r="C53" s="5" t="s">
        <v>8</v>
      </c>
      <c r="D53" s="5" t="s">
        <v>76</v>
      </c>
      <c r="E53" s="5" t="s">
        <v>8</v>
      </c>
      <c r="F53" s="5" t="s">
        <v>18</v>
      </c>
      <c r="G53" s="6" t="s">
        <v>17</v>
      </c>
      <c r="H53" s="5" t="s">
        <v>20</v>
      </c>
      <c r="I53" s="5" t="s">
        <v>8</v>
      </c>
      <c r="J53" s="5" t="s">
        <v>8</v>
      </c>
      <c r="K53" s="5" t="s">
        <v>46</v>
      </c>
      <c r="L53" s="5" t="s">
        <v>45</v>
      </c>
      <c r="M53" t="str" cm="1">
        <f t="array" ref="M53">_xlfn.XLOOKUP(L53, '[2]Function options'!$A$2:$A$21, '[2]Function options'!$B$2:B$21, "Not found")</f>
        <v>y = const = k0</v>
      </c>
      <c r="N53" s="11"/>
      <c r="Q53" s="5" t="s">
        <v>26</v>
      </c>
      <c r="R53" s="5">
        <v>0.01</v>
      </c>
      <c r="S53" s="5">
        <v>100</v>
      </c>
      <c r="AE53" t="s">
        <v>86</v>
      </c>
      <c r="AF53" s="5">
        <v>0</v>
      </c>
    </row>
    <row r="54" spans="1:32" s="5" customFormat="1" x14ac:dyDescent="0.3">
      <c r="A54" s="5" t="s">
        <v>8</v>
      </c>
      <c r="B54" s="5" t="s">
        <v>8</v>
      </c>
      <c r="C54" s="5" t="s">
        <v>8</v>
      </c>
      <c r="D54" s="5" t="s">
        <v>76</v>
      </c>
      <c r="E54" s="5" t="s">
        <v>8</v>
      </c>
      <c r="F54" s="5" t="s">
        <v>18</v>
      </c>
      <c r="G54" s="6" t="s">
        <v>17</v>
      </c>
      <c r="H54" s="5" t="s">
        <v>21</v>
      </c>
      <c r="I54" s="5" t="s">
        <v>8</v>
      </c>
      <c r="J54" s="5" t="s">
        <v>8</v>
      </c>
      <c r="K54" s="5" t="s">
        <v>46</v>
      </c>
      <c r="L54" s="5" t="s">
        <v>45</v>
      </c>
      <c r="M54" t="str" cm="1">
        <f t="array" ref="M54">_xlfn.XLOOKUP(L54, '[2]Function options'!$A$2:$A$21, '[2]Function options'!$B$2:B$21, "Not found")</f>
        <v>y = const = k0</v>
      </c>
      <c r="N54" s="11"/>
      <c r="Q54" s="5" t="s">
        <v>26</v>
      </c>
      <c r="R54" s="5">
        <v>0.01</v>
      </c>
      <c r="S54" s="5">
        <v>100</v>
      </c>
      <c r="AE54" t="s">
        <v>86</v>
      </c>
      <c r="AF54" s="5">
        <v>0</v>
      </c>
    </row>
    <row r="55" spans="1:32" s="5" customFormat="1" x14ac:dyDescent="0.3">
      <c r="A55" s="5" t="s">
        <v>8</v>
      </c>
      <c r="B55" s="5" t="s">
        <v>8</v>
      </c>
      <c r="C55" s="5" t="s">
        <v>8</v>
      </c>
      <c r="D55" s="5" t="s">
        <v>76</v>
      </c>
      <c r="E55" s="5" t="s">
        <v>8</v>
      </c>
      <c r="F55" s="5" t="s">
        <v>18</v>
      </c>
      <c r="G55" s="6" t="s">
        <v>17</v>
      </c>
      <c r="H55" s="5" t="s">
        <v>22</v>
      </c>
      <c r="I55" s="5" t="s">
        <v>8</v>
      </c>
      <c r="J55" s="5" t="s">
        <v>8</v>
      </c>
      <c r="K55" s="5" t="s">
        <v>46</v>
      </c>
      <c r="L55" s="5" t="s">
        <v>45</v>
      </c>
      <c r="M55" t="str" cm="1">
        <f t="array" ref="M55">_xlfn.XLOOKUP(L55, '[2]Function options'!$A$2:$A$21, '[2]Function options'!$B$2:B$21, "Not found")</f>
        <v>y = const = k0</v>
      </c>
      <c r="N55" s="11"/>
      <c r="Q55" s="5" t="s">
        <v>26</v>
      </c>
      <c r="R55" s="5">
        <v>0.01</v>
      </c>
      <c r="S55" s="5">
        <v>100</v>
      </c>
      <c r="AE55" t="s">
        <v>86</v>
      </c>
      <c r="AF55" s="5">
        <v>0</v>
      </c>
    </row>
    <row r="56" spans="1:32" s="5" customFormat="1" x14ac:dyDescent="0.3">
      <c r="A56" s="5" t="s">
        <v>8</v>
      </c>
      <c r="B56" s="5" t="s">
        <v>8</v>
      </c>
      <c r="C56" s="5" t="s">
        <v>8</v>
      </c>
      <c r="D56" s="5" t="s">
        <v>76</v>
      </c>
      <c r="E56" s="5" t="s">
        <v>8</v>
      </c>
      <c r="F56" s="5" t="s">
        <v>18</v>
      </c>
      <c r="G56" s="6" t="s">
        <v>17</v>
      </c>
      <c r="H56" s="5" t="s">
        <v>23</v>
      </c>
      <c r="I56" s="5" t="s">
        <v>8</v>
      </c>
      <c r="J56" s="5" t="s">
        <v>8</v>
      </c>
      <c r="K56" s="5" t="s">
        <v>46</v>
      </c>
      <c r="L56" s="5" t="s">
        <v>45</v>
      </c>
      <c r="M56" t="str" cm="1">
        <f t="array" ref="M56">_xlfn.XLOOKUP(L56, '[2]Function options'!$A$2:$A$21, '[2]Function options'!$B$2:B$21, "Not found")</f>
        <v>y = const = k0</v>
      </c>
      <c r="N56" s="11"/>
      <c r="Q56" s="5" t="s">
        <v>26</v>
      </c>
      <c r="R56" s="5">
        <v>0.01</v>
      </c>
      <c r="S56" s="5">
        <v>100</v>
      </c>
      <c r="AE56" t="s">
        <v>86</v>
      </c>
      <c r="AF56" s="5">
        <v>0</v>
      </c>
    </row>
    <row r="57" spans="1:32" s="5" customFormat="1" x14ac:dyDescent="0.3">
      <c r="A57" s="5" t="s">
        <v>8</v>
      </c>
      <c r="B57" s="5" t="s">
        <v>8</v>
      </c>
      <c r="C57" s="5" t="s">
        <v>8</v>
      </c>
      <c r="D57" s="5" t="s">
        <v>76</v>
      </c>
      <c r="E57" s="5" t="s">
        <v>8</v>
      </c>
      <c r="F57" s="5" t="s">
        <v>18</v>
      </c>
      <c r="G57" s="6" t="s">
        <v>17</v>
      </c>
      <c r="H57" s="5" t="s">
        <v>24</v>
      </c>
      <c r="I57" s="5" t="s">
        <v>8</v>
      </c>
      <c r="J57" s="5" t="s">
        <v>8</v>
      </c>
      <c r="K57" s="5" t="s">
        <v>46</v>
      </c>
      <c r="L57" s="5" t="s">
        <v>45</v>
      </c>
      <c r="M57" t="str" cm="1">
        <f t="array" ref="M57">_xlfn.XLOOKUP(L57, '[2]Function options'!$A$2:$A$21, '[2]Function options'!$B$2:B$21, "Not found")</f>
        <v>y = const = k0</v>
      </c>
      <c r="N57" s="11"/>
      <c r="Q57" s="5" t="s">
        <v>26</v>
      </c>
      <c r="R57" s="5">
        <v>0.01</v>
      </c>
      <c r="S57" s="5">
        <v>100</v>
      </c>
      <c r="AE57" t="s">
        <v>86</v>
      </c>
      <c r="AF57" s="5">
        <v>0</v>
      </c>
    </row>
    <row r="58" spans="1:32" s="5" customFormat="1" x14ac:dyDescent="0.3">
      <c r="A58" s="5" t="s">
        <v>8</v>
      </c>
      <c r="B58" s="5" t="s">
        <v>8</v>
      </c>
      <c r="C58" s="5" t="s">
        <v>8</v>
      </c>
      <c r="D58" s="5" t="s">
        <v>76</v>
      </c>
      <c r="E58" s="5" t="s">
        <v>8</v>
      </c>
      <c r="F58" s="6" t="s">
        <v>17</v>
      </c>
      <c r="G58" s="5" t="s">
        <v>16</v>
      </c>
      <c r="H58" s="5" t="s">
        <v>19</v>
      </c>
      <c r="I58" s="5" t="s">
        <v>8</v>
      </c>
      <c r="J58" s="5" t="s">
        <v>8</v>
      </c>
      <c r="K58" s="5" t="s">
        <v>46</v>
      </c>
      <c r="L58" s="5" t="s">
        <v>45</v>
      </c>
      <c r="M58" s="5" t="str" cm="1">
        <f t="array" ref="M58">_xlfn.XLOOKUP(L58, '[2]Function options'!$A$2:$A$21, '[2]Function options'!$B$2:B$21, "Not found")</f>
        <v>y = const = k0</v>
      </c>
      <c r="N58" s="11"/>
      <c r="Q58" s="5" t="s">
        <v>26</v>
      </c>
      <c r="R58" s="5">
        <v>0.01</v>
      </c>
      <c r="S58" s="5">
        <v>100</v>
      </c>
      <c r="AE58" t="s">
        <v>86</v>
      </c>
      <c r="AF58" s="5">
        <v>0</v>
      </c>
    </row>
    <row r="59" spans="1:32" s="5" customFormat="1" x14ac:dyDescent="0.3">
      <c r="A59" s="5" t="s">
        <v>8</v>
      </c>
      <c r="B59" s="5" t="s">
        <v>8</v>
      </c>
      <c r="C59" s="5" t="s">
        <v>8</v>
      </c>
      <c r="D59" s="5" t="s">
        <v>76</v>
      </c>
      <c r="E59" s="5" t="s">
        <v>8</v>
      </c>
      <c r="F59" s="6" t="s">
        <v>17</v>
      </c>
      <c r="G59" s="6" t="s">
        <v>17</v>
      </c>
      <c r="H59" s="5" t="s">
        <v>19</v>
      </c>
      <c r="I59" s="5" t="s">
        <v>8</v>
      </c>
      <c r="J59" s="5" t="s">
        <v>8</v>
      </c>
      <c r="K59" s="5" t="s">
        <v>46</v>
      </c>
      <c r="L59" s="5" t="s">
        <v>45</v>
      </c>
      <c r="M59" s="5" t="str" cm="1">
        <f t="array" ref="M59">_xlfn.XLOOKUP(L59, '[2]Function options'!$A$2:$A$21, '[2]Function options'!$B$2:B$21, "Not found")</f>
        <v>y = const = k0</v>
      </c>
      <c r="N59" s="11"/>
      <c r="Q59" s="5" t="s">
        <v>26</v>
      </c>
      <c r="R59" s="5">
        <v>0.01</v>
      </c>
      <c r="S59" s="5">
        <v>100</v>
      </c>
      <c r="AE59" t="s">
        <v>86</v>
      </c>
      <c r="AF59" s="5">
        <v>0</v>
      </c>
    </row>
    <row r="60" spans="1:32" s="5" customFormat="1" x14ac:dyDescent="0.3">
      <c r="A60" s="5" t="s">
        <v>8</v>
      </c>
      <c r="B60" s="5" t="s">
        <v>9</v>
      </c>
      <c r="C60" s="5" t="s">
        <v>8</v>
      </c>
      <c r="D60" s="5" t="s">
        <v>81</v>
      </c>
      <c r="E60" s="5" t="s">
        <v>8</v>
      </c>
      <c r="F60" s="6" t="s">
        <v>17</v>
      </c>
      <c r="G60" s="5" t="s">
        <v>16</v>
      </c>
      <c r="H60" s="5" t="s">
        <v>19</v>
      </c>
      <c r="I60" s="5" t="s">
        <v>8</v>
      </c>
      <c r="J60" s="5" t="s">
        <v>8</v>
      </c>
      <c r="K60" s="6" t="s">
        <v>46</v>
      </c>
      <c r="L60" s="6" t="s">
        <v>47</v>
      </c>
      <c r="M60" s="5" t="str" cm="1">
        <f t="array" ref="M60">_xlfn.XLOOKUP(L60, '[2]Function options'!$A$2:$A$21, '[2]Function options'!$B$2:B$21, "Not found")</f>
        <v>lin interpolation between given points - based on driver as x-aches</v>
      </c>
      <c r="N60" s="11" t="s">
        <v>42</v>
      </c>
      <c r="Q60" s="5" t="s">
        <v>26</v>
      </c>
      <c r="R60" s="5">
        <v>0.01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t="s">
        <v>86</v>
      </c>
      <c r="AF60" s="5">
        <v>0</v>
      </c>
    </row>
    <row r="61" spans="1:32" s="5" customFormat="1" x14ac:dyDescent="0.3">
      <c r="A61" s="5" t="s">
        <v>8</v>
      </c>
      <c r="B61" s="5" t="s">
        <v>9</v>
      </c>
      <c r="C61" s="5" t="s">
        <v>8</v>
      </c>
      <c r="D61" s="5" t="s">
        <v>81</v>
      </c>
      <c r="E61" s="5" t="s">
        <v>8</v>
      </c>
      <c r="F61" s="5" t="s">
        <v>18</v>
      </c>
      <c r="G61" s="5" t="s">
        <v>16</v>
      </c>
      <c r="H61" s="5" t="s">
        <v>20</v>
      </c>
      <c r="I61" s="5" t="s">
        <v>8</v>
      </c>
      <c r="J61" s="5" t="s">
        <v>8</v>
      </c>
      <c r="K61" s="6" t="s">
        <v>46</v>
      </c>
      <c r="L61" s="6" t="s">
        <v>47</v>
      </c>
      <c r="M61" s="5" t="str" cm="1">
        <f t="array" ref="M61">_xlfn.XLOOKUP(L61, '[2]Function options'!$A$2:$A$21, '[2]Function options'!$B$2:B$21, "Not found")</f>
        <v>lin interpolation between given points - based on driver as x-aches</v>
      </c>
      <c r="N61" s="11" t="s">
        <v>42</v>
      </c>
      <c r="Q61" s="5" t="s">
        <v>26</v>
      </c>
      <c r="R61" s="5">
        <v>0.01</v>
      </c>
      <c r="Z61" s="5">
        <v>0</v>
      </c>
      <c r="AC61" s="5">
        <v>50</v>
      </c>
      <c r="AE61" t="s">
        <v>86</v>
      </c>
      <c r="AF61" s="5">
        <v>0</v>
      </c>
    </row>
    <row r="62" spans="1:32" s="5" customFormat="1" x14ac:dyDescent="0.3">
      <c r="A62" s="5" t="s">
        <v>8</v>
      </c>
      <c r="B62" s="5" t="s">
        <v>9</v>
      </c>
      <c r="C62" s="5" t="s">
        <v>8</v>
      </c>
      <c r="D62" s="5" t="s">
        <v>81</v>
      </c>
      <c r="E62" s="5" t="s">
        <v>8</v>
      </c>
      <c r="F62" s="5" t="s">
        <v>18</v>
      </c>
      <c r="G62" s="5" t="s">
        <v>16</v>
      </c>
      <c r="H62" s="5" t="s">
        <v>21</v>
      </c>
      <c r="I62" s="5" t="s">
        <v>8</v>
      </c>
      <c r="J62" s="5" t="s">
        <v>8</v>
      </c>
      <c r="K62" s="6" t="s">
        <v>46</v>
      </c>
      <c r="L62" s="6" t="s">
        <v>47</v>
      </c>
      <c r="M62" t="str" cm="1">
        <f t="array" ref="M62">_xlfn.XLOOKUP(L62, '[2]Function options'!$A$2:$A$21, '[2]Function options'!$B$2:B$21, "Not found")</f>
        <v>lin interpolation between given points - based on driver as x-aches</v>
      </c>
      <c r="N62" s="11" t="s">
        <v>42</v>
      </c>
      <c r="Q62" s="5" t="s">
        <v>26</v>
      </c>
      <c r="R62" s="5">
        <v>0.01</v>
      </c>
      <c r="Z62" s="5">
        <v>0</v>
      </c>
      <c r="AC62" s="5">
        <v>50</v>
      </c>
      <c r="AE62" t="s">
        <v>86</v>
      </c>
      <c r="AF62" s="5">
        <v>0</v>
      </c>
    </row>
    <row r="63" spans="1:32" s="5" customFormat="1" x14ac:dyDescent="0.3">
      <c r="A63" s="5" t="s">
        <v>8</v>
      </c>
      <c r="B63" s="5" t="s">
        <v>9</v>
      </c>
      <c r="C63" s="5" t="s">
        <v>8</v>
      </c>
      <c r="D63" s="5" t="s">
        <v>81</v>
      </c>
      <c r="E63" s="5" t="s">
        <v>8</v>
      </c>
      <c r="F63" s="5" t="s">
        <v>18</v>
      </c>
      <c r="G63" s="5" t="s">
        <v>16</v>
      </c>
      <c r="H63" s="5" t="s">
        <v>22</v>
      </c>
      <c r="I63" s="5" t="s">
        <v>8</v>
      </c>
      <c r="J63" s="5" t="s">
        <v>8</v>
      </c>
      <c r="K63" s="6" t="s">
        <v>46</v>
      </c>
      <c r="L63" s="6" t="s">
        <v>47</v>
      </c>
      <c r="M63" t="str" cm="1">
        <f t="array" ref="M63">_xlfn.XLOOKUP(L63, '[2]Function options'!$A$2:$A$21, '[2]Function options'!$B$2:B$21, "Not found")</f>
        <v>lin interpolation between given points - based on driver as x-aches</v>
      </c>
      <c r="N63" s="11" t="s">
        <v>42</v>
      </c>
      <c r="Q63" s="5" t="s">
        <v>26</v>
      </c>
      <c r="R63" s="5">
        <v>0.01</v>
      </c>
      <c r="Z63" s="5">
        <v>0</v>
      </c>
      <c r="AC63" s="5">
        <v>30</v>
      </c>
      <c r="AE63" t="s">
        <v>86</v>
      </c>
      <c r="AF63" s="5">
        <v>0</v>
      </c>
    </row>
    <row r="64" spans="1:32" s="5" customFormat="1" x14ac:dyDescent="0.3">
      <c r="A64" s="5" t="s">
        <v>8</v>
      </c>
      <c r="B64" s="5" t="s">
        <v>9</v>
      </c>
      <c r="C64" s="5" t="s">
        <v>8</v>
      </c>
      <c r="D64" s="5" t="s">
        <v>81</v>
      </c>
      <c r="E64" s="5" t="s">
        <v>8</v>
      </c>
      <c r="F64" s="5" t="s">
        <v>18</v>
      </c>
      <c r="G64" s="5" t="s">
        <v>16</v>
      </c>
      <c r="H64" s="5" t="s">
        <v>23</v>
      </c>
      <c r="I64" s="5" t="s">
        <v>8</v>
      </c>
      <c r="J64" s="5" t="s">
        <v>8</v>
      </c>
      <c r="K64" s="6" t="s">
        <v>46</v>
      </c>
      <c r="L64" s="6" t="s">
        <v>47</v>
      </c>
      <c r="M64" t="str" cm="1">
        <f t="array" ref="M64">_xlfn.XLOOKUP(L64, '[2]Function options'!$A$2:$A$21, '[2]Function options'!$B$2:B$21, "Not found")</f>
        <v>lin interpolation between given points - based on driver as x-aches</v>
      </c>
      <c r="N64" s="11" t="s">
        <v>42</v>
      </c>
      <c r="Q64" s="5" t="s">
        <v>26</v>
      </c>
      <c r="R64" s="5">
        <v>0.01</v>
      </c>
      <c r="Z64" s="5">
        <v>0</v>
      </c>
      <c r="AC64" s="5">
        <v>30</v>
      </c>
      <c r="AE64" t="s">
        <v>86</v>
      </c>
      <c r="AF64" s="5">
        <v>0</v>
      </c>
    </row>
    <row r="65" spans="1:32" s="5" customFormat="1" x14ac:dyDescent="0.3">
      <c r="A65" s="5" t="s">
        <v>8</v>
      </c>
      <c r="B65" s="5" t="s">
        <v>9</v>
      </c>
      <c r="C65" s="5" t="s">
        <v>8</v>
      </c>
      <c r="D65" s="5" t="s">
        <v>81</v>
      </c>
      <c r="E65" s="5" t="s">
        <v>8</v>
      </c>
      <c r="F65" s="5" t="s">
        <v>18</v>
      </c>
      <c r="G65" s="5" t="s">
        <v>16</v>
      </c>
      <c r="H65" s="5" t="s">
        <v>24</v>
      </c>
      <c r="I65" s="5" t="s">
        <v>8</v>
      </c>
      <c r="J65" s="5" t="s">
        <v>8</v>
      </c>
      <c r="K65" s="6" t="s">
        <v>46</v>
      </c>
      <c r="L65" s="6" t="s">
        <v>47</v>
      </c>
      <c r="M65" t="str" cm="1">
        <f t="array" ref="M65">_xlfn.XLOOKUP(L65, '[2]Function options'!$A$2:$A$21, '[2]Function options'!$B$2:B$21, "Not found")</f>
        <v>lin interpolation between given points - based on driver as x-aches</v>
      </c>
      <c r="N65" s="11" t="s">
        <v>42</v>
      </c>
      <c r="Q65" s="5" t="s">
        <v>26</v>
      </c>
      <c r="R65" s="5">
        <v>0.01</v>
      </c>
      <c r="Z65" s="5">
        <v>0</v>
      </c>
      <c r="AC65" s="5">
        <v>30</v>
      </c>
      <c r="AE65" t="s">
        <v>86</v>
      </c>
      <c r="AF65" s="5">
        <v>0</v>
      </c>
    </row>
    <row r="66" spans="1:32" s="5" customFormat="1" x14ac:dyDescent="0.3">
      <c r="A66" s="5" t="s">
        <v>8</v>
      </c>
      <c r="B66" s="5" t="s">
        <v>8</v>
      </c>
      <c r="C66" s="5" t="s">
        <v>8</v>
      </c>
      <c r="D66" s="5" t="s">
        <v>81</v>
      </c>
      <c r="E66" s="5" t="s">
        <v>8</v>
      </c>
      <c r="F66" s="5" t="s">
        <v>16</v>
      </c>
      <c r="G66" s="5" t="s">
        <v>16</v>
      </c>
      <c r="H66" s="5" t="s">
        <v>19</v>
      </c>
      <c r="I66" s="5" t="s">
        <v>8</v>
      </c>
      <c r="J66" s="5" t="s">
        <v>8</v>
      </c>
      <c r="K66" s="6" t="s">
        <v>46</v>
      </c>
      <c r="L66" s="6" t="s">
        <v>47</v>
      </c>
      <c r="M66" t="str" cm="1">
        <f t="array" ref="M66">_xlfn.XLOOKUP(L66, '[2]Function options'!$A$2:$A$21, '[2]Function options'!$B$2:B$21, "Not found")</f>
        <v>lin interpolation between given points - based on driver as x-aches</v>
      </c>
      <c r="N66" s="11" t="s">
        <v>42</v>
      </c>
      <c r="Q66" s="5" t="s">
        <v>26</v>
      </c>
      <c r="R66" s="5">
        <v>0.01</v>
      </c>
      <c r="Z66" s="5">
        <v>100</v>
      </c>
      <c r="AA66" s="5">
        <v>100</v>
      </c>
      <c r="AB66" s="5">
        <v>100</v>
      </c>
      <c r="AC66" s="5">
        <v>100</v>
      </c>
      <c r="AD66" s="5">
        <v>100</v>
      </c>
      <c r="AE66" t="s">
        <v>86</v>
      </c>
      <c r="AF66" s="5">
        <v>0</v>
      </c>
    </row>
    <row r="67" spans="1:32" s="5" customFormat="1" x14ac:dyDescent="0.3">
      <c r="A67" s="5" t="s">
        <v>8</v>
      </c>
      <c r="B67" s="5" t="s">
        <v>9</v>
      </c>
      <c r="C67" s="5" t="s">
        <v>8</v>
      </c>
      <c r="D67" s="5" t="s">
        <v>81</v>
      </c>
      <c r="E67" s="5" t="s">
        <v>8</v>
      </c>
      <c r="F67" s="5" t="s">
        <v>18</v>
      </c>
      <c r="G67" s="5" t="s">
        <v>77</v>
      </c>
      <c r="H67" s="5" t="s">
        <v>19</v>
      </c>
      <c r="I67" s="5" t="s">
        <v>8</v>
      </c>
      <c r="J67" s="5" t="s">
        <v>8</v>
      </c>
      <c r="K67" s="6" t="s">
        <v>46</v>
      </c>
      <c r="L67" s="6" t="s">
        <v>47</v>
      </c>
      <c r="M67" t="str" cm="1">
        <f t="array" ref="M67">_xlfn.XLOOKUP(L67, '[2]Function options'!$A$2:$A$21, '[2]Function options'!$B$2:B$21, "Not found")</f>
        <v>lin interpolation between given points - based on driver as x-aches</v>
      </c>
      <c r="N67" s="11" t="s">
        <v>42</v>
      </c>
      <c r="Q67" s="5" t="s">
        <v>26</v>
      </c>
      <c r="R67" s="5">
        <v>0.01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t="s">
        <v>86</v>
      </c>
      <c r="AF67" s="5">
        <v>0</v>
      </c>
    </row>
    <row r="68" spans="1:32" s="5" customFormat="1" x14ac:dyDescent="0.3">
      <c r="A68" s="5" t="s">
        <v>8</v>
      </c>
      <c r="B68" s="5" t="s">
        <v>9</v>
      </c>
      <c r="C68" s="5" t="s">
        <v>8</v>
      </c>
      <c r="D68" s="5" t="s">
        <v>81</v>
      </c>
      <c r="E68" s="5" t="s">
        <v>8</v>
      </c>
      <c r="F68" s="5" t="s">
        <v>18</v>
      </c>
      <c r="G68" s="5" t="s">
        <v>77</v>
      </c>
      <c r="H68" s="5" t="s">
        <v>20</v>
      </c>
      <c r="I68" s="5" t="s">
        <v>8</v>
      </c>
      <c r="J68" s="5" t="s">
        <v>8</v>
      </c>
      <c r="K68" s="6" t="s">
        <v>46</v>
      </c>
      <c r="L68" s="6" t="s">
        <v>47</v>
      </c>
      <c r="M68" t="str" cm="1">
        <f t="array" ref="M68">_xlfn.XLOOKUP(L68, '[2]Function options'!$A$2:$A$21, '[2]Function options'!$B$2:B$21, "Not found")</f>
        <v>lin interpolation between given points - based on driver as x-aches</v>
      </c>
      <c r="N68" s="11" t="s">
        <v>42</v>
      </c>
      <c r="Q68" s="5" t="s">
        <v>26</v>
      </c>
      <c r="R68" s="5">
        <v>0.01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t="s">
        <v>86</v>
      </c>
      <c r="AF68" s="5">
        <v>0</v>
      </c>
    </row>
    <row r="69" spans="1:32" s="5" customFormat="1" x14ac:dyDescent="0.3">
      <c r="A69" s="5" t="s">
        <v>8</v>
      </c>
      <c r="B69" s="5" t="s">
        <v>9</v>
      </c>
      <c r="C69" s="5" t="s">
        <v>8</v>
      </c>
      <c r="D69" s="5" t="s">
        <v>81</v>
      </c>
      <c r="E69" s="5" t="s">
        <v>8</v>
      </c>
      <c r="F69" s="5" t="s">
        <v>18</v>
      </c>
      <c r="G69" s="5" t="s">
        <v>77</v>
      </c>
      <c r="H69" s="5" t="s">
        <v>21</v>
      </c>
      <c r="I69" s="5" t="s">
        <v>8</v>
      </c>
      <c r="J69" s="5" t="s">
        <v>8</v>
      </c>
      <c r="K69" s="6" t="s">
        <v>46</v>
      </c>
      <c r="L69" s="6" t="s">
        <v>47</v>
      </c>
      <c r="M69" t="str" cm="1">
        <f t="array" ref="M69">_xlfn.XLOOKUP(L69, '[2]Function options'!$A$2:$A$21, '[2]Function options'!$B$2:B$21, "Not found")</f>
        <v>lin interpolation between given points - based on driver as x-aches</v>
      </c>
      <c r="N69" s="11" t="s">
        <v>42</v>
      </c>
      <c r="Q69" s="5" t="s">
        <v>26</v>
      </c>
      <c r="R69" s="5">
        <v>0.01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t="s">
        <v>86</v>
      </c>
      <c r="AF69" s="5">
        <v>0</v>
      </c>
    </row>
    <row r="70" spans="1:32" s="5" customFormat="1" x14ac:dyDescent="0.3">
      <c r="A70" s="5" t="s">
        <v>8</v>
      </c>
      <c r="B70" s="5" t="s">
        <v>9</v>
      </c>
      <c r="C70" s="5" t="s">
        <v>8</v>
      </c>
      <c r="D70" s="5" t="s">
        <v>81</v>
      </c>
      <c r="E70" s="5" t="s">
        <v>8</v>
      </c>
      <c r="F70" s="5" t="s">
        <v>18</v>
      </c>
      <c r="G70" s="5" t="s">
        <v>77</v>
      </c>
      <c r="H70" s="5" t="s">
        <v>22</v>
      </c>
      <c r="I70" s="5" t="s">
        <v>8</v>
      </c>
      <c r="J70" s="5" t="s">
        <v>8</v>
      </c>
      <c r="K70" s="6" t="s">
        <v>46</v>
      </c>
      <c r="L70" s="6" t="s">
        <v>47</v>
      </c>
      <c r="M70" t="str" cm="1">
        <f t="array" ref="M70">_xlfn.XLOOKUP(L70, '[2]Function options'!$A$2:$A$21, '[2]Function options'!$B$2:B$21, "Not found")</f>
        <v>lin interpolation between given points - based on driver as x-aches</v>
      </c>
      <c r="N70" s="11" t="s">
        <v>42</v>
      </c>
      <c r="Q70" s="5" t="s">
        <v>26</v>
      </c>
      <c r="R70" s="5">
        <v>0.01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t="s">
        <v>86</v>
      </c>
      <c r="AF70" s="5">
        <v>0</v>
      </c>
    </row>
    <row r="71" spans="1:32" s="5" customFormat="1" x14ac:dyDescent="0.3">
      <c r="A71" s="5" t="s">
        <v>8</v>
      </c>
      <c r="B71" s="5" t="s">
        <v>9</v>
      </c>
      <c r="C71" s="5" t="s">
        <v>8</v>
      </c>
      <c r="D71" s="5" t="s">
        <v>81</v>
      </c>
      <c r="E71" s="5" t="s">
        <v>8</v>
      </c>
      <c r="F71" s="5" t="s">
        <v>18</v>
      </c>
      <c r="G71" s="5" t="s">
        <v>77</v>
      </c>
      <c r="H71" s="5" t="s">
        <v>23</v>
      </c>
      <c r="I71" s="5" t="s">
        <v>8</v>
      </c>
      <c r="J71" s="5" t="s">
        <v>8</v>
      </c>
      <c r="K71" s="6" t="s">
        <v>46</v>
      </c>
      <c r="L71" s="6" t="s">
        <v>47</v>
      </c>
      <c r="M71" t="str" cm="1">
        <f t="array" ref="M71">_xlfn.XLOOKUP(L71, '[2]Function options'!$A$2:$A$21, '[2]Function options'!$B$2:B$21, "Not found")</f>
        <v>lin interpolation between given points - based on driver as x-aches</v>
      </c>
      <c r="N71" s="11" t="s">
        <v>42</v>
      </c>
      <c r="Q71" s="5" t="s">
        <v>26</v>
      </c>
      <c r="R71" s="5">
        <v>0.01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t="s">
        <v>86</v>
      </c>
      <c r="AF71" s="5">
        <v>0</v>
      </c>
    </row>
    <row r="72" spans="1:32" s="5" customFormat="1" x14ac:dyDescent="0.3">
      <c r="A72" s="5" t="s">
        <v>8</v>
      </c>
      <c r="B72" s="5" t="s">
        <v>9</v>
      </c>
      <c r="C72" s="5" t="s">
        <v>8</v>
      </c>
      <c r="D72" s="5" t="s">
        <v>81</v>
      </c>
      <c r="E72" s="5" t="s">
        <v>8</v>
      </c>
      <c r="F72" s="5" t="s">
        <v>18</v>
      </c>
      <c r="G72" s="5" t="s">
        <v>77</v>
      </c>
      <c r="H72" s="5" t="s">
        <v>24</v>
      </c>
      <c r="I72" s="5" t="s">
        <v>8</v>
      </c>
      <c r="J72" s="5" t="s">
        <v>8</v>
      </c>
      <c r="K72" s="6" t="s">
        <v>46</v>
      </c>
      <c r="L72" s="6" t="s">
        <v>47</v>
      </c>
      <c r="M72" t="str" cm="1">
        <f t="array" ref="M72">_xlfn.XLOOKUP(L72, '[2]Function options'!$A$2:$A$21, '[2]Function options'!$B$2:B$21, "Not found")</f>
        <v>lin interpolation between given points - based on driver as x-aches</v>
      </c>
      <c r="N72" s="11" t="s">
        <v>42</v>
      </c>
      <c r="Q72" s="5" t="s">
        <v>26</v>
      </c>
      <c r="R72" s="5">
        <v>0.01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t="s">
        <v>86</v>
      </c>
      <c r="AF72" s="5">
        <v>0</v>
      </c>
    </row>
    <row r="73" spans="1:32" s="5" customFormat="1" x14ac:dyDescent="0.3">
      <c r="A73" s="5" t="s">
        <v>8</v>
      </c>
      <c r="B73" s="5" t="s">
        <v>9</v>
      </c>
      <c r="C73" s="5" t="s">
        <v>8</v>
      </c>
      <c r="D73" s="5" t="s">
        <v>81</v>
      </c>
      <c r="E73" s="5" t="s">
        <v>8</v>
      </c>
      <c r="F73" s="5" t="s">
        <v>18</v>
      </c>
      <c r="G73" s="5" t="s">
        <v>78</v>
      </c>
      <c r="H73" s="5" t="s">
        <v>19</v>
      </c>
      <c r="I73" s="5" t="s">
        <v>8</v>
      </c>
      <c r="J73" s="5" t="s">
        <v>8</v>
      </c>
      <c r="K73" s="6" t="s">
        <v>46</v>
      </c>
      <c r="L73" s="6" t="s">
        <v>47</v>
      </c>
      <c r="M73" t="str" cm="1">
        <f t="array" ref="M73">_xlfn.XLOOKUP(L73, '[2]Function options'!$A$2:$A$21, '[2]Function options'!$B$2:B$21, "Not found")</f>
        <v>lin interpolation between given points - based on driver as x-aches</v>
      </c>
      <c r="N73" s="11" t="s">
        <v>42</v>
      </c>
      <c r="Q73" s="5" t="s">
        <v>26</v>
      </c>
      <c r="R73" s="5">
        <v>0.01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t="s">
        <v>86</v>
      </c>
      <c r="AF73" s="5">
        <v>0</v>
      </c>
    </row>
    <row r="74" spans="1:32" s="5" customFormat="1" x14ac:dyDescent="0.3">
      <c r="A74" s="5" t="s">
        <v>8</v>
      </c>
      <c r="B74" s="5" t="s">
        <v>9</v>
      </c>
      <c r="C74" s="5" t="s">
        <v>8</v>
      </c>
      <c r="D74" s="5" t="s">
        <v>81</v>
      </c>
      <c r="E74" s="5" t="s">
        <v>8</v>
      </c>
      <c r="F74" s="5" t="s">
        <v>18</v>
      </c>
      <c r="G74" s="5" t="s">
        <v>78</v>
      </c>
      <c r="H74" s="5" t="s">
        <v>20</v>
      </c>
      <c r="I74" s="5" t="s">
        <v>8</v>
      </c>
      <c r="J74" s="5" t="s">
        <v>8</v>
      </c>
      <c r="K74" s="6" t="s">
        <v>46</v>
      </c>
      <c r="L74" s="6" t="s">
        <v>47</v>
      </c>
      <c r="M74" t="str" cm="1">
        <f t="array" ref="M74">_xlfn.XLOOKUP(L74, '[2]Function options'!$A$2:$A$21, '[2]Function options'!$B$2:B$21, "Not found")</f>
        <v>lin interpolation between given points - based on driver as x-aches</v>
      </c>
      <c r="N74" s="11" t="s">
        <v>42</v>
      </c>
      <c r="Q74" s="5" t="s">
        <v>26</v>
      </c>
      <c r="R74" s="5">
        <v>0.01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t="s">
        <v>86</v>
      </c>
      <c r="AF74" s="5">
        <v>0</v>
      </c>
    </row>
    <row r="75" spans="1:32" s="5" customFormat="1" x14ac:dyDescent="0.3">
      <c r="A75" s="5" t="s">
        <v>8</v>
      </c>
      <c r="B75" s="5" t="s">
        <v>9</v>
      </c>
      <c r="C75" s="5" t="s">
        <v>8</v>
      </c>
      <c r="D75" s="5" t="s">
        <v>81</v>
      </c>
      <c r="E75" s="5" t="s">
        <v>8</v>
      </c>
      <c r="F75" s="5" t="s">
        <v>18</v>
      </c>
      <c r="G75" s="5" t="s">
        <v>78</v>
      </c>
      <c r="H75" s="5" t="s">
        <v>21</v>
      </c>
      <c r="I75" s="5" t="s">
        <v>8</v>
      </c>
      <c r="J75" s="5" t="s">
        <v>8</v>
      </c>
      <c r="K75" s="6" t="s">
        <v>46</v>
      </c>
      <c r="L75" s="6" t="s">
        <v>47</v>
      </c>
      <c r="M75" t="str" cm="1">
        <f t="array" ref="M75">_xlfn.XLOOKUP(L75, '[2]Function options'!$A$2:$A$21, '[2]Function options'!$B$2:B$21, "Not found")</f>
        <v>lin interpolation between given points - based on driver as x-aches</v>
      </c>
      <c r="N75" s="11" t="s">
        <v>42</v>
      </c>
      <c r="Q75" s="5" t="s">
        <v>26</v>
      </c>
      <c r="R75" s="5">
        <v>0.01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t="s">
        <v>86</v>
      </c>
      <c r="AF75" s="5">
        <v>0</v>
      </c>
    </row>
    <row r="76" spans="1:32" s="5" customFormat="1" x14ac:dyDescent="0.3">
      <c r="A76" s="5" t="s">
        <v>8</v>
      </c>
      <c r="B76" s="5" t="s">
        <v>9</v>
      </c>
      <c r="C76" s="5" t="s">
        <v>8</v>
      </c>
      <c r="D76" s="5" t="s">
        <v>81</v>
      </c>
      <c r="E76" s="5" t="s">
        <v>8</v>
      </c>
      <c r="F76" s="5" t="s">
        <v>18</v>
      </c>
      <c r="G76" s="5" t="s">
        <v>78</v>
      </c>
      <c r="H76" s="5" t="s">
        <v>22</v>
      </c>
      <c r="I76" s="5" t="s">
        <v>8</v>
      </c>
      <c r="J76" s="5" t="s">
        <v>8</v>
      </c>
      <c r="K76" s="6" t="s">
        <v>46</v>
      </c>
      <c r="L76" s="6" t="s">
        <v>47</v>
      </c>
      <c r="M76" t="str" cm="1">
        <f t="array" ref="M76">_xlfn.XLOOKUP(L76, '[2]Function options'!$A$2:$A$21, '[2]Function options'!$B$2:B$21, "Not found")</f>
        <v>lin interpolation between given points - based on driver as x-aches</v>
      </c>
      <c r="N76" s="11" t="s">
        <v>42</v>
      </c>
      <c r="Q76" s="5" t="s">
        <v>26</v>
      </c>
      <c r="R76" s="5">
        <v>0.01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t="s">
        <v>86</v>
      </c>
      <c r="AF76" s="5">
        <v>0</v>
      </c>
    </row>
    <row r="77" spans="1:32" s="5" customFormat="1" x14ac:dyDescent="0.3">
      <c r="A77" s="5" t="s">
        <v>8</v>
      </c>
      <c r="B77" s="5" t="s">
        <v>9</v>
      </c>
      <c r="C77" s="5" t="s">
        <v>8</v>
      </c>
      <c r="D77" s="5" t="s">
        <v>81</v>
      </c>
      <c r="E77" s="5" t="s">
        <v>8</v>
      </c>
      <c r="F77" s="5" t="s">
        <v>18</v>
      </c>
      <c r="G77" s="5" t="s">
        <v>78</v>
      </c>
      <c r="H77" s="5" t="s">
        <v>23</v>
      </c>
      <c r="I77" s="5" t="s">
        <v>8</v>
      </c>
      <c r="J77" s="5" t="s">
        <v>8</v>
      </c>
      <c r="K77" s="6" t="s">
        <v>46</v>
      </c>
      <c r="L77" s="6" t="s">
        <v>47</v>
      </c>
      <c r="M77" t="str" cm="1">
        <f t="array" ref="M77">_xlfn.XLOOKUP(L77, '[2]Function options'!$A$2:$A$21, '[2]Function options'!$B$2:B$21, "Not found")</f>
        <v>lin interpolation between given points - based on driver as x-aches</v>
      </c>
      <c r="N77" s="11" t="s">
        <v>42</v>
      </c>
      <c r="Q77" s="5" t="s">
        <v>26</v>
      </c>
      <c r="R77" s="5">
        <v>0.01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t="s">
        <v>86</v>
      </c>
      <c r="AF77" s="5">
        <v>0</v>
      </c>
    </row>
    <row r="78" spans="1:32" s="5" customFormat="1" x14ac:dyDescent="0.3">
      <c r="A78" s="5" t="s">
        <v>8</v>
      </c>
      <c r="B78" s="5" t="s">
        <v>9</v>
      </c>
      <c r="C78" s="5" t="s">
        <v>8</v>
      </c>
      <c r="D78" s="5" t="s">
        <v>81</v>
      </c>
      <c r="E78" s="5" t="s">
        <v>8</v>
      </c>
      <c r="F78" s="5" t="s">
        <v>18</v>
      </c>
      <c r="G78" s="5" t="s">
        <v>78</v>
      </c>
      <c r="H78" s="5" t="s">
        <v>24</v>
      </c>
      <c r="I78" s="5" t="s">
        <v>8</v>
      </c>
      <c r="J78" s="5" t="s">
        <v>8</v>
      </c>
      <c r="K78" s="6" t="s">
        <v>46</v>
      </c>
      <c r="L78" s="6" t="s">
        <v>47</v>
      </c>
      <c r="M78" t="str" cm="1">
        <f t="array" ref="M78">_xlfn.XLOOKUP(L78, '[2]Function options'!$A$2:$A$21, '[2]Function options'!$B$2:B$21, "Not found")</f>
        <v>lin interpolation between given points - based on driver as x-aches</v>
      </c>
      <c r="N78" s="11" t="s">
        <v>42</v>
      </c>
      <c r="Q78" s="5" t="s">
        <v>26</v>
      </c>
      <c r="R78" s="5">
        <v>0.01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t="s">
        <v>86</v>
      </c>
      <c r="AF78" s="5">
        <v>0</v>
      </c>
    </row>
    <row r="79" spans="1:32" s="5" customFormat="1" x14ac:dyDescent="0.3">
      <c r="A79" s="5" t="s">
        <v>8</v>
      </c>
      <c r="B79" s="5" t="s">
        <v>9</v>
      </c>
      <c r="C79" s="5" t="s">
        <v>8</v>
      </c>
      <c r="D79" s="5" t="s">
        <v>81</v>
      </c>
      <c r="E79" s="5" t="s">
        <v>8</v>
      </c>
      <c r="F79" s="5" t="s">
        <v>18</v>
      </c>
      <c r="G79" s="5" t="s">
        <v>80</v>
      </c>
      <c r="H79" s="5" t="s">
        <v>19</v>
      </c>
      <c r="I79" s="5" t="s">
        <v>8</v>
      </c>
      <c r="J79" s="5" t="s">
        <v>8</v>
      </c>
      <c r="K79" s="6" t="s">
        <v>46</v>
      </c>
      <c r="L79" s="6" t="s">
        <v>47</v>
      </c>
      <c r="M79" t="str" cm="1">
        <f t="array" ref="M79">_xlfn.XLOOKUP(L79, '[2]Function options'!$A$2:$A$21, '[2]Function options'!$B$2:B$21, "Not found")</f>
        <v>lin interpolation between given points - based on driver as x-aches</v>
      </c>
      <c r="N79" s="11" t="s">
        <v>42</v>
      </c>
      <c r="Q79" s="5" t="s">
        <v>26</v>
      </c>
      <c r="R79" s="5">
        <v>0.01</v>
      </c>
      <c r="Z79" s="5">
        <v>100</v>
      </c>
      <c r="AA79" s="5">
        <v>100</v>
      </c>
      <c r="AB79" s="5">
        <v>100</v>
      </c>
      <c r="AC79" s="5">
        <v>100</v>
      </c>
      <c r="AD79" s="5">
        <v>100</v>
      </c>
      <c r="AE79" t="s">
        <v>86</v>
      </c>
      <c r="AF79" s="5">
        <v>0</v>
      </c>
    </row>
    <row r="80" spans="1:32" s="5" customFormat="1" x14ac:dyDescent="0.3">
      <c r="A80" s="5" t="s">
        <v>8</v>
      </c>
      <c r="B80" s="5" t="s">
        <v>9</v>
      </c>
      <c r="C80" s="5" t="s">
        <v>8</v>
      </c>
      <c r="D80" s="5" t="s">
        <v>81</v>
      </c>
      <c r="E80" s="5" t="s">
        <v>8</v>
      </c>
      <c r="F80" s="5" t="s">
        <v>18</v>
      </c>
      <c r="G80" s="5" t="s">
        <v>80</v>
      </c>
      <c r="H80" s="5" t="s">
        <v>20</v>
      </c>
      <c r="I80" s="5" t="s">
        <v>8</v>
      </c>
      <c r="J80" s="5" t="s">
        <v>8</v>
      </c>
      <c r="K80" s="6" t="s">
        <v>46</v>
      </c>
      <c r="L80" s="6" t="s">
        <v>47</v>
      </c>
      <c r="M80" t="str" cm="1">
        <f t="array" ref="M80">_xlfn.XLOOKUP(L80, '[2]Function options'!$A$2:$A$21, '[2]Function options'!$B$2:B$21, "Not found")</f>
        <v>lin interpolation between given points - based on driver as x-aches</v>
      </c>
      <c r="N80" s="11" t="s">
        <v>42</v>
      </c>
      <c r="Q80" s="5" t="s">
        <v>26</v>
      </c>
      <c r="R80" s="5">
        <v>0.01</v>
      </c>
      <c r="Z80" s="5">
        <v>100</v>
      </c>
      <c r="AC80" s="5">
        <v>0</v>
      </c>
      <c r="AE80" t="s">
        <v>86</v>
      </c>
      <c r="AF80" s="5">
        <v>0</v>
      </c>
    </row>
    <row r="81" spans="1:32" s="5" customFormat="1" x14ac:dyDescent="0.3">
      <c r="A81" s="5" t="s">
        <v>8</v>
      </c>
      <c r="B81" s="5" t="s">
        <v>9</v>
      </c>
      <c r="C81" s="5" t="s">
        <v>8</v>
      </c>
      <c r="D81" s="5" t="s">
        <v>81</v>
      </c>
      <c r="E81" s="5" t="s">
        <v>8</v>
      </c>
      <c r="F81" s="5" t="s">
        <v>18</v>
      </c>
      <c r="G81" s="5" t="s">
        <v>80</v>
      </c>
      <c r="H81" s="5" t="s">
        <v>21</v>
      </c>
      <c r="I81" s="5" t="s">
        <v>8</v>
      </c>
      <c r="J81" s="5" t="s">
        <v>8</v>
      </c>
      <c r="K81" s="6" t="s">
        <v>46</v>
      </c>
      <c r="L81" s="6" t="s">
        <v>47</v>
      </c>
      <c r="M81" t="str" cm="1">
        <f t="array" ref="M81">_xlfn.XLOOKUP(L81, '[2]Function options'!$A$2:$A$21, '[2]Function options'!$B$2:B$21, "Not found")</f>
        <v>lin interpolation between given points - based on driver as x-aches</v>
      </c>
      <c r="N81" s="11" t="s">
        <v>42</v>
      </c>
      <c r="Q81" s="5" t="s">
        <v>26</v>
      </c>
      <c r="R81" s="5">
        <v>0.01</v>
      </c>
      <c r="Z81" s="5">
        <v>100</v>
      </c>
      <c r="AC81" s="5">
        <v>0</v>
      </c>
      <c r="AE81" t="s">
        <v>86</v>
      </c>
      <c r="AF81" s="5">
        <v>0</v>
      </c>
    </row>
    <row r="82" spans="1:32" s="5" customFormat="1" x14ac:dyDescent="0.3">
      <c r="A82" s="5" t="s">
        <v>8</v>
      </c>
      <c r="B82" s="5" t="s">
        <v>9</v>
      </c>
      <c r="C82" s="5" t="s">
        <v>8</v>
      </c>
      <c r="D82" s="5" t="s">
        <v>81</v>
      </c>
      <c r="E82" s="5" t="s">
        <v>8</v>
      </c>
      <c r="F82" s="5" t="s">
        <v>18</v>
      </c>
      <c r="G82" s="5" t="s">
        <v>80</v>
      </c>
      <c r="H82" s="5" t="s">
        <v>22</v>
      </c>
      <c r="I82" s="5" t="s">
        <v>8</v>
      </c>
      <c r="J82" s="5" t="s">
        <v>8</v>
      </c>
      <c r="K82" s="6" t="s">
        <v>46</v>
      </c>
      <c r="L82" s="6" t="s">
        <v>47</v>
      </c>
      <c r="M82" t="str" cm="1">
        <f t="array" ref="M82">_xlfn.XLOOKUP(L82, '[2]Function options'!$A$2:$A$21, '[2]Function options'!$B$2:B$21, "Not found")</f>
        <v>lin interpolation between given points - based on driver as x-aches</v>
      </c>
      <c r="N82" s="11" t="s">
        <v>42</v>
      </c>
      <c r="Q82" s="5" t="s">
        <v>26</v>
      </c>
      <c r="R82" s="5">
        <v>0.01</v>
      </c>
      <c r="Z82" s="5">
        <v>100</v>
      </c>
      <c r="AC82" s="5">
        <v>0</v>
      </c>
      <c r="AE82" t="s">
        <v>86</v>
      </c>
      <c r="AF82" s="5">
        <v>0</v>
      </c>
    </row>
    <row r="83" spans="1:32" s="5" customFormat="1" x14ac:dyDescent="0.3">
      <c r="A83" s="5" t="s">
        <v>8</v>
      </c>
      <c r="B83" s="5" t="s">
        <v>9</v>
      </c>
      <c r="C83" s="5" t="s">
        <v>8</v>
      </c>
      <c r="D83" s="5" t="s">
        <v>81</v>
      </c>
      <c r="E83" s="5" t="s">
        <v>8</v>
      </c>
      <c r="F83" s="5" t="s">
        <v>18</v>
      </c>
      <c r="G83" s="5" t="s">
        <v>80</v>
      </c>
      <c r="H83" s="5" t="s">
        <v>23</v>
      </c>
      <c r="I83" s="5" t="s">
        <v>8</v>
      </c>
      <c r="J83" s="5" t="s">
        <v>8</v>
      </c>
      <c r="K83" s="6" t="s">
        <v>46</v>
      </c>
      <c r="L83" s="6" t="s">
        <v>47</v>
      </c>
      <c r="M83" t="str" cm="1">
        <f t="array" ref="M83">_xlfn.XLOOKUP(L83, '[2]Function options'!$A$2:$A$21, '[2]Function options'!$B$2:B$21, "Not found")</f>
        <v>lin interpolation between given points - based on driver as x-aches</v>
      </c>
      <c r="N83" s="11" t="s">
        <v>42</v>
      </c>
      <c r="Q83" s="5" t="s">
        <v>26</v>
      </c>
      <c r="R83" s="5">
        <v>0.01</v>
      </c>
      <c r="Z83" s="5">
        <v>100</v>
      </c>
      <c r="AC83" s="5">
        <v>0</v>
      </c>
      <c r="AE83" t="s">
        <v>86</v>
      </c>
      <c r="AF83" s="5">
        <v>0</v>
      </c>
    </row>
    <row r="84" spans="1:32" s="5" customFormat="1" x14ac:dyDescent="0.3">
      <c r="A84" s="5" t="s">
        <v>8</v>
      </c>
      <c r="B84" s="5" t="s">
        <v>9</v>
      </c>
      <c r="C84" s="5" t="s">
        <v>8</v>
      </c>
      <c r="D84" s="5" t="s">
        <v>81</v>
      </c>
      <c r="E84" s="5" t="s">
        <v>8</v>
      </c>
      <c r="F84" s="5" t="s">
        <v>18</v>
      </c>
      <c r="G84" s="5" t="s">
        <v>80</v>
      </c>
      <c r="H84" s="5" t="s">
        <v>24</v>
      </c>
      <c r="I84" s="5" t="s">
        <v>8</v>
      </c>
      <c r="J84" s="5" t="s">
        <v>8</v>
      </c>
      <c r="K84" s="6" t="s">
        <v>46</v>
      </c>
      <c r="L84" s="6" t="s">
        <v>47</v>
      </c>
      <c r="M84" t="str" cm="1">
        <f t="array" ref="M84">_xlfn.XLOOKUP(L84, '[2]Function options'!$A$2:$A$21, '[2]Function options'!$B$2:B$21, "Not found")</f>
        <v>lin interpolation between given points - based on driver as x-aches</v>
      </c>
      <c r="N84" s="11" t="s">
        <v>42</v>
      </c>
      <c r="Q84" s="5" t="s">
        <v>26</v>
      </c>
      <c r="R84" s="5">
        <v>0.01</v>
      </c>
      <c r="Z84" s="5">
        <v>100</v>
      </c>
      <c r="AC84" s="5">
        <v>0</v>
      </c>
      <c r="AE84" t="s">
        <v>86</v>
      </c>
      <c r="AF84" s="5">
        <v>0</v>
      </c>
    </row>
    <row r="85" spans="1:32" s="5" customFormat="1" x14ac:dyDescent="0.3">
      <c r="A85" s="5" t="s">
        <v>8</v>
      </c>
      <c r="B85" s="5" t="s">
        <v>9</v>
      </c>
      <c r="C85" s="5" t="s">
        <v>8</v>
      </c>
      <c r="D85" s="5" t="s">
        <v>81</v>
      </c>
      <c r="E85" s="5" t="s">
        <v>8</v>
      </c>
      <c r="F85" s="5" t="s">
        <v>18</v>
      </c>
      <c r="G85" s="6" t="s">
        <v>17</v>
      </c>
      <c r="H85" s="5" t="s">
        <v>19</v>
      </c>
      <c r="I85" s="5" t="s">
        <v>8</v>
      </c>
      <c r="J85" s="5" t="s">
        <v>8</v>
      </c>
      <c r="K85" s="6" t="s">
        <v>46</v>
      </c>
      <c r="L85" s="6" t="s">
        <v>47</v>
      </c>
      <c r="M85" t="str" cm="1">
        <f t="array" ref="M85">_xlfn.XLOOKUP(L85, '[2]Function options'!$A$2:$A$21, '[2]Function options'!$B$2:B$21, "Not found")</f>
        <v>lin interpolation between given points - based on driver as x-aches</v>
      </c>
      <c r="N85" s="11" t="s">
        <v>42</v>
      </c>
      <c r="Q85" s="5" t="s">
        <v>26</v>
      </c>
      <c r="R85" s="5">
        <v>0.01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t="s">
        <v>86</v>
      </c>
      <c r="AF85" s="5">
        <v>0</v>
      </c>
    </row>
    <row r="86" spans="1:32" s="5" customFormat="1" x14ac:dyDescent="0.3">
      <c r="A86" s="5" t="s">
        <v>8</v>
      </c>
      <c r="B86" s="5" t="s">
        <v>9</v>
      </c>
      <c r="C86" s="5" t="s">
        <v>8</v>
      </c>
      <c r="D86" s="5" t="s">
        <v>81</v>
      </c>
      <c r="E86" s="5" t="s">
        <v>8</v>
      </c>
      <c r="F86" s="5" t="s">
        <v>18</v>
      </c>
      <c r="G86" s="6" t="s">
        <v>17</v>
      </c>
      <c r="H86" s="5" t="s">
        <v>20</v>
      </c>
      <c r="I86" s="5" t="s">
        <v>8</v>
      </c>
      <c r="J86" s="5" t="s">
        <v>8</v>
      </c>
      <c r="K86" s="6" t="s">
        <v>46</v>
      </c>
      <c r="L86" s="6" t="s">
        <v>47</v>
      </c>
      <c r="M86" t="str" cm="1">
        <f t="array" ref="M86">_xlfn.XLOOKUP(L86, '[2]Function options'!$A$2:$A$21, '[2]Function options'!$B$2:B$21, "Not found")</f>
        <v>lin interpolation between given points - based on driver as x-aches</v>
      </c>
      <c r="N86" s="11" t="s">
        <v>42</v>
      </c>
      <c r="Q86" s="5" t="s">
        <v>26</v>
      </c>
      <c r="R86" s="5">
        <v>0.01</v>
      </c>
      <c r="Z86" s="5">
        <v>0</v>
      </c>
      <c r="AC86" s="5">
        <v>0</v>
      </c>
      <c r="AE86" t="s">
        <v>86</v>
      </c>
      <c r="AF86" s="5">
        <v>0</v>
      </c>
    </row>
    <row r="87" spans="1:32" s="5" customFormat="1" x14ac:dyDescent="0.3">
      <c r="A87" s="5" t="s">
        <v>8</v>
      </c>
      <c r="B87" s="5" t="s">
        <v>9</v>
      </c>
      <c r="C87" s="5" t="s">
        <v>8</v>
      </c>
      <c r="D87" s="5" t="s">
        <v>81</v>
      </c>
      <c r="E87" s="5" t="s">
        <v>8</v>
      </c>
      <c r="F87" s="5" t="s">
        <v>18</v>
      </c>
      <c r="G87" s="6" t="s">
        <v>17</v>
      </c>
      <c r="H87" s="5" t="s">
        <v>21</v>
      </c>
      <c r="I87" s="5" t="s">
        <v>8</v>
      </c>
      <c r="J87" s="5" t="s">
        <v>8</v>
      </c>
      <c r="K87" s="6" t="s">
        <v>46</v>
      </c>
      <c r="L87" s="6" t="s">
        <v>47</v>
      </c>
      <c r="M87" t="str" cm="1">
        <f t="array" ref="M87">_xlfn.XLOOKUP(L87, '[2]Function options'!$A$2:$A$21, '[2]Function options'!$B$2:B$21, "Not found")</f>
        <v>lin interpolation between given points - based on driver as x-aches</v>
      </c>
      <c r="N87" s="11" t="s">
        <v>42</v>
      </c>
      <c r="Q87" s="5" t="s">
        <v>26</v>
      </c>
      <c r="R87" s="5">
        <v>0.01</v>
      </c>
      <c r="Z87" s="5">
        <v>0</v>
      </c>
      <c r="AC87" s="5">
        <v>0</v>
      </c>
      <c r="AE87" t="s">
        <v>86</v>
      </c>
      <c r="AF87" s="5">
        <v>0</v>
      </c>
    </row>
    <row r="88" spans="1:32" s="5" customFormat="1" x14ac:dyDescent="0.3">
      <c r="A88" s="5" t="s">
        <v>8</v>
      </c>
      <c r="B88" s="5" t="s">
        <v>9</v>
      </c>
      <c r="C88" s="5" t="s">
        <v>8</v>
      </c>
      <c r="D88" s="5" t="s">
        <v>81</v>
      </c>
      <c r="E88" s="5" t="s">
        <v>8</v>
      </c>
      <c r="F88" s="5" t="s">
        <v>18</v>
      </c>
      <c r="G88" s="6" t="s">
        <v>17</v>
      </c>
      <c r="H88" s="5" t="s">
        <v>22</v>
      </c>
      <c r="I88" s="5" t="s">
        <v>8</v>
      </c>
      <c r="J88" s="5" t="s">
        <v>8</v>
      </c>
      <c r="K88" s="6" t="s">
        <v>46</v>
      </c>
      <c r="L88" s="6" t="s">
        <v>47</v>
      </c>
      <c r="M88" t="str" cm="1">
        <f t="array" ref="M88">_xlfn.XLOOKUP(L88, '[2]Function options'!$A$2:$A$21, '[2]Function options'!$B$2:B$21, "Not found")</f>
        <v>lin interpolation between given points - based on driver as x-aches</v>
      </c>
      <c r="N88" s="11" t="s">
        <v>42</v>
      </c>
      <c r="Q88" s="5" t="s">
        <v>26</v>
      </c>
      <c r="R88" s="5">
        <v>0.01</v>
      </c>
      <c r="Z88" s="5">
        <v>0</v>
      </c>
      <c r="AC88" s="5">
        <v>70</v>
      </c>
      <c r="AE88" t="s">
        <v>86</v>
      </c>
      <c r="AF88" s="5">
        <v>0</v>
      </c>
    </row>
    <row r="89" spans="1:32" s="5" customFormat="1" x14ac:dyDescent="0.3">
      <c r="A89" s="5" t="s">
        <v>8</v>
      </c>
      <c r="B89" s="5" t="s">
        <v>9</v>
      </c>
      <c r="C89" s="5" t="s">
        <v>8</v>
      </c>
      <c r="D89" s="5" t="s">
        <v>81</v>
      </c>
      <c r="E89" s="5" t="s">
        <v>8</v>
      </c>
      <c r="F89" s="5" t="s">
        <v>18</v>
      </c>
      <c r="G89" s="6" t="s">
        <v>17</v>
      </c>
      <c r="H89" s="5" t="s">
        <v>23</v>
      </c>
      <c r="I89" s="5" t="s">
        <v>8</v>
      </c>
      <c r="J89" s="5" t="s">
        <v>8</v>
      </c>
      <c r="K89" s="6" t="s">
        <v>46</v>
      </c>
      <c r="L89" s="6" t="s">
        <v>47</v>
      </c>
      <c r="M89" t="str" cm="1">
        <f t="array" ref="M89">_xlfn.XLOOKUP(L89, '[2]Function options'!$A$2:$A$21, '[2]Function options'!$B$2:B$21, "Not found")</f>
        <v>lin interpolation between given points - based on driver as x-aches</v>
      </c>
      <c r="N89" s="11" t="s">
        <v>42</v>
      </c>
      <c r="Q89" s="5" t="s">
        <v>26</v>
      </c>
      <c r="R89" s="5">
        <v>0.01</v>
      </c>
      <c r="Z89" s="5">
        <v>0</v>
      </c>
      <c r="AC89" s="5">
        <v>70</v>
      </c>
      <c r="AE89" t="s">
        <v>86</v>
      </c>
      <c r="AF89" s="5">
        <v>0</v>
      </c>
    </row>
    <row r="90" spans="1:32" s="5" customFormat="1" x14ac:dyDescent="0.3">
      <c r="A90" s="5" t="s">
        <v>8</v>
      </c>
      <c r="B90" s="5" t="s">
        <v>9</v>
      </c>
      <c r="C90" s="5" t="s">
        <v>8</v>
      </c>
      <c r="D90" s="5" t="s">
        <v>81</v>
      </c>
      <c r="E90" s="5" t="s">
        <v>8</v>
      </c>
      <c r="F90" s="5" t="s">
        <v>18</v>
      </c>
      <c r="G90" s="6" t="s">
        <v>17</v>
      </c>
      <c r="H90" s="5" t="s">
        <v>24</v>
      </c>
      <c r="I90" s="5" t="s">
        <v>8</v>
      </c>
      <c r="J90" s="5" t="s">
        <v>8</v>
      </c>
      <c r="K90" s="6" t="s">
        <v>46</v>
      </c>
      <c r="L90" s="6" t="s">
        <v>47</v>
      </c>
      <c r="M90" t="str" cm="1">
        <f t="array" ref="M90">_xlfn.XLOOKUP(L90, '[2]Function options'!$A$2:$A$21, '[2]Function options'!$B$2:B$21, "Not found")</f>
        <v>lin interpolation between given points - based on driver as x-aches</v>
      </c>
      <c r="N90" s="11" t="s">
        <v>42</v>
      </c>
      <c r="Q90" s="5" t="s">
        <v>26</v>
      </c>
      <c r="R90" s="5">
        <v>0.01</v>
      </c>
      <c r="Z90" s="5">
        <v>0</v>
      </c>
      <c r="AC90" s="5">
        <v>70</v>
      </c>
      <c r="AE90" t="s">
        <v>86</v>
      </c>
      <c r="AF90" s="5">
        <v>0</v>
      </c>
    </row>
    <row r="91" spans="1:32" s="5" customFormat="1" x14ac:dyDescent="0.3">
      <c r="A91" s="5" t="s">
        <v>8</v>
      </c>
      <c r="B91" s="5" t="s">
        <v>9</v>
      </c>
      <c r="C91" s="5" t="s">
        <v>8</v>
      </c>
      <c r="D91" s="5" t="s">
        <v>81</v>
      </c>
      <c r="E91" s="5" t="s">
        <v>8</v>
      </c>
      <c r="F91" s="5" t="s">
        <v>18</v>
      </c>
      <c r="G91" s="5" t="s">
        <v>79</v>
      </c>
      <c r="H91" s="5" t="s">
        <v>19</v>
      </c>
      <c r="I91" s="5" t="s">
        <v>8</v>
      </c>
      <c r="J91" s="5" t="s">
        <v>8</v>
      </c>
      <c r="K91" s="6" t="s">
        <v>46</v>
      </c>
      <c r="L91" s="6" t="s">
        <v>47</v>
      </c>
      <c r="M91" t="str" cm="1">
        <f t="array" ref="M91">_xlfn.XLOOKUP(L91, '[2]Function options'!$A$2:$A$21, '[2]Function options'!$B$2:B$21, "Not found")</f>
        <v>lin interpolation between given points - based on driver as x-aches</v>
      </c>
      <c r="N91" s="11" t="s">
        <v>42</v>
      </c>
      <c r="Q91" s="5" t="s">
        <v>26</v>
      </c>
      <c r="R91" s="5">
        <v>0.01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t="s">
        <v>86</v>
      </c>
      <c r="AF91" s="5">
        <v>0</v>
      </c>
    </row>
    <row r="92" spans="1:32" s="5" customFormat="1" x14ac:dyDescent="0.3">
      <c r="A92" s="5" t="s">
        <v>8</v>
      </c>
      <c r="B92" s="5" t="s">
        <v>9</v>
      </c>
      <c r="C92" s="5" t="s">
        <v>8</v>
      </c>
      <c r="D92" s="5" t="s">
        <v>81</v>
      </c>
      <c r="E92" s="5" t="s">
        <v>8</v>
      </c>
      <c r="F92" s="5" t="s">
        <v>18</v>
      </c>
      <c r="G92" s="5" t="s">
        <v>79</v>
      </c>
      <c r="H92" s="5" t="s">
        <v>20</v>
      </c>
      <c r="I92" s="5" t="s">
        <v>8</v>
      </c>
      <c r="J92" s="5" t="s">
        <v>8</v>
      </c>
      <c r="K92" s="6" t="s">
        <v>46</v>
      </c>
      <c r="L92" s="6" t="s">
        <v>47</v>
      </c>
      <c r="M92" t="str" cm="1">
        <f t="array" ref="M92">_xlfn.XLOOKUP(L92, '[2]Function options'!$A$2:$A$21, '[2]Function options'!$B$2:B$21, "Not found")</f>
        <v>lin interpolation between given points - based on driver as x-aches</v>
      </c>
      <c r="N92" s="11" t="s">
        <v>42</v>
      </c>
      <c r="Q92" s="5" t="s">
        <v>26</v>
      </c>
      <c r="R92" s="5">
        <v>0.01</v>
      </c>
      <c r="Z92" s="5">
        <v>0</v>
      </c>
      <c r="AC92" s="5">
        <v>50</v>
      </c>
      <c r="AE92" t="s">
        <v>86</v>
      </c>
      <c r="AF92" s="5">
        <v>0</v>
      </c>
    </row>
    <row r="93" spans="1:32" s="5" customFormat="1" ht="15.6" customHeight="1" x14ac:dyDescent="0.3">
      <c r="A93" s="5" t="s">
        <v>8</v>
      </c>
      <c r="B93" s="5" t="s">
        <v>9</v>
      </c>
      <c r="C93" s="5" t="s">
        <v>8</v>
      </c>
      <c r="D93" s="5" t="s">
        <v>81</v>
      </c>
      <c r="E93" s="5" t="s">
        <v>8</v>
      </c>
      <c r="F93" s="5" t="s">
        <v>18</v>
      </c>
      <c r="G93" s="5" t="s">
        <v>79</v>
      </c>
      <c r="H93" s="5" t="s">
        <v>21</v>
      </c>
      <c r="I93" s="5" t="s">
        <v>8</v>
      </c>
      <c r="J93" s="5" t="s">
        <v>8</v>
      </c>
      <c r="K93" s="6" t="s">
        <v>46</v>
      </c>
      <c r="L93" s="6" t="s">
        <v>47</v>
      </c>
      <c r="M93" t="str" cm="1">
        <f t="array" ref="M93">_xlfn.XLOOKUP(L93, '[2]Function options'!$A$2:$A$21, '[2]Function options'!$B$2:B$21, "Not found")</f>
        <v>lin interpolation between given points - based on driver as x-aches</v>
      </c>
      <c r="N93" s="11" t="s">
        <v>42</v>
      </c>
      <c r="Q93" s="5" t="s">
        <v>26</v>
      </c>
      <c r="R93" s="5">
        <v>0.01</v>
      </c>
      <c r="Z93" s="5">
        <v>0</v>
      </c>
      <c r="AC93" s="5">
        <v>50</v>
      </c>
      <c r="AE93" t="s">
        <v>86</v>
      </c>
      <c r="AF93" s="5">
        <v>0</v>
      </c>
    </row>
    <row r="94" spans="1:32" s="5" customFormat="1" x14ac:dyDescent="0.3">
      <c r="A94" s="5" t="s">
        <v>8</v>
      </c>
      <c r="B94" s="5" t="s">
        <v>9</v>
      </c>
      <c r="C94" s="5" t="s">
        <v>8</v>
      </c>
      <c r="D94" s="5" t="s">
        <v>81</v>
      </c>
      <c r="E94" s="5" t="s">
        <v>8</v>
      </c>
      <c r="F94" s="5" t="s">
        <v>18</v>
      </c>
      <c r="G94" s="5" t="s">
        <v>79</v>
      </c>
      <c r="H94" s="5" t="s">
        <v>22</v>
      </c>
      <c r="I94" s="5" t="s">
        <v>8</v>
      </c>
      <c r="J94" s="5" t="s">
        <v>8</v>
      </c>
      <c r="K94" s="6" t="s">
        <v>46</v>
      </c>
      <c r="L94" s="6" t="s">
        <v>47</v>
      </c>
      <c r="M94" t="str" cm="1">
        <f t="array" ref="M94">_xlfn.XLOOKUP(L94, '[2]Function options'!$A$2:$A$21, '[2]Function options'!$B$2:B$21, "Not found")</f>
        <v>lin interpolation between given points - based on driver as x-aches</v>
      </c>
      <c r="N94" s="11" t="s">
        <v>42</v>
      </c>
      <c r="Q94" s="5" t="s">
        <v>26</v>
      </c>
      <c r="R94" s="5">
        <v>0.01</v>
      </c>
      <c r="Z94" s="5">
        <v>0</v>
      </c>
      <c r="AC94" s="5">
        <v>0</v>
      </c>
      <c r="AE94" t="s">
        <v>86</v>
      </c>
      <c r="AF94" s="5">
        <v>0</v>
      </c>
    </row>
    <row r="95" spans="1:32" s="5" customFormat="1" x14ac:dyDescent="0.3">
      <c r="A95" s="5" t="s">
        <v>8</v>
      </c>
      <c r="B95" s="5" t="s">
        <v>9</v>
      </c>
      <c r="C95" s="5" t="s">
        <v>8</v>
      </c>
      <c r="D95" s="5" t="s">
        <v>81</v>
      </c>
      <c r="E95" s="5" t="s">
        <v>8</v>
      </c>
      <c r="F95" s="5" t="s">
        <v>18</v>
      </c>
      <c r="G95" s="5" t="s">
        <v>79</v>
      </c>
      <c r="H95" s="5" t="s">
        <v>23</v>
      </c>
      <c r="I95" s="5" t="s">
        <v>8</v>
      </c>
      <c r="J95" s="5" t="s">
        <v>8</v>
      </c>
      <c r="K95" s="6" t="s">
        <v>46</v>
      </c>
      <c r="L95" s="6" t="s">
        <v>47</v>
      </c>
      <c r="M95" t="str" cm="1">
        <f t="array" ref="M95">_xlfn.XLOOKUP(L95, '[2]Function options'!$A$2:$A$21, '[2]Function options'!$B$2:B$21, "Not found")</f>
        <v>lin interpolation between given points - based on driver as x-aches</v>
      </c>
      <c r="N95" s="11" t="s">
        <v>42</v>
      </c>
      <c r="Q95" s="5" t="s">
        <v>26</v>
      </c>
      <c r="R95" s="5">
        <v>0.01</v>
      </c>
      <c r="Z95" s="5">
        <v>0</v>
      </c>
      <c r="AC95" s="5">
        <v>0</v>
      </c>
      <c r="AE95" t="s">
        <v>86</v>
      </c>
      <c r="AF95" s="5">
        <v>0</v>
      </c>
    </row>
    <row r="96" spans="1:32" s="5" customFormat="1" x14ac:dyDescent="0.3">
      <c r="A96" s="5" t="s">
        <v>8</v>
      </c>
      <c r="B96" s="5" t="s">
        <v>9</v>
      </c>
      <c r="C96" s="5" t="s">
        <v>8</v>
      </c>
      <c r="D96" s="5" t="s">
        <v>81</v>
      </c>
      <c r="E96" s="5" t="s">
        <v>8</v>
      </c>
      <c r="F96" s="5" t="s">
        <v>18</v>
      </c>
      <c r="G96" s="5" t="s">
        <v>79</v>
      </c>
      <c r="H96" s="5" t="s">
        <v>24</v>
      </c>
      <c r="I96" s="5" t="s">
        <v>8</v>
      </c>
      <c r="J96" s="5" t="s">
        <v>8</v>
      </c>
      <c r="K96" s="6" t="s">
        <v>46</v>
      </c>
      <c r="L96" s="6" t="s">
        <v>47</v>
      </c>
      <c r="M96" t="str" cm="1">
        <f t="array" ref="M96">_xlfn.XLOOKUP(L96, '[2]Function options'!$A$2:$A$21, '[2]Function options'!$B$2:B$21, "Not found")</f>
        <v>lin interpolation between given points - based on driver as x-aches</v>
      </c>
      <c r="N96" s="11" t="s">
        <v>42</v>
      </c>
      <c r="Q96" s="5" t="s">
        <v>26</v>
      </c>
      <c r="R96" s="5">
        <v>0.01</v>
      </c>
      <c r="Z96" s="5">
        <v>0</v>
      </c>
      <c r="AC96" s="5">
        <v>0</v>
      </c>
      <c r="AE96" t="s">
        <v>86</v>
      </c>
      <c r="AF96" s="5">
        <v>0</v>
      </c>
    </row>
    <row r="97" spans="1:32" s="5" customFormat="1" x14ac:dyDescent="0.3">
      <c r="A97" s="5" t="s">
        <v>8</v>
      </c>
      <c r="B97" s="5" t="s">
        <v>8</v>
      </c>
      <c r="C97" s="5" t="s">
        <v>8</v>
      </c>
      <c r="D97" s="5" t="s">
        <v>81</v>
      </c>
      <c r="E97" s="5" t="s">
        <v>8</v>
      </c>
      <c r="F97" s="5" t="s">
        <v>18</v>
      </c>
      <c r="G97" s="5" t="s">
        <v>78</v>
      </c>
      <c r="H97" s="5" t="s">
        <v>19</v>
      </c>
      <c r="I97" s="5" t="s">
        <v>8</v>
      </c>
      <c r="J97" s="5" t="s">
        <v>8</v>
      </c>
      <c r="K97" s="6" t="s">
        <v>46</v>
      </c>
      <c r="L97" s="6" t="s">
        <v>47</v>
      </c>
      <c r="M97" t="str" cm="1">
        <f t="array" ref="M97">_xlfn.XLOOKUP(L97, '[2]Function options'!$A$2:$A$21, '[2]Function options'!$B$2:B$21, "Not found")</f>
        <v>lin interpolation between given points - based on driver as x-aches</v>
      </c>
      <c r="N97" s="11" t="s">
        <v>42</v>
      </c>
      <c r="Q97" s="5" t="s">
        <v>26</v>
      </c>
      <c r="R97" s="5">
        <v>0.01</v>
      </c>
      <c r="Z97" s="5">
        <v>100</v>
      </c>
      <c r="AA97" s="5">
        <v>100</v>
      </c>
      <c r="AB97" s="5">
        <v>100</v>
      </c>
      <c r="AC97" s="5">
        <v>100</v>
      </c>
      <c r="AD97" s="5">
        <v>100</v>
      </c>
      <c r="AE97" t="s">
        <v>86</v>
      </c>
      <c r="AF97" s="5">
        <v>0</v>
      </c>
    </row>
    <row r="98" spans="1:32" s="5" customFormat="1" x14ac:dyDescent="0.3">
      <c r="A98" s="5" t="s">
        <v>8</v>
      </c>
      <c r="B98" s="5" t="s">
        <v>8</v>
      </c>
      <c r="C98" s="5" t="s">
        <v>8</v>
      </c>
      <c r="D98" s="5" t="s">
        <v>81</v>
      </c>
      <c r="E98" s="5" t="s">
        <v>8</v>
      </c>
      <c r="F98" s="6" t="s">
        <v>17</v>
      </c>
      <c r="G98" s="6" t="s">
        <v>17</v>
      </c>
      <c r="H98" s="5" t="s">
        <v>19</v>
      </c>
      <c r="I98" s="5" t="s">
        <v>8</v>
      </c>
      <c r="J98" s="5" t="s">
        <v>8</v>
      </c>
      <c r="K98" s="6" t="s">
        <v>46</v>
      </c>
      <c r="L98" s="6" t="s">
        <v>47</v>
      </c>
      <c r="M98" t="str" cm="1">
        <f t="array" ref="M98">_xlfn.XLOOKUP(L98, '[2]Function options'!$A$2:$A$21, '[2]Function options'!$B$2:B$21, "Not found")</f>
        <v>lin interpolation between given points - based on driver as x-aches</v>
      </c>
      <c r="N98" s="11" t="s">
        <v>42</v>
      </c>
      <c r="Q98" s="5" t="s">
        <v>26</v>
      </c>
      <c r="R98" s="5">
        <v>0.01</v>
      </c>
      <c r="Z98" s="5">
        <v>100</v>
      </c>
      <c r="AA98" s="5">
        <v>100</v>
      </c>
      <c r="AB98" s="5">
        <v>100</v>
      </c>
      <c r="AC98" s="5">
        <v>100</v>
      </c>
      <c r="AD98" s="5">
        <v>100</v>
      </c>
      <c r="AE98" t="s">
        <v>86</v>
      </c>
      <c r="AF98" s="5">
        <v>0</v>
      </c>
    </row>
    <row r="99" spans="1:32" s="5" customFormat="1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1:32" s="5" customFormat="1" x14ac:dyDescent="0.3">
      <c r="F100" s="6"/>
      <c r="G100" s="6"/>
      <c r="K100" s="6"/>
      <c r="L100" s="6"/>
      <c r="M100"/>
      <c r="N100" s="11"/>
      <c r="AE100"/>
    </row>
  </sheetData>
  <autoFilter ref="A1:AF100" xr:uid="{04F4DADF-B8DF-48E5-BA19-53C996BFB8F9}"/>
  <dataValidations count="4">
    <dataValidation allowBlank="1" showInputMessage="1" showErrorMessage="1" prompt="Mathematical explanation of the selected function on the left." sqref="M1" xr:uid="{CC9C77C0-C9ED-476A-B41B-E0FF51A9AB9F}"/>
    <dataValidation allowBlank="1" showInputMessage="1" showErrorMessage="1" prompt="Select function from the drop-down menu. Mathematical explanation of the function is given in the Equation field on the right." sqref="L1" xr:uid="{69AE46A0-3B41-40C8-BF79-75E82F1413C0}"/>
    <dataValidation type="list" allowBlank="1" showInputMessage="1" showErrorMessage="1" sqref="N100:P100 N2:P98" xr:uid="{2D67A3F9-7866-48AD-8855-A05268888064}">
      <formula1>"TIME, POP, GDP, SIZE_HH, ELEC_PR, m2_HH, HW_PER_CAP"</formula1>
    </dataValidation>
    <dataValidation type="list" allowBlank="1" showInputMessage="1" showErrorMessage="1" sqref="K2:K20" xr:uid="{67A55523-1C34-46D3-A5F7-C63D0D171602}">
      <formula1>"Historical, User"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C875-424F-48FA-B7D4-E26B1743A8D2}">
  <dimension ref="A1:C17"/>
  <sheetViews>
    <sheetView workbookViewId="0">
      <selection activeCell="B20" sqref="B20"/>
    </sheetView>
  </sheetViews>
  <sheetFormatPr defaultColWidth="11.5546875" defaultRowHeight="14.4" x14ac:dyDescent="0.3"/>
  <cols>
    <col min="1" max="1" width="14.5546875" bestFit="1" customWidth="1"/>
    <col min="2" max="2" width="61.109375" bestFit="1" customWidth="1"/>
    <col min="3" max="3" width="17.5546875" bestFit="1" customWidth="1"/>
  </cols>
  <sheetData>
    <row r="1" spans="1:3" ht="28.8" x14ac:dyDescent="0.3">
      <c r="A1" s="17" t="s">
        <v>29</v>
      </c>
      <c r="B1" s="18" t="s">
        <v>30</v>
      </c>
      <c r="C1" s="19" t="s">
        <v>69</v>
      </c>
    </row>
    <row r="2" spans="1:3" x14ac:dyDescent="0.3">
      <c r="A2" s="8" t="s">
        <v>40</v>
      </c>
      <c r="B2" t="s">
        <v>52</v>
      </c>
      <c r="C2" s="12" t="s">
        <v>70</v>
      </c>
    </row>
    <row r="3" spans="1:3" x14ac:dyDescent="0.3">
      <c r="A3" s="8" t="s">
        <v>58</v>
      </c>
      <c r="B3" t="s">
        <v>68</v>
      </c>
      <c r="C3" s="12" t="s">
        <v>46</v>
      </c>
    </row>
    <row r="4" spans="1:3" x14ac:dyDescent="0.3">
      <c r="A4" s="8" t="s">
        <v>47</v>
      </c>
      <c r="B4" t="s">
        <v>59</v>
      </c>
      <c r="C4" s="12" t="s">
        <v>46</v>
      </c>
    </row>
    <row r="5" spans="1:3" x14ac:dyDescent="0.3">
      <c r="A5" s="8" t="s">
        <v>45</v>
      </c>
      <c r="B5" t="s">
        <v>60</v>
      </c>
      <c r="C5" s="12" t="s">
        <v>46</v>
      </c>
    </row>
    <row r="6" spans="1:3" x14ac:dyDescent="0.3">
      <c r="A6" s="8" t="s">
        <v>50</v>
      </c>
      <c r="B6" t="s">
        <v>44</v>
      </c>
      <c r="C6" s="12" t="s">
        <v>41</v>
      </c>
    </row>
    <row r="7" spans="1:3" x14ac:dyDescent="0.3">
      <c r="A7" s="8" t="s">
        <v>49</v>
      </c>
      <c r="B7" t="s">
        <v>61</v>
      </c>
      <c r="C7" s="12" t="s">
        <v>41</v>
      </c>
    </row>
    <row r="8" spans="1:3" x14ac:dyDescent="0.3">
      <c r="A8" s="8" t="s">
        <v>62</v>
      </c>
      <c r="B8" t="s">
        <v>63</v>
      </c>
      <c r="C8" s="12" t="s">
        <v>46</v>
      </c>
    </row>
    <row r="9" spans="1:3" x14ac:dyDescent="0.3">
      <c r="A9" s="8" t="s">
        <v>64</v>
      </c>
      <c r="B9" t="s">
        <v>65</v>
      </c>
      <c r="C9" s="12" t="s">
        <v>46</v>
      </c>
    </row>
    <row r="10" spans="1:3" x14ac:dyDescent="0.3">
      <c r="A10" s="8" t="s">
        <v>74</v>
      </c>
      <c r="B10" t="s">
        <v>75</v>
      </c>
      <c r="C10" s="12" t="s">
        <v>41</v>
      </c>
    </row>
    <row r="11" spans="1:3" x14ac:dyDescent="0.3">
      <c r="A11" s="8" t="s">
        <v>66</v>
      </c>
      <c r="B11" t="s">
        <v>67</v>
      </c>
      <c r="C11" s="12" t="s">
        <v>46</v>
      </c>
    </row>
    <row r="12" spans="1:3" x14ac:dyDescent="0.3">
      <c r="A12" s="8" t="s">
        <v>55</v>
      </c>
      <c r="B12" t="s">
        <v>72</v>
      </c>
      <c r="C12" s="12" t="s">
        <v>46</v>
      </c>
    </row>
    <row r="13" spans="1:3" x14ac:dyDescent="0.3">
      <c r="A13" s="8" t="s">
        <v>71</v>
      </c>
      <c r="B13" t="s">
        <v>73</v>
      </c>
      <c r="C13" s="12" t="s">
        <v>70</v>
      </c>
    </row>
    <row r="14" spans="1:3" x14ac:dyDescent="0.3">
      <c r="A14" s="8"/>
      <c r="C14" s="12"/>
    </row>
    <row r="15" spans="1:3" x14ac:dyDescent="0.3">
      <c r="A15" s="8"/>
      <c r="C15" s="12"/>
    </row>
    <row r="16" spans="1:3" x14ac:dyDescent="0.3">
      <c r="A16" s="8"/>
      <c r="C16" s="12"/>
    </row>
    <row r="17" spans="1:3" x14ac:dyDescent="0.3">
      <c r="A17" s="13"/>
      <c r="B17" s="14"/>
      <c r="C17" s="15"/>
    </row>
  </sheetData>
  <dataValidations count="3">
    <dataValidation allowBlank="1" showInputMessage="1" showErrorMessage="1" prompt="List of functions you can use for the forecast of the variables." sqref="A1" xr:uid="{DBB45AAF-199F-46A4-AD1C-BD7BF1D336F7}"/>
    <dataValidation allowBlank="1" showInputMessage="1" showErrorMessage="1" prompt="Explanation of the function - equation corresponding to the function name" sqref="B1" xr:uid="{9F2AE1FD-217C-4EAB-9D29-00C6CED20142}"/>
    <dataValidation allowBlank="1" showInputMessage="1" showErrorMessage="1" prompt="Some functions are currently applicable only to the user given or to the historical data. Why: Multiple applicable coefficient determination methods, or the programming code for calculation of the  coefficients from the historical data is in process." sqref="C1" xr:uid="{0CA1EFA8-FAD1-4164-AA12-57E72E363C09}"/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E26C-26D8-4438-BF7C-2063411D3351}">
  <dimension ref="A2:G16"/>
  <sheetViews>
    <sheetView workbookViewId="0">
      <selection activeCell="D15" sqref="D15"/>
    </sheetView>
  </sheetViews>
  <sheetFormatPr defaultRowHeight="14.4" x14ac:dyDescent="0.3"/>
  <cols>
    <col min="1" max="1" width="11.77734375" bestFit="1" customWidth="1"/>
    <col min="3" max="3" width="33" customWidth="1"/>
    <col min="4" max="4" width="52.44140625" customWidth="1"/>
    <col min="6" max="6" width="26.6640625" customWidth="1"/>
    <col min="8" max="8" width="19.5546875" customWidth="1"/>
  </cols>
  <sheetData>
    <row r="2" spans="1:7" x14ac:dyDescent="0.3">
      <c r="A2" t="s">
        <v>82</v>
      </c>
      <c r="B2" t="s">
        <v>87</v>
      </c>
    </row>
    <row r="4" spans="1:7" x14ac:dyDescent="0.3">
      <c r="C4" t="s">
        <v>83</v>
      </c>
    </row>
    <row r="5" spans="1:7" x14ac:dyDescent="0.3">
      <c r="A5" t="s">
        <v>84</v>
      </c>
      <c r="B5" t="s">
        <v>85</v>
      </c>
      <c r="C5" s="21" t="s">
        <v>88</v>
      </c>
      <c r="D5" t="s">
        <v>89</v>
      </c>
    </row>
    <row r="6" spans="1:7" x14ac:dyDescent="0.3">
      <c r="D6" s="20"/>
    </row>
    <row r="7" spans="1:7" x14ac:dyDescent="0.3">
      <c r="D7" s="20"/>
    </row>
    <row r="8" spans="1:7" x14ac:dyDescent="0.3">
      <c r="F8" s="20"/>
    </row>
    <row r="9" spans="1:7" ht="45" customHeight="1" x14ac:dyDescent="0.3">
      <c r="C9" s="21"/>
      <c r="D9" s="21"/>
      <c r="E9" s="20"/>
    </row>
    <row r="10" spans="1:7" x14ac:dyDescent="0.3">
      <c r="E10" s="20"/>
    </row>
    <row r="11" spans="1:7" x14ac:dyDescent="0.3">
      <c r="E11" s="20"/>
    </row>
    <row r="12" spans="1:7" x14ac:dyDescent="0.3">
      <c r="G12" s="20"/>
    </row>
    <row r="13" spans="1:7" ht="16.2" customHeight="1" x14ac:dyDescent="0.3">
      <c r="E13" s="20"/>
    </row>
    <row r="14" spans="1:7" x14ac:dyDescent="0.3">
      <c r="F14" s="22"/>
    </row>
    <row r="15" spans="1:7" x14ac:dyDescent="0.3">
      <c r="F15" s="22"/>
    </row>
    <row r="16" spans="1:7" x14ac:dyDescent="0.3">
      <c r="E1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Function options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Amadu Epishev</dc:creator>
  <cp:lastModifiedBy>Amadu Epishev</cp:lastModifiedBy>
  <dcterms:created xsi:type="dcterms:W3CDTF">2025-01-16T15:04:58Z</dcterms:created>
  <dcterms:modified xsi:type="dcterms:W3CDTF">2025-08-29T10:06:09Z</dcterms:modified>
</cp:coreProperties>
</file>