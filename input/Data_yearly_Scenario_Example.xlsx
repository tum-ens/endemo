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haagm\Desktop\endemo-main\input\"/>
    </mc:Choice>
  </mc:AlternateContent>
  <xr:revisionPtr revIDLastSave="0" documentId="13_ncr:1_{B01D659E-2361-46FC-912E-C4C6E34CBB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CUs_DDets_Region" sheetId="6" r:id="rId1"/>
    <sheet name="Demand_Drivers" sheetId="5" r:id="rId2"/>
    <sheet name="Subregional_division" sheetId="7" r:id="rId3"/>
    <sheet name="Function options" sheetId="2" r:id="rId4"/>
    <sheet name="info" sheetId="4" r:id="rId5"/>
  </sheets>
  <definedNames>
    <definedName name="_xlnm._FilterDatabase" localSheetId="1" hidden="1">Demand_Drivers!$A$1:$DP$1</definedName>
    <definedName name="_xlnm._FilterDatabase" localSheetId="0" hidden="1">ECUs_DDets_Region!$A$1:$AP$1</definedName>
    <definedName name="_xlnm._FilterDatabase" localSheetId="2" hidden="1">Subregional_division!$A$1:$DO$2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6" l="1" a="1"/>
  <c r="M31" i="6" s="1"/>
  <c r="M32" i="6" a="1"/>
  <c r="M32" i="6" s="1"/>
  <c r="M33" i="6" a="1"/>
  <c r="M33" i="6" s="1"/>
  <c r="M34" i="6" a="1"/>
  <c r="M34" i="6" s="1"/>
  <c r="M35" i="6" a="1"/>
  <c r="M35" i="6" s="1"/>
  <c r="M2" i="6" a="1"/>
  <c r="M2" i="6" s="1"/>
  <c r="M3" i="6" a="1"/>
  <c r="M3" i="6" s="1"/>
  <c r="M4" i="6" a="1"/>
  <c r="M4" i="6" s="1"/>
  <c r="M5" i="6" a="1"/>
  <c r="M5" i="6" s="1"/>
  <c r="M6" i="6" a="1"/>
  <c r="M6" i="6" s="1"/>
  <c r="M7" i="6" a="1"/>
  <c r="M7" i="6" s="1"/>
  <c r="M8" i="6" a="1"/>
  <c r="M8" i="6" s="1"/>
  <c r="M9" i="6" a="1"/>
  <c r="M9" i="6" s="1"/>
  <c r="M10" i="6" a="1"/>
  <c r="M10" i="6" s="1"/>
  <c r="M11" i="6" a="1"/>
  <c r="M11" i="6" s="1"/>
  <c r="M12" i="6" a="1"/>
  <c r="M12" i="6" s="1"/>
  <c r="M13" i="6" a="1"/>
  <c r="M13" i="6" s="1"/>
  <c r="M14" i="6" a="1"/>
  <c r="M14" i="6" s="1"/>
  <c r="M15" i="6" a="1"/>
  <c r="M15" i="6" s="1"/>
  <c r="M16" i="6" a="1"/>
  <c r="M16" i="6" s="1"/>
  <c r="M17" i="6" a="1"/>
  <c r="M17" i="6" s="1"/>
  <c r="M18" i="6" a="1"/>
  <c r="M18" i="6" s="1"/>
  <c r="M19" i="6" a="1"/>
  <c r="M19" i="6" s="1"/>
  <c r="M20" i="6" a="1"/>
  <c r="M20" i="6" s="1"/>
  <c r="M21" i="6" a="1"/>
  <c r="M21" i="6" s="1"/>
  <c r="M22" i="6" a="1"/>
  <c r="M22" i="6" s="1"/>
  <c r="M23" i="6" a="1"/>
  <c r="M23" i="6" s="1"/>
  <c r="M24" i="6" a="1"/>
  <c r="M24" i="6" s="1"/>
  <c r="M25" i="6" a="1"/>
  <c r="M25" i="6" s="1"/>
  <c r="M26" i="6" a="1"/>
  <c r="M26" i="6" s="1"/>
  <c r="M27" i="6" a="1"/>
  <c r="M27" i="6" s="1"/>
  <c r="M28" i="6" a="1"/>
  <c r="M28" i="6" s="1"/>
  <c r="M29" i="6" a="1"/>
  <c r="M29" i="6" s="1"/>
  <c r="M76" i="6" a="1"/>
  <c r="M76" i="6" s="1"/>
  <c r="M30" i="6" a="1"/>
  <c r="M30" i="6" s="1"/>
  <c r="Y24" i="6" l="1"/>
  <c r="Y22" i="6"/>
  <c r="Y21" i="6"/>
  <c r="Y20" i="6"/>
  <c r="Y18" i="6"/>
  <c r="N2" i="7" l="1" a="1"/>
  <c r="N2" i="7" s="1"/>
  <c r="AI28" i="6" l="1"/>
  <c r="AI27" i="6"/>
  <c r="AI26" i="6"/>
  <c r="AI25" i="6"/>
  <c r="N2" i="5" l="1" a="1"/>
  <c r="N2" i="5" s="1"/>
  <c r="AB29" i="6" l="1"/>
  <c r="Y29" i="6" s="1"/>
  <c r="AB28" i="6"/>
  <c r="Y28" i="6" s="1"/>
  <c r="AB27" i="6"/>
  <c r="Y27" i="6" s="1"/>
  <c r="AB26" i="6"/>
  <c r="Y26" i="6" s="1"/>
  <c r="AB25" i="6"/>
  <c r="Y25" i="6" s="1"/>
  <c r="AB23" i="6"/>
  <c r="Y23" i="6" s="1"/>
  <c r="AB17" i="6"/>
  <c r="Y17" i="6" s="1"/>
  <c r="AB16" i="6"/>
  <c r="Y16" i="6" s="1"/>
  <c r="AB15" i="6"/>
  <c r="Y15" i="6" s="1"/>
  <c r="AB14" i="6"/>
  <c r="Y14" i="6" s="1"/>
  <c r="AB13" i="6"/>
  <c r="Y13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<sst xmlns="http://schemas.openxmlformats.org/spreadsheetml/2006/main" count="735" uniqueCount="137">
  <si>
    <t>Region</t>
  </si>
  <si>
    <t>Sector</t>
  </si>
  <si>
    <t>Subsector</t>
  </si>
  <si>
    <t>Variable</t>
  </si>
  <si>
    <t>Technology</t>
  </si>
  <si>
    <t>Temp_level</t>
  </si>
  <si>
    <t>Unit</t>
  </si>
  <si>
    <t>Source / Assumption</t>
  </si>
  <si>
    <t>default</t>
  </si>
  <si>
    <t>IND</t>
  </si>
  <si>
    <t>PROD_QUANT</t>
  </si>
  <si>
    <t>SPEC_EN_QUANT</t>
  </si>
  <si>
    <t>TECH_SHARE</t>
  </si>
  <si>
    <t>ELEC</t>
  </si>
  <si>
    <t>H2</t>
  </si>
  <si>
    <t>HEAT</t>
  </si>
  <si>
    <t>TOTAL</t>
  </si>
  <si>
    <t>Q1</t>
  </si>
  <si>
    <t>Q2</t>
  </si>
  <si>
    <t>Q3</t>
  </si>
  <si>
    <t>Q4</t>
  </si>
  <si>
    <t>Q5</t>
  </si>
  <si>
    <t>GJ/t</t>
  </si>
  <si>
    <t>%</t>
  </si>
  <si>
    <t>Tausend ton</t>
  </si>
  <si>
    <t>Factor</t>
  </si>
  <si>
    <t>Function</t>
  </si>
  <si>
    <t>Equation</t>
  </si>
  <si>
    <t>Forecast data</t>
  </si>
  <si>
    <t>DDr1</t>
  </si>
  <si>
    <t>DDr2</t>
  </si>
  <si>
    <t>k0</t>
  </si>
  <si>
    <t>k1</t>
  </si>
  <si>
    <t>k2</t>
  </si>
  <si>
    <t>k3</t>
  </si>
  <si>
    <t>k4</t>
  </si>
  <si>
    <t>Source/Assumption</t>
  </si>
  <si>
    <t>lin</t>
  </si>
  <si>
    <t>Historical</t>
  </si>
  <si>
    <t>TIME</t>
  </si>
  <si>
    <t>POP</t>
  </si>
  <si>
    <t>y = const = y(t_hist)</t>
  </si>
  <si>
    <t>const</t>
  </si>
  <si>
    <t>User</t>
  </si>
  <si>
    <t>interp_lin</t>
  </si>
  <si>
    <t>Lower limit</t>
  </si>
  <si>
    <t>const_mean</t>
  </si>
  <si>
    <t>const_last</t>
  </si>
  <si>
    <t>DDr3</t>
  </si>
  <si>
    <t>y = k0 + k1*DDr1 + k2*DDr2 + …</t>
  </si>
  <si>
    <t>Subtech</t>
  </si>
  <si>
    <t>Drive</t>
  </si>
  <si>
    <t>mult</t>
  </si>
  <si>
    <t>UE_Type</t>
  </si>
  <si>
    <t>FE_Type</t>
  </si>
  <si>
    <t>exp</t>
  </si>
  <si>
    <t>lin interpolation between given points - based on driver as x-aches</t>
  </si>
  <si>
    <t>y = const = k0</t>
  </si>
  <si>
    <t>y = const = avg of all y(t_hist))</t>
  </si>
  <si>
    <t>const_mult_div</t>
  </si>
  <si>
    <t>y = k0 * (DDr1 / DDr2)</t>
  </si>
  <si>
    <t>lin_mult_div</t>
  </si>
  <si>
    <t>y = k0 + (k1 + k2*DDr1)*DDr2/DDr3</t>
  </si>
  <si>
    <t>exp_mult_div</t>
  </si>
  <si>
    <t>y = k0 + k1 * ((1 + k2 / 100) ^ (DDr1 - k3)) * DDr2/DDr3</t>
  </si>
  <si>
    <t>y = k0 + k1 * ((1 + k2 / 100) ^ (DDr1 - k3))</t>
  </si>
  <si>
    <t>Applicable for Forecast data</t>
  </si>
  <si>
    <t>Historical and User</t>
  </si>
  <si>
    <t>mult_k0_zero</t>
  </si>
  <si>
    <t>y = k0 + k1 *DDr1*DDr2*DDr3…</t>
  </si>
  <si>
    <t>y = k1 *DDr1*DDr2*DDr3…</t>
  </si>
  <si>
    <t>lin_share</t>
  </si>
  <si>
    <t>y = k0 + (k1 + k2*DDr1)*DDr2</t>
  </si>
  <si>
    <t>EFFICIENCY</t>
  </si>
  <si>
    <t>GAS</t>
  </si>
  <si>
    <t>FE_SHARE_FOR_UE</t>
  </si>
  <si>
    <t>Description:</t>
  </si>
  <si>
    <t>Description</t>
  </si>
  <si>
    <t>Source:</t>
  </si>
  <si>
    <t>[1]</t>
  </si>
  <si>
    <t xml:space="preserve"> The variables highlighted with "own assumption" are hypothetical. This is for demonstrative purposes only to illustrate the model's input-output mechanics and predictive capabilities.</t>
  </si>
  <si>
    <t>based on Database from the tool</t>
  </si>
  <si>
    <r>
      <t xml:space="preserve">A. Kerekeš and L. Breuning, </t>
    </r>
    <r>
      <rPr>
        <i/>
        <sz val="11"/>
        <color theme="1"/>
        <rFont val="Calibri"/>
        <family val="2"/>
        <scheme val="minor"/>
      </rPr>
      <t>endemo</t>
    </r>
    <r>
      <rPr>
        <sz val="11"/>
        <color theme="1"/>
        <rFont val="Calibri"/>
        <family val="2"/>
        <scheme val="minor"/>
      </rPr>
      <t>, 2024. Accessed: Aug. 28 2025. [Online]. Available: https://​github.com​/​tum-​ens/​endemo</t>
    </r>
  </si>
  <si>
    <t>Germany</t>
  </si>
  <si>
    <t>DDr4</t>
  </si>
  <si>
    <t>DDr5</t>
  </si>
  <si>
    <t>user_function</t>
  </si>
  <si>
    <t>type any function with same structure as above</t>
  </si>
  <si>
    <t>User Funktion</t>
  </si>
  <si>
    <t>coefficians</t>
  </si>
  <si>
    <t>k0, k1,…</t>
  </si>
  <si>
    <t>Demand Drivers</t>
  </si>
  <si>
    <t>DDr1, DDr2, …</t>
  </si>
  <si>
    <t>x**a   or   x^a  or   pow(x, a)</t>
  </si>
  <si>
    <t>Minimum</t>
  </si>
  <si>
    <t>min(a, b)</t>
  </si>
  <si>
    <t>Maximum</t>
  </si>
  <si>
    <t>max(a, b)</t>
  </si>
  <si>
    <t>Power</t>
  </si>
  <si>
    <t>Absolute Value</t>
  </si>
  <si>
    <t>abs(x)</t>
  </si>
  <si>
    <t>Square root</t>
  </si>
  <si>
    <t>sqrt(x)</t>
  </si>
  <si>
    <t>Nat. log</t>
  </si>
  <si>
    <t>log(x)</t>
  </si>
  <si>
    <t>Base 10 log</t>
  </si>
  <si>
    <t>log10(x)</t>
  </si>
  <si>
    <t>Exponential</t>
  </si>
  <si>
    <t>exp(x)</t>
  </si>
  <si>
    <t>Round down</t>
  </si>
  <si>
    <t>floor(x)</t>
  </si>
  <si>
    <t>Round up</t>
  </si>
  <si>
    <t>ceil(x)</t>
  </si>
  <si>
    <t>Syntax</t>
  </si>
  <si>
    <t>Upper limit</t>
  </si>
  <si>
    <t>CTS</t>
  </si>
  <si>
    <t>CALIB</t>
  </si>
  <si>
    <t>DIST_PROD</t>
  </si>
  <si>
    <t>Europe</t>
  </si>
  <si>
    <t>Top-Region</t>
  </si>
  <si>
    <t>Subregion</t>
  </si>
  <si>
    <t>Just enter the two Pionts in the year-colum, th code compiles automaticlly the two entered points</t>
  </si>
  <si>
    <t xml:space="preserve">y = k0 + k1*log(x1) + k2*log(x2) + ... </t>
  </si>
  <si>
    <t>log_sum</t>
  </si>
  <si>
    <t>exp_sum</t>
  </si>
  <si>
    <t>power_sum</t>
  </si>
  <si>
    <t>base_exp_sum</t>
  </si>
  <si>
    <t>y = k0 + k1*e^(k2*x1) + k3*e^(k4*x2) + …</t>
  </si>
  <si>
    <t>y= k0 + k1^(k2*x1) + k3^(k4*x2) + ...</t>
  </si>
  <si>
    <t>y= k0 + (k1*x1)^k2 +( k3*x2)^k4 +..</t>
  </si>
  <si>
    <t>Importand!</t>
  </si>
  <si>
    <t>y = k0*k1*DDr1 + k2*DDr2</t>
  </si>
  <si>
    <t>user_mult</t>
  </si>
  <si>
    <t>Type as function name: "user_...", otherwise it will not recognize it as user function</t>
  </si>
  <si>
    <t>STEEL_PRIM</t>
  </si>
  <si>
    <t>BOF</t>
  </si>
  <si>
    <t>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</si>
</sst>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Times"/>
      <family val="1"/>
    </font>
    <font>
      <strike/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9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7" fillId="2" borderId="0" xfId="0" applyFont="1" applyFill="1"/>
    <xf numFmtId="0" fontId="0" fillId="0" borderId="0" xfId="0" applyAlignment="1">
      <alignment horizontal="left"/>
    </xf>
    <xf numFmtId="0" fontId="4" fillId="0" borderId="0" xfId="1" applyFont="1"/>
    <xf numFmtId="0" fontId="1" fillId="3" borderId="2" xfId="0" applyFont="1" applyFill="1" applyBorder="1"/>
    <xf numFmtId="0" fontId="8" fillId="0" borderId="0" xfId="3"/>
    <xf numFmtId="0" fontId="0" fillId="0" borderId="0" xfId="0" applyAlignment="1">
      <alignment wrapText="1"/>
    </xf>
    <xf numFmtId="0" fontId="10" fillId="0" borderId="0" xfId="3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1" fillId="4" borderId="0" xfId="0" applyFont="1" applyFill="1"/>
    <xf numFmtId="0" fontId="12" fillId="4" borderId="0" xfId="0" applyFont="1" applyFill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3" xfId="0" applyFont="1" applyBorder="1"/>
    <xf numFmtId="0" fontId="1" fillId="0" borderId="4" xfId="0" applyFont="1" applyBorder="1"/>
    <xf numFmtId="0" fontId="13" fillId="0" borderId="0" xfId="0" applyFont="1" applyAlignment="1">
      <alignment horizontal="left" vertical="center"/>
    </xf>
    <xf numFmtId="0" fontId="0" fillId="0" borderId="3" xfId="0" applyBorder="1"/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1" fillId="3" borderId="11" xfId="0" applyFont="1" applyFill="1" applyBorder="1"/>
    <xf numFmtId="0" fontId="1" fillId="3" borderId="12" xfId="0" applyFont="1" applyFill="1" applyBorder="1" applyAlignment="1">
      <alignment horizontal="center" vertical="top" wrapText="1"/>
    </xf>
    <xf numFmtId="0" fontId="0" fillId="5" borderId="0" xfId="0" applyFill="1"/>
    <xf numFmtId="2" fontId="0" fillId="0" borderId="0" xfId="0" applyNumberFormat="1"/>
  </cellXfs>
  <cellStyles count="5">
    <cellStyle name="Link" xfId="3" builtinId="8"/>
    <cellStyle name="Normal 2" xfId="4" xr:uid="{8D89EC1E-38F0-414D-A0B6-3996F015FDD5}"/>
    <cellStyle name="Standard" xfId="0" builtinId="0"/>
    <cellStyle name="Standard 2" xfId="2" xr:uid="{0A9DA99B-2E44-4CE9-816F-2943A035778D}"/>
    <cellStyle name="Standard 3" xfId="1" xr:uid="{0BEE48CF-7C05-419A-A15A-1AC6B09570C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9B27-6ED9-4C1D-81B9-7099B35C0F66}">
  <dimension ref="A1:AP83"/>
  <sheetViews>
    <sheetView tabSelected="1" zoomScale="70" zoomScaleNormal="7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P46" sqref="P46"/>
    </sheetView>
  </sheetViews>
  <sheetFormatPr baseColWidth="10" defaultColWidth="9.26953125" defaultRowHeight="14.5" x14ac:dyDescent="0.35"/>
  <cols>
    <col min="3" max="3" width="15.54296875" bestFit="1" customWidth="1"/>
    <col min="4" max="4" width="32.26953125" bestFit="1" customWidth="1"/>
    <col min="5" max="5" width="10.26953125" bestFit="1" customWidth="1"/>
    <col min="7" max="7" width="9.26953125" style="5" customWidth="1"/>
    <col min="8" max="9" width="10.453125" customWidth="1"/>
    <col min="10" max="10" width="7.26953125" style="8" customWidth="1"/>
    <col min="11" max="11" width="14.26953125" customWidth="1"/>
    <col min="12" max="12" width="12.7265625" bestFit="1" customWidth="1"/>
    <col min="13" max="13" width="36.54296875" customWidth="1"/>
    <col min="14" max="14" width="13" bestFit="1" customWidth="1"/>
    <col min="15" max="16" width="11.7265625" customWidth="1"/>
    <col min="17" max="17" width="11.7265625" bestFit="1" customWidth="1"/>
    <col min="18" max="38" width="11.7265625" customWidth="1"/>
    <col min="39" max="39" width="11.1796875" customWidth="1"/>
    <col min="40" max="40" width="11.7265625" customWidth="1"/>
    <col min="42" max="42" width="10.26953125" bestFit="1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</v>
      </c>
      <c r="G1" s="7" t="s">
        <v>54</v>
      </c>
      <c r="H1" s="1" t="s">
        <v>5</v>
      </c>
      <c r="I1" t="s">
        <v>50</v>
      </c>
      <c r="J1" s="8" t="s">
        <v>51</v>
      </c>
      <c r="K1" s="1" t="s">
        <v>28</v>
      </c>
      <c r="L1" s="1" t="s">
        <v>26</v>
      </c>
      <c r="M1" s="1" t="s">
        <v>27</v>
      </c>
      <c r="N1" s="1" t="s">
        <v>29</v>
      </c>
      <c r="O1" s="3" t="s">
        <v>30</v>
      </c>
      <c r="P1" s="3" t="s">
        <v>48</v>
      </c>
      <c r="Q1" s="1" t="s">
        <v>6</v>
      </c>
      <c r="R1" s="1" t="s">
        <v>25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>
        <v>2015</v>
      </c>
      <c r="Z1" s="3">
        <v>2016</v>
      </c>
      <c r="AA1" s="3">
        <v>2017</v>
      </c>
      <c r="AB1" s="3">
        <v>2018</v>
      </c>
      <c r="AC1" s="3">
        <v>2019</v>
      </c>
      <c r="AD1" s="9">
        <v>2020</v>
      </c>
      <c r="AE1" s="9">
        <v>2021</v>
      </c>
      <c r="AF1" s="9">
        <v>2022</v>
      </c>
      <c r="AG1" s="9">
        <v>2023</v>
      </c>
      <c r="AH1" s="9">
        <v>2024</v>
      </c>
      <c r="AI1" s="9">
        <v>2025</v>
      </c>
      <c r="AJ1" s="9">
        <v>2030</v>
      </c>
      <c r="AK1" s="9">
        <v>2040</v>
      </c>
      <c r="AL1" s="9">
        <v>2050</v>
      </c>
      <c r="AM1" s="9">
        <v>2100</v>
      </c>
      <c r="AN1" t="s">
        <v>7</v>
      </c>
      <c r="AO1" t="s">
        <v>45</v>
      </c>
      <c r="AP1" t="s">
        <v>114</v>
      </c>
    </row>
    <row r="2" spans="1:42" x14ac:dyDescent="0.35">
      <c r="A2" s="5" t="s">
        <v>8</v>
      </c>
      <c r="B2" s="5" t="s">
        <v>8</v>
      </c>
      <c r="C2" s="5" t="s">
        <v>8</v>
      </c>
      <c r="D2" s="5" t="s">
        <v>73</v>
      </c>
      <c r="E2" s="5" t="s">
        <v>8</v>
      </c>
      <c r="F2" s="5" t="s">
        <v>13</v>
      </c>
      <c r="G2" s="5" t="s">
        <v>13</v>
      </c>
      <c r="H2" s="5" t="s">
        <v>16</v>
      </c>
      <c r="I2" s="5" t="s">
        <v>8</v>
      </c>
      <c r="J2" s="5" t="s">
        <v>8</v>
      </c>
      <c r="K2" s="5" t="s">
        <v>43</v>
      </c>
      <c r="L2" s="5" t="s">
        <v>42</v>
      </c>
      <c r="M2" t="str" cm="1">
        <f t="array" ref="M2">_xlfn.XLOOKUP(L2, 'Function options'!$A$2:$A$22, 'Function options'!$B$2:B$22, "Not found")</f>
        <v>y = const = k0</v>
      </c>
      <c r="N2" s="10"/>
      <c r="O2" s="5"/>
      <c r="P2" s="5"/>
      <c r="Q2" s="5" t="s">
        <v>23</v>
      </c>
      <c r="R2" s="5">
        <v>0.01</v>
      </c>
      <c r="S2" s="5">
        <v>100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>
        <v>0</v>
      </c>
    </row>
    <row r="3" spans="1:42" x14ac:dyDescent="0.35">
      <c r="A3" s="5" t="s">
        <v>8</v>
      </c>
      <c r="B3" s="5" t="s">
        <v>8</v>
      </c>
      <c r="C3" s="5" t="s">
        <v>8</v>
      </c>
      <c r="D3" s="5" t="s">
        <v>73</v>
      </c>
      <c r="E3" s="5" t="s">
        <v>8</v>
      </c>
      <c r="F3" s="5" t="s">
        <v>15</v>
      </c>
      <c r="G3" s="5" t="s">
        <v>74</v>
      </c>
      <c r="H3" s="5" t="s">
        <v>8</v>
      </c>
      <c r="I3" s="5" t="s">
        <v>8</v>
      </c>
      <c r="J3" s="5" t="s">
        <v>8</v>
      </c>
      <c r="K3" s="5" t="s">
        <v>43</v>
      </c>
      <c r="L3" s="5" t="s">
        <v>42</v>
      </c>
      <c r="M3" t="str" cm="1">
        <f t="array" ref="M3">_xlfn.XLOOKUP(L3, 'Function options'!$A$2:$A$22, 'Function options'!$B$2:B$22, "Not found")</f>
        <v>y = const = k0</v>
      </c>
      <c r="N3" s="10"/>
      <c r="O3" s="5"/>
      <c r="P3" s="5"/>
      <c r="Q3" s="5" t="s">
        <v>23</v>
      </c>
      <c r="R3" s="5">
        <v>0.01</v>
      </c>
      <c r="S3" s="5">
        <v>93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>
        <v>0</v>
      </c>
    </row>
    <row r="4" spans="1:42" x14ac:dyDescent="0.35">
      <c r="A4" s="5" t="s">
        <v>8</v>
      </c>
      <c r="B4" s="5" t="s">
        <v>8</v>
      </c>
      <c r="C4" s="5" t="s">
        <v>8</v>
      </c>
      <c r="D4" s="5" t="s">
        <v>73</v>
      </c>
      <c r="E4" s="5" t="s">
        <v>8</v>
      </c>
      <c r="F4" s="5" t="s">
        <v>15</v>
      </c>
      <c r="G4" s="6" t="s">
        <v>14</v>
      </c>
      <c r="H4" s="5" t="s">
        <v>8</v>
      </c>
      <c r="I4" s="5" t="s">
        <v>8</v>
      </c>
      <c r="J4" s="5" t="s">
        <v>8</v>
      </c>
      <c r="K4" s="5" t="s">
        <v>43</v>
      </c>
      <c r="L4" s="5" t="s">
        <v>42</v>
      </c>
      <c r="M4" t="str" cm="1">
        <f t="array" ref="M4">_xlfn.XLOOKUP(L4, 'Function options'!$A$2:$A$22, 'Function options'!$B$2:B$22, "Not found")</f>
        <v>y = const = k0</v>
      </c>
      <c r="N4" s="10"/>
      <c r="O4" s="5"/>
      <c r="P4" s="5"/>
      <c r="Q4" s="5" t="s">
        <v>23</v>
      </c>
      <c r="R4" s="5">
        <v>0.01</v>
      </c>
      <c r="S4" s="5">
        <v>100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>
        <v>0</v>
      </c>
    </row>
    <row r="5" spans="1:42" x14ac:dyDescent="0.35">
      <c r="A5" s="5" t="s">
        <v>8</v>
      </c>
      <c r="B5" s="5" t="s">
        <v>8</v>
      </c>
      <c r="C5" s="5" t="s">
        <v>8</v>
      </c>
      <c r="D5" s="5" t="s">
        <v>73</v>
      </c>
      <c r="E5" s="5" t="s">
        <v>8</v>
      </c>
      <c r="F5" s="5" t="s">
        <v>15</v>
      </c>
      <c r="G5" s="5" t="s">
        <v>13</v>
      </c>
      <c r="H5" s="5" t="s">
        <v>16</v>
      </c>
      <c r="I5" s="5" t="s">
        <v>8</v>
      </c>
      <c r="J5" s="5" t="s">
        <v>8</v>
      </c>
      <c r="K5" s="5" t="s">
        <v>43</v>
      </c>
      <c r="L5" s="5" t="s">
        <v>42</v>
      </c>
      <c r="M5" t="str" cm="1">
        <f t="array" ref="M5">_xlfn.XLOOKUP(L5, 'Function options'!$A$2:$A$22, 'Function options'!$B$2:B$22, "Not found")</f>
        <v>y = const = k0</v>
      </c>
      <c r="N5" s="10"/>
      <c r="O5" s="5"/>
      <c r="P5" s="5"/>
      <c r="Q5" s="5" t="s">
        <v>23</v>
      </c>
      <c r="R5" s="5">
        <v>0.01</v>
      </c>
      <c r="S5" s="5">
        <v>100</v>
      </c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>
        <v>0</v>
      </c>
    </row>
    <row r="6" spans="1:42" x14ac:dyDescent="0.35">
      <c r="A6" s="5" t="s">
        <v>8</v>
      </c>
      <c r="B6" s="5" t="s">
        <v>9</v>
      </c>
      <c r="C6" s="5" t="s">
        <v>8</v>
      </c>
      <c r="D6" s="5" t="s">
        <v>73</v>
      </c>
      <c r="E6" s="5" t="s">
        <v>8</v>
      </c>
      <c r="F6" s="5" t="s">
        <v>15</v>
      </c>
      <c r="G6" s="5" t="s">
        <v>13</v>
      </c>
      <c r="H6" s="5" t="s">
        <v>17</v>
      </c>
      <c r="I6" s="5" t="s">
        <v>8</v>
      </c>
      <c r="J6" s="5" t="s">
        <v>8</v>
      </c>
      <c r="K6" s="5" t="s">
        <v>43</v>
      </c>
      <c r="L6" s="5" t="s">
        <v>42</v>
      </c>
      <c r="M6" t="str" cm="1">
        <f t="array" ref="M6">_xlfn.XLOOKUP(L6, 'Function options'!$A$2:$A$22, 'Function options'!$B$2:B$22, "Not found")</f>
        <v>y = const = k0</v>
      </c>
      <c r="N6" s="10"/>
      <c r="O6" s="5"/>
      <c r="P6" s="5"/>
      <c r="Q6" s="5" t="s">
        <v>23</v>
      </c>
      <c r="R6" s="5">
        <v>0.01</v>
      </c>
      <c r="S6" s="5">
        <v>100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>
        <v>0</v>
      </c>
    </row>
    <row r="7" spans="1:42" x14ac:dyDescent="0.35">
      <c r="A7" s="5" t="s">
        <v>8</v>
      </c>
      <c r="B7" s="5" t="s">
        <v>8</v>
      </c>
      <c r="C7" s="5" t="s">
        <v>8</v>
      </c>
      <c r="D7" s="5" t="s">
        <v>73</v>
      </c>
      <c r="E7" s="5" t="s">
        <v>8</v>
      </c>
      <c r="F7" s="5" t="s">
        <v>15</v>
      </c>
      <c r="G7" s="5" t="s">
        <v>13</v>
      </c>
      <c r="H7" s="5" t="s">
        <v>18</v>
      </c>
      <c r="I7" s="5" t="s">
        <v>8</v>
      </c>
      <c r="J7" s="5" t="s">
        <v>8</v>
      </c>
      <c r="K7" s="5" t="s">
        <v>43</v>
      </c>
      <c r="L7" s="5" t="s">
        <v>42</v>
      </c>
      <c r="M7" t="str" cm="1">
        <f t="array" ref="M7">_xlfn.XLOOKUP(L7, 'Function options'!$A$2:$A$22, 'Function options'!$B$2:B$22, "Not found")</f>
        <v>y = const = k0</v>
      </c>
      <c r="N7" s="10"/>
      <c r="O7" s="5"/>
      <c r="P7" s="5"/>
      <c r="Q7" s="5" t="s">
        <v>23</v>
      </c>
      <c r="R7" s="5">
        <v>0.01</v>
      </c>
      <c r="S7" s="5">
        <v>100</v>
      </c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>
        <v>0</v>
      </c>
    </row>
    <row r="8" spans="1:42" s="5" customFormat="1" x14ac:dyDescent="0.35">
      <c r="A8" s="5" t="s">
        <v>8</v>
      </c>
      <c r="B8" s="5" t="s">
        <v>8</v>
      </c>
      <c r="C8" s="5" t="s">
        <v>8</v>
      </c>
      <c r="D8" s="5" t="s">
        <v>73</v>
      </c>
      <c r="E8" s="5" t="s">
        <v>8</v>
      </c>
      <c r="F8" s="5" t="s">
        <v>15</v>
      </c>
      <c r="G8" s="5" t="s">
        <v>13</v>
      </c>
      <c r="H8" s="5" t="s">
        <v>19</v>
      </c>
      <c r="I8" s="5" t="s">
        <v>8</v>
      </c>
      <c r="J8" s="5" t="s">
        <v>8</v>
      </c>
      <c r="K8" s="5" t="s">
        <v>43</v>
      </c>
      <c r="L8" s="5" t="s">
        <v>42</v>
      </c>
      <c r="M8" t="str" cm="1">
        <f t="array" ref="M8">_xlfn.XLOOKUP(L8, 'Function options'!$A$2:$A$22, 'Function options'!$B$2:B$22, "Not found")</f>
        <v>y = const = k0</v>
      </c>
      <c r="N8" s="10"/>
      <c r="Q8" s="5" t="s">
        <v>23</v>
      </c>
      <c r="R8" s="5">
        <v>0.01</v>
      </c>
      <c r="S8" s="5">
        <v>100</v>
      </c>
      <c r="AO8" s="5">
        <v>0</v>
      </c>
      <c r="AP8"/>
    </row>
    <row r="9" spans="1:42" s="5" customFormat="1" x14ac:dyDescent="0.35">
      <c r="A9" s="5" t="s">
        <v>8</v>
      </c>
      <c r="B9" s="5" t="s">
        <v>8</v>
      </c>
      <c r="C9" s="5" t="s">
        <v>8</v>
      </c>
      <c r="D9" s="5" t="s">
        <v>73</v>
      </c>
      <c r="E9" s="5" t="s">
        <v>8</v>
      </c>
      <c r="F9" s="5" t="s">
        <v>15</v>
      </c>
      <c r="G9" s="5" t="s">
        <v>13</v>
      </c>
      <c r="H9" s="5" t="s">
        <v>20</v>
      </c>
      <c r="I9" s="5" t="s">
        <v>8</v>
      </c>
      <c r="J9" s="5" t="s">
        <v>8</v>
      </c>
      <c r="K9" s="5" t="s">
        <v>43</v>
      </c>
      <c r="L9" s="5" t="s">
        <v>42</v>
      </c>
      <c r="M9" t="str" cm="1">
        <f t="array" ref="M9">_xlfn.XLOOKUP(L9, 'Function options'!$A$2:$A$22, 'Function options'!$B$2:B$22, "Not found")</f>
        <v>y = const = k0</v>
      </c>
      <c r="N9" s="10"/>
      <c r="Q9" s="5" t="s">
        <v>23</v>
      </c>
      <c r="R9" s="5">
        <v>0.01</v>
      </c>
      <c r="S9" s="5">
        <v>100</v>
      </c>
      <c r="AO9" s="5">
        <v>0</v>
      </c>
      <c r="AP9"/>
    </row>
    <row r="10" spans="1:42" s="5" customFormat="1" x14ac:dyDescent="0.35">
      <c r="A10" s="5" t="s">
        <v>8</v>
      </c>
      <c r="B10" s="5" t="s">
        <v>8</v>
      </c>
      <c r="C10" s="5" t="s">
        <v>8</v>
      </c>
      <c r="D10" s="5" t="s">
        <v>73</v>
      </c>
      <c r="E10" s="5" t="s">
        <v>8</v>
      </c>
      <c r="F10" s="6" t="s">
        <v>14</v>
      </c>
      <c r="G10" s="6" t="s">
        <v>14</v>
      </c>
      <c r="H10" s="5" t="s">
        <v>16</v>
      </c>
      <c r="I10" s="5" t="s">
        <v>8</v>
      </c>
      <c r="J10" s="5" t="s">
        <v>8</v>
      </c>
      <c r="K10" s="5" t="s">
        <v>43</v>
      </c>
      <c r="L10" s="5" t="s">
        <v>42</v>
      </c>
      <c r="M10" t="str" cm="1">
        <f t="array" ref="M10">_xlfn.XLOOKUP(L10, 'Function options'!$A$2:$A$22, 'Function options'!$B$2:B$22, "Not found")</f>
        <v>y = const = k0</v>
      </c>
      <c r="N10" s="10"/>
      <c r="Q10" s="5" t="s">
        <v>23</v>
      </c>
      <c r="R10" s="5">
        <v>0.01</v>
      </c>
      <c r="S10" s="5">
        <v>100</v>
      </c>
      <c r="AO10" s="5">
        <v>0</v>
      </c>
      <c r="AP10"/>
    </row>
    <row r="11" spans="1:42" s="5" customFormat="1" x14ac:dyDescent="0.35">
      <c r="A11" s="5" t="s">
        <v>8</v>
      </c>
      <c r="B11" s="5" t="s">
        <v>8</v>
      </c>
      <c r="C11" s="5" t="s">
        <v>8</v>
      </c>
      <c r="D11" s="5" t="s">
        <v>75</v>
      </c>
      <c r="E11" s="5" t="s">
        <v>8</v>
      </c>
      <c r="F11" s="5" t="s">
        <v>13</v>
      </c>
      <c r="G11" s="5" t="s">
        <v>13</v>
      </c>
      <c r="H11" s="5" t="s">
        <v>16</v>
      </c>
      <c r="I11" s="5" t="s">
        <v>8</v>
      </c>
      <c r="J11" s="5" t="s">
        <v>8</v>
      </c>
      <c r="K11" s="6" t="s">
        <v>43</v>
      </c>
      <c r="L11" s="6" t="s">
        <v>42</v>
      </c>
      <c r="M11" t="str" cm="1">
        <f t="array" ref="M11">_xlfn.XLOOKUP(L11, 'Function options'!$A$2:$A$22, 'Function options'!$B$2:B$22, "Not found")</f>
        <v>y = const = k0</v>
      </c>
      <c r="N11" s="10" t="s">
        <v>39</v>
      </c>
      <c r="Q11" s="5" t="s">
        <v>23</v>
      </c>
      <c r="R11" s="5">
        <v>0.01</v>
      </c>
      <c r="S11" s="5">
        <v>100</v>
      </c>
      <c r="AB11"/>
      <c r="AC11"/>
      <c r="AO11" s="5">
        <v>0</v>
      </c>
      <c r="AP11"/>
    </row>
    <row r="12" spans="1:42" s="5" customFormat="1" x14ac:dyDescent="0.35">
      <c r="A12" s="5" t="s">
        <v>8</v>
      </c>
      <c r="B12" s="5" t="s">
        <v>8</v>
      </c>
      <c r="C12" s="5" t="s">
        <v>8</v>
      </c>
      <c r="D12" s="5" t="s">
        <v>75</v>
      </c>
      <c r="E12" s="5" t="s">
        <v>8</v>
      </c>
      <c r="F12" s="6" t="s">
        <v>14</v>
      </c>
      <c r="G12" s="6" t="s">
        <v>14</v>
      </c>
      <c r="H12" s="5" t="s">
        <v>16</v>
      </c>
      <c r="I12" s="5" t="s">
        <v>8</v>
      </c>
      <c r="J12" s="5" t="s">
        <v>8</v>
      </c>
      <c r="K12" s="6" t="s">
        <v>43</v>
      </c>
      <c r="L12" s="6" t="s">
        <v>42</v>
      </c>
      <c r="M12" t="str" cm="1">
        <f t="array" ref="M12">_xlfn.XLOOKUP(L12, 'Function options'!$A$2:$A$22, 'Function options'!$B$2:B$22, "Not found")</f>
        <v>y = const = k0</v>
      </c>
      <c r="N12" s="10" t="s">
        <v>39</v>
      </c>
      <c r="Q12" s="5" t="s">
        <v>23</v>
      </c>
      <c r="R12" s="5">
        <v>0.01</v>
      </c>
      <c r="S12" s="5">
        <v>100</v>
      </c>
      <c r="AB12"/>
      <c r="AC12"/>
      <c r="AO12" s="5">
        <v>0</v>
      </c>
      <c r="AP12"/>
    </row>
    <row r="13" spans="1:42" s="5" customFormat="1" x14ac:dyDescent="0.35">
      <c r="A13" s="5" t="s">
        <v>8</v>
      </c>
      <c r="B13" s="5" t="s">
        <v>9</v>
      </c>
      <c r="C13" s="5" t="s">
        <v>8</v>
      </c>
      <c r="D13" s="5" t="s">
        <v>75</v>
      </c>
      <c r="E13" s="5" t="s">
        <v>8</v>
      </c>
      <c r="F13" s="5" t="s">
        <v>15</v>
      </c>
      <c r="G13" s="5" t="s">
        <v>13</v>
      </c>
      <c r="H13" s="5" t="s">
        <v>17</v>
      </c>
      <c r="I13" s="5" t="s">
        <v>8</v>
      </c>
      <c r="J13" s="5" t="s">
        <v>8</v>
      </c>
      <c r="K13" s="6" t="s">
        <v>43</v>
      </c>
      <c r="L13" s="6" t="s">
        <v>44</v>
      </c>
      <c r="M13" t="str" cm="1">
        <f t="array" ref="M13">_xlfn.XLOOKUP(L13, 'Function options'!$A$2:$A$22, 'Function options'!$B$2:B$22, "Not found")</f>
        <v>lin interpolation between given points - based on driver as x-aches</v>
      </c>
      <c r="N13" s="10" t="s">
        <v>39</v>
      </c>
      <c r="Q13" s="5" t="s">
        <v>23</v>
      </c>
      <c r="R13" s="5">
        <v>0.01</v>
      </c>
      <c r="Y13" s="5">
        <f t="shared" ref="Y13:Y18" si="0">AB13</f>
        <v>0</v>
      </c>
      <c r="AB13">
        <f>AD13</f>
        <v>0</v>
      </c>
      <c r="AC13"/>
      <c r="AI13" s="5">
        <v>0</v>
      </c>
      <c r="AL13" s="5">
        <v>0</v>
      </c>
      <c r="AO13" s="5">
        <v>0</v>
      </c>
      <c r="AP13"/>
    </row>
    <row r="14" spans="1:42" s="5" customFormat="1" x14ac:dyDescent="0.35">
      <c r="A14" s="5" t="s">
        <v>8</v>
      </c>
      <c r="B14" s="5" t="s">
        <v>9</v>
      </c>
      <c r="C14" s="5" t="s">
        <v>8</v>
      </c>
      <c r="D14" s="5" t="s">
        <v>75</v>
      </c>
      <c r="E14" s="5" t="s">
        <v>8</v>
      </c>
      <c r="F14" s="5" t="s">
        <v>15</v>
      </c>
      <c r="G14" s="5" t="s">
        <v>13</v>
      </c>
      <c r="H14" s="5" t="s">
        <v>18</v>
      </c>
      <c r="I14" s="5" t="s">
        <v>8</v>
      </c>
      <c r="J14" s="5" t="s">
        <v>8</v>
      </c>
      <c r="K14" s="6" t="s">
        <v>43</v>
      </c>
      <c r="L14" s="6" t="s">
        <v>44</v>
      </c>
      <c r="M14" t="str" cm="1">
        <f t="array" ref="M14">_xlfn.XLOOKUP(L14, 'Function options'!$A$2:$A$22, 'Function options'!$B$2:B$22, "Not found")</f>
        <v>lin interpolation between given points - based on driver as x-aches</v>
      </c>
      <c r="N14" s="10" t="s">
        <v>39</v>
      </c>
      <c r="Q14" s="5" t="s">
        <v>23</v>
      </c>
      <c r="R14" s="5">
        <v>0.01</v>
      </c>
      <c r="Y14" s="5">
        <f t="shared" si="0"/>
        <v>0</v>
      </c>
      <c r="AB14">
        <f>AD14</f>
        <v>0</v>
      </c>
      <c r="AC14"/>
      <c r="AI14" s="5">
        <v>0</v>
      </c>
      <c r="AL14" s="5">
        <v>100</v>
      </c>
      <c r="AO14" s="5">
        <v>0</v>
      </c>
      <c r="AP14"/>
    </row>
    <row r="15" spans="1:42" s="5" customFormat="1" x14ac:dyDescent="0.35">
      <c r="A15" s="5" t="s">
        <v>8</v>
      </c>
      <c r="B15" s="5" t="s">
        <v>9</v>
      </c>
      <c r="C15" s="5" t="s">
        <v>8</v>
      </c>
      <c r="D15" s="5" t="s">
        <v>75</v>
      </c>
      <c r="E15" s="5" t="s">
        <v>8</v>
      </c>
      <c r="F15" s="5" t="s">
        <v>15</v>
      </c>
      <c r="G15" s="5" t="s">
        <v>13</v>
      </c>
      <c r="H15" s="5" t="s">
        <v>19</v>
      </c>
      <c r="I15" s="5" t="s">
        <v>8</v>
      </c>
      <c r="J15" s="5" t="s">
        <v>8</v>
      </c>
      <c r="K15" s="6" t="s">
        <v>43</v>
      </c>
      <c r="L15" s="6" t="s">
        <v>44</v>
      </c>
      <c r="M15" t="str" cm="1">
        <f t="array" ref="M15">_xlfn.XLOOKUP(L15, 'Function options'!$A$2:$A$22, 'Function options'!$B$2:B$22, "Not found")</f>
        <v>lin interpolation between given points - based on driver as x-aches</v>
      </c>
      <c r="N15" s="10" t="s">
        <v>39</v>
      </c>
      <c r="Q15" s="5" t="s">
        <v>23</v>
      </c>
      <c r="R15" s="5">
        <v>0.01</v>
      </c>
      <c r="Y15" s="5">
        <f t="shared" si="0"/>
        <v>0</v>
      </c>
      <c r="AB15">
        <f>AD15</f>
        <v>0</v>
      </c>
      <c r="AC15"/>
      <c r="AI15" s="5">
        <v>0</v>
      </c>
      <c r="AL15" s="5">
        <v>100</v>
      </c>
      <c r="AO15" s="5">
        <v>0</v>
      </c>
      <c r="AP15"/>
    </row>
    <row r="16" spans="1:42" s="5" customFormat="1" x14ac:dyDescent="0.35">
      <c r="A16" s="5" t="s">
        <v>8</v>
      </c>
      <c r="B16" s="5" t="s">
        <v>9</v>
      </c>
      <c r="C16" s="5" t="s">
        <v>8</v>
      </c>
      <c r="D16" s="5" t="s">
        <v>75</v>
      </c>
      <c r="E16" s="5" t="s">
        <v>8</v>
      </c>
      <c r="F16" s="5" t="s">
        <v>15</v>
      </c>
      <c r="G16" s="5" t="s">
        <v>13</v>
      </c>
      <c r="H16" s="5" t="s">
        <v>20</v>
      </c>
      <c r="I16" s="5" t="s">
        <v>8</v>
      </c>
      <c r="J16" s="5" t="s">
        <v>8</v>
      </c>
      <c r="K16" s="6" t="s">
        <v>43</v>
      </c>
      <c r="L16" s="6" t="s">
        <v>44</v>
      </c>
      <c r="M16" t="str" cm="1">
        <f t="array" ref="M16">_xlfn.XLOOKUP(L16, 'Function options'!$A$2:$A$22, 'Function options'!$B$2:B$22, "Not found")</f>
        <v>lin interpolation between given points - based on driver as x-aches</v>
      </c>
      <c r="N16" s="10" t="s">
        <v>39</v>
      </c>
      <c r="Q16" s="5" t="s">
        <v>23</v>
      </c>
      <c r="R16" s="5">
        <v>0.01</v>
      </c>
      <c r="Y16" s="5">
        <f t="shared" si="0"/>
        <v>0</v>
      </c>
      <c r="AB16">
        <f>AD16</f>
        <v>0</v>
      </c>
      <c r="AC16"/>
      <c r="AI16" s="5">
        <v>0</v>
      </c>
      <c r="AL16" s="5">
        <v>100</v>
      </c>
      <c r="AO16" s="5">
        <v>0</v>
      </c>
      <c r="AP16"/>
    </row>
    <row r="17" spans="1:42" s="5" customFormat="1" x14ac:dyDescent="0.35">
      <c r="A17" s="5" t="s">
        <v>8</v>
      </c>
      <c r="B17" s="5" t="s">
        <v>9</v>
      </c>
      <c r="C17" s="5" t="s">
        <v>8</v>
      </c>
      <c r="D17" s="5" t="s">
        <v>75</v>
      </c>
      <c r="E17" s="5" t="s">
        <v>8</v>
      </c>
      <c r="F17" s="5" t="s">
        <v>15</v>
      </c>
      <c r="G17" s="5" t="s">
        <v>13</v>
      </c>
      <c r="H17" s="5" t="s">
        <v>21</v>
      </c>
      <c r="I17" s="5" t="s">
        <v>8</v>
      </c>
      <c r="J17" s="5" t="s">
        <v>8</v>
      </c>
      <c r="K17" s="6" t="s">
        <v>43</v>
      </c>
      <c r="L17" s="6" t="s">
        <v>44</v>
      </c>
      <c r="M17" t="str" cm="1">
        <f t="array" ref="M17">_xlfn.XLOOKUP(L17, 'Function options'!$A$2:$A$22, 'Function options'!$B$2:B$22, "Not found")</f>
        <v>lin interpolation between given points - based on driver as x-aches</v>
      </c>
      <c r="N17" s="10" t="s">
        <v>39</v>
      </c>
      <c r="Q17" s="5" t="s">
        <v>23</v>
      </c>
      <c r="R17" s="5">
        <v>0.01</v>
      </c>
      <c r="Y17" s="5">
        <f t="shared" si="0"/>
        <v>0</v>
      </c>
      <c r="AB17">
        <f>AD17</f>
        <v>0</v>
      </c>
      <c r="AC17"/>
      <c r="AL17" s="5">
        <v>0</v>
      </c>
      <c r="AO17" s="5">
        <v>0</v>
      </c>
      <c r="AP17"/>
    </row>
    <row r="18" spans="1:42" s="5" customFormat="1" x14ac:dyDescent="0.35">
      <c r="A18" s="5" t="s">
        <v>8</v>
      </c>
      <c r="B18" s="5" t="s">
        <v>9</v>
      </c>
      <c r="C18" s="5" t="s">
        <v>8</v>
      </c>
      <c r="D18" s="5" t="s">
        <v>75</v>
      </c>
      <c r="E18" s="5" t="s">
        <v>8</v>
      </c>
      <c r="F18" s="5" t="s">
        <v>15</v>
      </c>
      <c r="G18" s="5" t="s">
        <v>74</v>
      </c>
      <c r="H18" s="5" t="s">
        <v>16</v>
      </c>
      <c r="I18" s="5" t="s">
        <v>8</v>
      </c>
      <c r="J18" s="5" t="s">
        <v>8</v>
      </c>
      <c r="K18" s="6" t="s">
        <v>43</v>
      </c>
      <c r="L18" s="6" t="s">
        <v>44</v>
      </c>
      <c r="M18" t="str" cm="1">
        <f t="array" ref="M18">_xlfn.XLOOKUP(L18, 'Function options'!$A$2:$A$22, 'Function options'!$B$2:B$22, "Not found")</f>
        <v>lin interpolation between given points - based on driver as x-aches</v>
      </c>
      <c r="N18" s="10" t="s">
        <v>39</v>
      </c>
      <c r="Q18" s="5" t="s">
        <v>23</v>
      </c>
      <c r="R18" s="5">
        <v>0.01</v>
      </c>
      <c r="Y18" s="5">
        <f t="shared" si="0"/>
        <v>0</v>
      </c>
      <c r="AB18">
        <v>0</v>
      </c>
      <c r="AC18"/>
      <c r="AL18" s="5">
        <v>0</v>
      </c>
      <c r="AO18" s="5">
        <v>0</v>
      </c>
      <c r="AP18"/>
    </row>
    <row r="19" spans="1:42" s="5" customFormat="1" x14ac:dyDescent="0.35">
      <c r="A19" s="5" t="s">
        <v>8</v>
      </c>
      <c r="B19" s="5" t="s">
        <v>9</v>
      </c>
      <c r="C19" s="5" t="s">
        <v>8</v>
      </c>
      <c r="D19" s="5" t="s">
        <v>75</v>
      </c>
      <c r="E19" s="5" t="s">
        <v>8</v>
      </c>
      <c r="F19" s="5" t="s">
        <v>15</v>
      </c>
      <c r="G19" s="5" t="s">
        <v>74</v>
      </c>
      <c r="H19" s="5" t="s">
        <v>17</v>
      </c>
      <c r="I19" s="5" t="s">
        <v>8</v>
      </c>
      <c r="J19" s="5" t="s">
        <v>8</v>
      </c>
      <c r="K19" s="6" t="s">
        <v>43</v>
      </c>
      <c r="L19" s="6" t="s">
        <v>44</v>
      </c>
      <c r="M19" t="str" cm="1">
        <f t="array" ref="M19">_xlfn.XLOOKUP(L19, 'Function options'!$A$2:$A$22, 'Function options'!$B$2:B$22, "Not found")</f>
        <v>lin interpolation between given points - based on driver as x-aches</v>
      </c>
      <c r="N19" s="10" t="s">
        <v>39</v>
      </c>
      <c r="Q19" s="5" t="s">
        <v>23</v>
      </c>
      <c r="R19" s="5">
        <v>0.01</v>
      </c>
      <c r="Y19" s="5">
        <v>100</v>
      </c>
      <c r="AB19">
        <v>100</v>
      </c>
      <c r="AC19"/>
      <c r="AI19" s="5">
        <v>100</v>
      </c>
      <c r="AL19" s="5">
        <v>50</v>
      </c>
      <c r="AO19" s="5">
        <v>0</v>
      </c>
      <c r="AP19"/>
    </row>
    <row r="20" spans="1:42" s="5" customFormat="1" x14ac:dyDescent="0.35">
      <c r="A20" s="5" t="s">
        <v>8</v>
      </c>
      <c r="B20" s="5" t="s">
        <v>9</v>
      </c>
      <c r="C20" s="5" t="s">
        <v>8</v>
      </c>
      <c r="D20" s="5" t="s">
        <v>75</v>
      </c>
      <c r="E20" s="5" t="s">
        <v>8</v>
      </c>
      <c r="F20" s="5" t="s">
        <v>15</v>
      </c>
      <c r="G20" s="5" t="s">
        <v>74</v>
      </c>
      <c r="H20" s="5" t="s">
        <v>18</v>
      </c>
      <c r="I20" s="5" t="s">
        <v>8</v>
      </c>
      <c r="J20" s="5" t="s">
        <v>8</v>
      </c>
      <c r="K20" s="6" t="s">
        <v>43</v>
      </c>
      <c r="L20" s="6" t="s">
        <v>44</v>
      </c>
      <c r="M20" t="str" cm="1">
        <f t="array" ref="M20">_xlfn.XLOOKUP(L20, 'Function options'!$A$2:$A$22, 'Function options'!$B$2:B$22, "Not found")</f>
        <v>lin interpolation between given points - based on driver as x-aches</v>
      </c>
      <c r="N20" s="10" t="s">
        <v>39</v>
      </c>
      <c r="Q20" s="5" t="s">
        <v>23</v>
      </c>
      <c r="R20" s="5">
        <v>0.01</v>
      </c>
      <c r="Y20" s="5">
        <f t="shared" ref="Y20:Y29" si="1">AB20</f>
        <v>100</v>
      </c>
      <c r="AB20">
        <v>100</v>
      </c>
      <c r="AC20"/>
      <c r="AI20">
        <v>100</v>
      </c>
      <c r="AL20" s="5">
        <v>0</v>
      </c>
      <c r="AO20" s="5">
        <v>0</v>
      </c>
      <c r="AP20"/>
    </row>
    <row r="21" spans="1:42" s="5" customFormat="1" x14ac:dyDescent="0.35">
      <c r="A21" s="5" t="s">
        <v>8</v>
      </c>
      <c r="B21" s="5" t="s">
        <v>9</v>
      </c>
      <c r="C21" s="5" t="s">
        <v>8</v>
      </c>
      <c r="D21" s="5" t="s">
        <v>75</v>
      </c>
      <c r="E21" s="5" t="s">
        <v>8</v>
      </c>
      <c r="F21" s="5" t="s">
        <v>15</v>
      </c>
      <c r="G21" s="5" t="s">
        <v>74</v>
      </c>
      <c r="H21" s="5" t="s">
        <v>19</v>
      </c>
      <c r="I21" s="5" t="s">
        <v>8</v>
      </c>
      <c r="J21" s="5" t="s">
        <v>8</v>
      </c>
      <c r="K21" s="6" t="s">
        <v>43</v>
      </c>
      <c r="L21" s="6" t="s">
        <v>44</v>
      </c>
      <c r="M21" t="str" cm="1">
        <f t="array" ref="M21">_xlfn.XLOOKUP(L21, 'Function options'!$A$2:$A$22, 'Function options'!$B$2:B$22, "Not found")</f>
        <v>lin interpolation between given points - based on driver as x-aches</v>
      </c>
      <c r="N21" s="10" t="s">
        <v>39</v>
      </c>
      <c r="Q21" s="5" t="s">
        <v>23</v>
      </c>
      <c r="R21" s="5">
        <v>0.01</v>
      </c>
      <c r="Y21" s="5">
        <f t="shared" si="1"/>
        <v>100</v>
      </c>
      <c r="AB21">
        <v>100</v>
      </c>
      <c r="AC21"/>
      <c r="AI21">
        <v>100</v>
      </c>
      <c r="AL21" s="5">
        <v>0</v>
      </c>
      <c r="AO21" s="5">
        <v>0</v>
      </c>
      <c r="AP21"/>
    </row>
    <row r="22" spans="1:42" s="5" customFormat="1" x14ac:dyDescent="0.35">
      <c r="A22" s="5" t="s">
        <v>8</v>
      </c>
      <c r="B22" s="5" t="s">
        <v>9</v>
      </c>
      <c r="C22" s="5" t="s">
        <v>8</v>
      </c>
      <c r="D22" s="5" t="s">
        <v>75</v>
      </c>
      <c r="E22" s="5" t="s">
        <v>8</v>
      </c>
      <c r="F22" s="5" t="s">
        <v>15</v>
      </c>
      <c r="G22" s="5" t="s">
        <v>74</v>
      </c>
      <c r="H22" s="5" t="s">
        <v>20</v>
      </c>
      <c r="I22" s="5" t="s">
        <v>8</v>
      </c>
      <c r="J22" s="5" t="s">
        <v>8</v>
      </c>
      <c r="K22" s="6" t="s">
        <v>43</v>
      </c>
      <c r="L22" s="6" t="s">
        <v>44</v>
      </c>
      <c r="M22" t="str" cm="1">
        <f t="array" ref="M22">_xlfn.XLOOKUP(L22, 'Function options'!$A$2:$A$22, 'Function options'!$B$2:B$22, "Not found")</f>
        <v>lin interpolation between given points - based on driver as x-aches</v>
      </c>
      <c r="N22" s="10" t="s">
        <v>39</v>
      </c>
      <c r="Q22" s="5" t="s">
        <v>23</v>
      </c>
      <c r="R22" s="5">
        <v>0.01</v>
      </c>
      <c r="Y22" s="5">
        <f t="shared" si="1"/>
        <v>100</v>
      </c>
      <c r="AB22">
        <v>100</v>
      </c>
      <c r="AC22"/>
      <c r="AI22">
        <v>100</v>
      </c>
      <c r="AL22" s="5">
        <v>0</v>
      </c>
      <c r="AO22" s="5">
        <v>0</v>
      </c>
      <c r="AP22"/>
    </row>
    <row r="23" spans="1:42" s="5" customFormat="1" x14ac:dyDescent="0.35">
      <c r="A23" s="5" t="s">
        <v>8</v>
      </c>
      <c r="B23" s="5" t="s">
        <v>9</v>
      </c>
      <c r="C23" s="5" t="s">
        <v>8</v>
      </c>
      <c r="D23" s="5" t="s">
        <v>75</v>
      </c>
      <c r="E23" s="5" t="s">
        <v>8</v>
      </c>
      <c r="F23" s="5" t="s">
        <v>15</v>
      </c>
      <c r="G23" s="5" t="s">
        <v>74</v>
      </c>
      <c r="H23" s="5" t="s">
        <v>21</v>
      </c>
      <c r="I23" s="5" t="s">
        <v>8</v>
      </c>
      <c r="J23" s="5" t="s">
        <v>8</v>
      </c>
      <c r="K23" s="6" t="s">
        <v>43</v>
      </c>
      <c r="L23" s="6" t="s">
        <v>44</v>
      </c>
      <c r="M23" t="str" cm="1">
        <f t="array" ref="M23">_xlfn.XLOOKUP(L23, 'Function options'!$A$2:$A$22, 'Function options'!$B$2:B$22, "Not found")</f>
        <v>lin interpolation between given points - based on driver as x-aches</v>
      </c>
      <c r="N23" s="10" t="s">
        <v>39</v>
      </c>
      <c r="Q23" s="5" t="s">
        <v>23</v>
      </c>
      <c r="R23" s="5">
        <v>0.01</v>
      </c>
      <c r="Y23" s="5">
        <f t="shared" si="1"/>
        <v>0</v>
      </c>
      <c r="AB23">
        <f>AD23</f>
        <v>0</v>
      </c>
      <c r="AC23"/>
      <c r="AL23" s="5">
        <v>0</v>
      </c>
      <c r="AO23" s="5">
        <v>0</v>
      </c>
      <c r="AP23"/>
    </row>
    <row r="24" spans="1:42" s="5" customFormat="1" x14ac:dyDescent="0.35">
      <c r="A24" s="5" t="s">
        <v>8</v>
      </c>
      <c r="B24" s="5" t="s">
        <v>9</v>
      </c>
      <c r="C24" s="5" t="s">
        <v>8</v>
      </c>
      <c r="D24" s="5" t="s">
        <v>75</v>
      </c>
      <c r="E24" s="5" t="s">
        <v>8</v>
      </c>
      <c r="F24" s="5" t="s">
        <v>15</v>
      </c>
      <c r="G24" s="6" t="s">
        <v>14</v>
      </c>
      <c r="H24" s="5" t="s">
        <v>16</v>
      </c>
      <c r="I24" s="5" t="s">
        <v>8</v>
      </c>
      <c r="J24" s="5" t="s">
        <v>8</v>
      </c>
      <c r="K24" s="6" t="s">
        <v>43</v>
      </c>
      <c r="L24" s="6" t="s">
        <v>44</v>
      </c>
      <c r="M24" t="str" cm="1">
        <f t="array" ref="M24">_xlfn.XLOOKUP(L24, 'Function options'!$A$2:$A$22, 'Function options'!$B$2:B$22, "Not found")</f>
        <v>lin interpolation between given points - based on driver as x-aches</v>
      </c>
      <c r="N24" s="10" t="s">
        <v>39</v>
      </c>
      <c r="Q24" s="5" t="s">
        <v>23</v>
      </c>
      <c r="R24" s="5">
        <v>0.01</v>
      </c>
      <c r="Y24" s="5">
        <f t="shared" si="1"/>
        <v>0</v>
      </c>
      <c r="AB24">
        <v>0</v>
      </c>
      <c r="AC24"/>
      <c r="AL24" s="5">
        <v>0</v>
      </c>
      <c r="AO24" s="5">
        <v>0</v>
      </c>
      <c r="AP24"/>
    </row>
    <row r="25" spans="1:42" s="5" customFormat="1" x14ac:dyDescent="0.35">
      <c r="A25" s="5" t="s">
        <v>8</v>
      </c>
      <c r="B25" s="5" t="s">
        <v>9</v>
      </c>
      <c r="C25" s="5" t="s">
        <v>8</v>
      </c>
      <c r="D25" s="5" t="s">
        <v>75</v>
      </c>
      <c r="E25" s="5" t="s">
        <v>8</v>
      </c>
      <c r="F25" s="5" t="s">
        <v>15</v>
      </c>
      <c r="G25" s="6" t="s">
        <v>14</v>
      </c>
      <c r="H25" s="5" t="s">
        <v>17</v>
      </c>
      <c r="I25" s="5" t="s">
        <v>8</v>
      </c>
      <c r="J25" s="5" t="s">
        <v>8</v>
      </c>
      <c r="K25" s="6" t="s">
        <v>43</v>
      </c>
      <c r="L25" s="6" t="s">
        <v>44</v>
      </c>
      <c r="M25" t="str" cm="1">
        <f t="array" ref="M25">_xlfn.XLOOKUP(L25, 'Function options'!$A$2:$A$22, 'Function options'!$B$2:B$22, "Not found")</f>
        <v>lin interpolation between given points - based on driver as x-aches</v>
      </c>
      <c r="N25" s="10" t="s">
        <v>39</v>
      </c>
      <c r="Q25" s="5" t="s">
        <v>23</v>
      </c>
      <c r="R25" s="5">
        <v>0.01</v>
      </c>
      <c r="Y25" s="5">
        <f t="shared" si="1"/>
        <v>0</v>
      </c>
      <c r="AB25">
        <f>AD25</f>
        <v>0</v>
      </c>
      <c r="AC25"/>
      <c r="AI25">
        <f>AJ25</f>
        <v>0</v>
      </c>
      <c r="AL25" s="5">
        <v>0</v>
      </c>
      <c r="AO25" s="5">
        <v>0</v>
      </c>
      <c r="AP25"/>
    </row>
    <row r="26" spans="1:42" s="5" customFormat="1" x14ac:dyDescent="0.35">
      <c r="A26" s="5" t="s">
        <v>8</v>
      </c>
      <c r="B26" s="5" t="s">
        <v>9</v>
      </c>
      <c r="C26" s="5" t="s">
        <v>8</v>
      </c>
      <c r="D26" s="5" t="s">
        <v>75</v>
      </c>
      <c r="E26" s="5" t="s">
        <v>8</v>
      </c>
      <c r="F26" s="5" t="s">
        <v>15</v>
      </c>
      <c r="G26" s="6" t="s">
        <v>14</v>
      </c>
      <c r="H26" s="5" t="s">
        <v>18</v>
      </c>
      <c r="I26" s="5" t="s">
        <v>8</v>
      </c>
      <c r="J26" s="5" t="s">
        <v>8</v>
      </c>
      <c r="K26" s="6" t="s">
        <v>43</v>
      </c>
      <c r="L26" s="6" t="s">
        <v>44</v>
      </c>
      <c r="M26" t="str" cm="1">
        <f t="array" ref="M26">_xlfn.XLOOKUP(L26, 'Function options'!$A$2:$A$22, 'Function options'!$B$2:B$22, "Not found")</f>
        <v>lin interpolation between given points - based on driver as x-aches</v>
      </c>
      <c r="N26" s="10" t="s">
        <v>39</v>
      </c>
      <c r="Q26" s="5" t="s">
        <v>23</v>
      </c>
      <c r="R26" s="5">
        <v>0.01</v>
      </c>
      <c r="Y26" s="5">
        <f t="shared" si="1"/>
        <v>0</v>
      </c>
      <c r="AB26">
        <f>AD26</f>
        <v>0</v>
      </c>
      <c r="AC26"/>
      <c r="AI26">
        <f>AJ26</f>
        <v>0</v>
      </c>
      <c r="AL26" s="5">
        <v>0</v>
      </c>
      <c r="AO26" s="5">
        <v>0</v>
      </c>
      <c r="AP26"/>
    </row>
    <row r="27" spans="1:42" s="5" customFormat="1" x14ac:dyDescent="0.35">
      <c r="A27" s="5" t="s">
        <v>8</v>
      </c>
      <c r="B27" s="5" t="s">
        <v>9</v>
      </c>
      <c r="C27" s="5" t="s">
        <v>8</v>
      </c>
      <c r="D27" s="5" t="s">
        <v>75</v>
      </c>
      <c r="E27" s="5" t="s">
        <v>8</v>
      </c>
      <c r="F27" s="5" t="s">
        <v>15</v>
      </c>
      <c r="G27" s="6" t="s">
        <v>14</v>
      </c>
      <c r="H27" s="5" t="s">
        <v>19</v>
      </c>
      <c r="I27" s="5" t="s">
        <v>8</v>
      </c>
      <c r="J27" s="5" t="s">
        <v>8</v>
      </c>
      <c r="K27" s="6" t="s">
        <v>43</v>
      </c>
      <c r="L27" s="6" t="s">
        <v>44</v>
      </c>
      <c r="M27" t="str" cm="1">
        <f t="array" ref="M27">_xlfn.XLOOKUP(L27, 'Function options'!$A$2:$A$22, 'Function options'!$B$2:B$22, "Not found")</f>
        <v>lin interpolation between given points - based on driver as x-aches</v>
      </c>
      <c r="N27" s="10" t="s">
        <v>39</v>
      </c>
      <c r="Q27" s="5" t="s">
        <v>23</v>
      </c>
      <c r="R27" s="5">
        <v>0.01</v>
      </c>
      <c r="Y27" s="5">
        <f t="shared" si="1"/>
        <v>0</v>
      </c>
      <c r="AB27">
        <f>AD27</f>
        <v>0</v>
      </c>
      <c r="AC27"/>
      <c r="AI27">
        <f>AJ27</f>
        <v>0</v>
      </c>
      <c r="AL27" s="5">
        <v>0</v>
      </c>
      <c r="AO27" s="5">
        <v>0</v>
      </c>
      <c r="AP27"/>
    </row>
    <row r="28" spans="1:42" s="5" customFormat="1" x14ac:dyDescent="0.35">
      <c r="A28" s="5" t="s">
        <v>8</v>
      </c>
      <c r="B28" s="5" t="s">
        <v>9</v>
      </c>
      <c r="C28" s="5" t="s">
        <v>8</v>
      </c>
      <c r="D28" s="5" t="s">
        <v>75</v>
      </c>
      <c r="E28" s="5" t="s">
        <v>8</v>
      </c>
      <c r="F28" s="5" t="s">
        <v>15</v>
      </c>
      <c r="G28" s="6" t="s">
        <v>14</v>
      </c>
      <c r="H28" s="5" t="s">
        <v>20</v>
      </c>
      <c r="I28" s="5" t="s">
        <v>8</v>
      </c>
      <c r="J28" s="5" t="s">
        <v>8</v>
      </c>
      <c r="K28" s="6" t="s">
        <v>43</v>
      </c>
      <c r="L28" s="6" t="s">
        <v>44</v>
      </c>
      <c r="M28" t="str" cm="1">
        <f t="array" ref="M28">_xlfn.XLOOKUP(L28, 'Function options'!$A$2:$A$22, 'Function options'!$B$2:B$22, "Not found")</f>
        <v>lin interpolation between given points - based on driver as x-aches</v>
      </c>
      <c r="N28" s="10" t="s">
        <v>39</v>
      </c>
      <c r="Q28" s="5" t="s">
        <v>23</v>
      </c>
      <c r="R28" s="5">
        <v>0.01</v>
      </c>
      <c r="Y28" s="5">
        <f t="shared" si="1"/>
        <v>0</v>
      </c>
      <c r="AB28">
        <f>AD28</f>
        <v>0</v>
      </c>
      <c r="AC28"/>
      <c r="AI28">
        <f>AJ28</f>
        <v>0</v>
      </c>
      <c r="AL28" s="5">
        <v>0</v>
      </c>
      <c r="AO28" s="5">
        <v>0</v>
      </c>
      <c r="AP28"/>
    </row>
    <row r="29" spans="1:42" s="5" customFormat="1" x14ac:dyDescent="0.35">
      <c r="A29" s="5" t="s">
        <v>8</v>
      </c>
      <c r="B29" s="5" t="s">
        <v>9</v>
      </c>
      <c r="C29" s="5" t="s">
        <v>8</v>
      </c>
      <c r="D29" s="5" t="s">
        <v>75</v>
      </c>
      <c r="E29" s="5" t="s">
        <v>8</v>
      </c>
      <c r="F29" s="5" t="s">
        <v>15</v>
      </c>
      <c r="G29" s="6" t="s">
        <v>14</v>
      </c>
      <c r="H29" s="5" t="s">
        <v>21</v>
      </c>
      <c r="I29" s="5" t="s">
        <v>8</v>
      </c>
      <c r="J29" s="5" t="s">
        <v>8</v>
      </c>
      <c r="K29" s="6" t="s">
        <v>43</v>
      </c>
      <c r="L29" s="6" t="s">
        <v>44</v>
      </c>
      <c r="M29" t="str" cm="1">
        <f t="array" ref="M29">_xlfn.XLOOKUP(L29, 'Function options'!$A$2:$A$22, 'Function options'!$B$2:B$22, "Not found")</f>
        <v>lin interpolation between given points - based on driver as x-aches</v>
      </c>
      <c r="N29" s="10" t="s">
        <v>39</v>
      </c>
      <c r="Q29" s="5" t="s">
        <v>23</v>
      </c>
      <c r="R29" s="5">
        <v>0.01</v>
      </c>
      <c r="Y29" s="5">
        <f t="shared" si="1"/>
        <v>0</v>
      </c>
      <c r="AB29">
        <f>AD29</f>
        <v>0</v>
      </c>
      <c r="AC29"/>
      <c r="AL29" s="5">
        <v>0</v>
      </c>
      <c r="AO29" s="5">
        <v>0</v>
      </c>
      <c r="AP29"/>
    </row>
    <row r="30" spans="1:42" s="5" customFormat="1" x14ac:dyDescent="0.35">
      <c r="A30" t="s">
        <v>8</v>
      </c>
      <c r="B30" t="s">
        <v>9</v>
      </c>
      <c r="C30" t="s">
        <v>8</v>
      </c>
      <c r="D30" t="s">
        <v>10</v>
      </c>
      <c r="E30"/>
      <c r="F30"/>
      <c r="H30"/>
      <c r="I30"/>
      <c r="J30" s="8"/>
      <c r="K30" s="2" t="s">
        <v>38</v>
      </c>
      <c r="L30" t="s">
        <v>71</v>
      </c>
      <c r="M30" t="str" cm="1">
        <f t="array" ref="M30">_xlfn.XLOOKUP(L30, 'Function options'!$A$2:$A$22, 'Function options'!$B$2:B$22, "Not found")</f>
        <v>y = k0 + (k1 + k2*DDr1)*DDr2</v>
      </c>
      <c r="N30" s="2" t="s">
        <v>39</v>
      </c>
      <c r="O30" s="2" t="s">
        <v>40</v>
      </c>
      <c r="P30" s="2"/>
      <c r="Q30" s="2" t="s">
        <v>24</v>
      </c>
      <c r="R30" s="2">
        <v>1000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>
        <v>0</v>
      </c>
      <c r="AP30"/>
    </row>
    <row r="31" spans="1:42" s="5" customFormat="1" x14ac:dyDescent="0.35">
      <c r="A31" t="s">
        <v>8</v>
      </c>
      <c r="B31" t="s">
        <v>9</v>
      </c>
      <c r="C31" t="s">
        <v>8</v>
      </c>
      <c r="D31" t="s">
        <v>11</v>
      </c>
      <c r="E31" t="s">
        <v>8</v>
      </c>
      <c r="F31" t="s">
        <v>15</v>
      </c>
      <c r="H31" t="s">
        <v>17</v>
      </c>
      <c r="I31"/>
      <c r="J31" s="8"/>
      <c r="K31" t="s">
        <v>38</v>
      </c>
      <c r="L31" t="s">
        <v>47</v>
      </c>
      <c r="M31" t="str" cm="1">
        <f t="array" ref="M31">_xlfn.XLOOKUP(L31, 'Function options'!$A$2:$A$22, 'Function options'!$B$2:B$22, "Not found")</f>
        <v>y = const = y(t_hist)</v>
      </c>
      <c r="N31" s="2"/>
      <c r="O31" s="2"/>
      <c r="P31"/>
      <c r="Q31" t="s">
        <v>23</v>
      </c>
      <c r="R31">
        <v>0.01</v>
      </c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0</v>
      </c>
      <c r="AP31"/>
    </row>
    <row r="32" spans="1:42" x14ac:dyDescent="0.35">
      <c r="A32" t="s">
        <v>8</v>
      </c>
      <c r="B32" t="s">
        <v>9</v>
      </c>
      <c r="C32" t="s">
        <v>8</v>
      </c>
      <c r="D32" t="s">
        <v>11</v>
      </c>
      <c r="E32" t="s">
        <v>8</v>
      </c>
      <c r="F32" t="s">
        <v>15</v>
      </c>
      <c r="H32" t="s">
        <v>18</v>
      </c>
      <c r="K32" t="s">
        <v>38</v>
      </c>
      <c r="L32" t="s">
        <v>47</v>
      </c>
      <c r="M32" t="str" cm="1">
        <f t="array" ref="M32">_xlfn.XLOOKUP(L32, 'Function options'!$A$2:$A$22, 'Function options'!$B$2:B$22, "Not found")</f>
        <v>y = const = y(t_hist)</v>
      </c>
      <c r="N32" s="2"/>
      <c r="O32" s="2"/>
      <c r="P32" s="4"/>
      <c r="Q32" t="s">
        <v>23</v>
      </c>
      <c r="R32">
        <v>0.01</v>
      </c>
      <c r="AO32">
        <v>0</v>
      </c>
    </row>
    <row r="33" spans="1:42" ht="13.5" customHeight="1" x14ac:dyDescent="0.35">
      <c r="A33" t="s">
        <v>8</v>
      </c>
      <c r="B33" t="s">
        <v>9</v>
      </c>
      <c r="C33" t="s">
        <v>8</v>
      </c>
      <c r="D33" t="s">
        <v>11</v>
      </c>
      <c r="E33" t="s">
        <v>8</v>
      </c>
      <c r="F33" t="s">
        <v>15</v>
      </c>
      <c r="H33" t="s">
        <v>19</v>
      </c>
      <c r="K33" t="s">
        <v>38</v>
      </c>
      <c r="L33" t="s">
        <v>47</v>
      </c>
      <c r="M33" t="str" cm="1">
        <f t="array" ref="M33">_xlfn.XLOOKUP(L33, 'Function options'!$A$2:$A$22, 'Function options'!$B$2:B$22, "Not found")</f>
        <v>y = const = y(t_hist)</v>
      </c>
      <c r="N33" s="2"/>
      <c r="O33" s="2"/>
      <c r="Q33" t="s">
        <v>23</v>
      </c>
      <c r="R33">
        <v>0.01</v>
      </c>
      <c r="AO33">
        <v>0</v>
      </c>
    </row>
    <row r="34" spans="1:42" x14ac:dyDescent="0.35">
      <c r="A34" t="s">
        <v>8</v>
      </c>
      <c r="B34" t="s">
        <v>9</v>
      </c>
      <c r="C34" t="s">
        <v>8</v>
      </c>
      <c r="D34" t="s">
        <v>11</v>
      </c>
      <c r="E34" t="s">
        <v>8</v>
      </c>
      <c r="F34" t="s">
        <v>15</v>
      </c>
      <c r="H34" t="s">
        <v>20</v>
      </c>
      <c r="K34" t="s">
        <v>38</v>
      </c>
      <c r="L34" t="s">
        <v>47</v>
      </c>
      <c r="M34" t="str" cm="1">
        <f t="array" ref="M34">_xlfn.XLOOKUP(L34, 'Function options'!$A$2:$A$22, 'Function options'!$B$2:B$22, "Not found")</f>
        <v>y = const = y(t_hist)</v>
      </c>
      <c r="N34" s="2"/>
      <c r="O34" s="2"/>
      <c r="P34" s="4"/>
      <c r="Q34" t="s">
        <v>23</v>
      </c>
      <c r="R34">
        <v>0.01</v>
      </c>
      <c r="AO34">
        <v>0</v>
      </c>
    </row>
    <row r="35" spans="1:42" x14ac:dyDescent="0.35">
      <c r="A35" t="s">
        <v>8</v>
      </c>
      <c r="B35" t="s">
        <v>9</v>
      </c>
      <c r="C35" t="s">
        <v>8</v>
      </c>
      <c r="D35" t="s">
        <v>11</v>
      </c>
      <c r="E35" t="s">
        <v>8</v>
      </c>
      <c r="F35" t="s">
        <v>15</v>
      </c>
      <c r="H35" t="s">
        <v>21</v>
      </c>
      <c r="K35" t="s">
        <v>38</v>
      </c>
      <c r="L35" t="s">
        <v>47</v>
      </c>
      <c r="M35" t="str" cm="1">
        <f t="array" ref="M35">_xlfn.XLOOKUP(L35, 'Function options'!$A$2:$A$22, 'Function options'!$B$2:B$22, "Not found")</f>
        <v>y = const = y(t_hist)</v>
      </c>
      <c r="N35" s="2"/>
      <c r="O35" s="2"/>
      <c r="Q35" t="s">
        <v>23</v>
      </c>
      <c r="R35">
        <v>0.01</v>
      </c>
      <c r="AO35">
        <v>0</v>
      </c>
    </row>
    <row r="36" spans="1:42" x14ac:dyDescent="0.35">
      <c r="A36" t="s">
        <v>8</v>
      </c>
      <c r="B36" t="s">
        <v>9</v>
      </c>
      <c r="C36" t="s">
        <v>134</v>
      </c>
      <c r="D36" t="s">
        <v>11</v>
      </c>
      <c r="E36" t="s">
        <v>135</v>
      </c>
      <c r="F36" t="s">
        <v>13</v>
      </c>
      <c r="K36" t="s">
        <v>38</v>
      </c>
      <c r="L36" t="s">
        <v>47</v>
      </c>
      <c r="M36" t="s">
        <v>41</v>
      </c>
      <c r="N36" s="2" t="s">
        <v>39</v>
      </c>
      <c r="O36" s="2"/>
      <c r="Q36" t="s">
        <v>22</v>
      </c>
      <c r="R36">
        <v>2.7777777777777776E-7</v>
      </c>
      <c r="S36">
        <v>0</v>
      </c>
      <c r="T36">
        <v>1.82</v>
      </c>
      <c r="U36">
        <v>-1</v>
      </c>
      <c r="V36">
        <v>2020</v>
      </c>
      <c r="AO36" s="36">
        <v>1.2699669966996701</v>
      </c>
    </row>
    <row r="37" spans="1:42" x14ac:dyDescent="0.35">
      <c r="A37" t="s">
        <v>8</v>
      </c>
      <c r="B37" t="s">
        <v>9</v>
      </c>
      <c r="C37" t="s">
        <v>134</v>
      </c>
      <c r="D37" t="s">
        <v>11</v>
      </c>
      <c r="E37" t="s">
        <v>135</v>
      </c>
      <c r="F37" t="s">
        <v>14</v>
      </c>
      <c r="K37" t="s">
        <v>38</v>
      </c>
      <c r="L37" t="s">
        <v>47</v>
      </c>
      <c r="M37" t="s">
        <v>41</v>
      </c>
      <c r="N37" s="2" t="s">
        <v>39</v>
      </c>
      <c r="O37" s="2"/>
      <c r="Q37" t="s">
        <v>22</v>
      </c>
      <c r="R37">
        <v>2.7777777777777776E-7</v>
      </c>
      <c r="S37">
        <v>0</v>
      </c>
      <c r="T37">
        <v>0</v>
      </c>
      <c r="U37">
        <v>-1</v>
      </c>
      <c r="V37">
        <v>2020</v>
      </c>
      <c r="AO37">
        <v>0</v>
      </c>
    </row>
    <row r="38" spans="1:42" x14ac:dyDescent="0.35">
      <c r="A38" t="s">
        <v>8</v>
      </c>
      <c r="B38" t="s">
        <v>9</v>
      </c>
      <c r="C38" t="s">
        <v>134</v>
      </c>
      <c r="D38" t="s">
        <v>11</v>
      </c>
      <c r="E38" t="s">
        <v>135</v>
      </c>
      <c r="F38" t="s">
        <v>15</v>
      </c>
      <c r="K38" t="s">
        <v>38</v>
      </c>
      <c r="L38" t="s">
        <v>47</v>
      </c>
      <c r="M38" t="s">
        <v>41</v>
      </c>
      <c r="N38" s="2" t="s">
        <v>39</v>
      </c>
      <c r="O38" s="2"/>
      <c r="Q38" t="s">
        <v>22</v>
      </c>
      <c r="R38">
        <v>2.7777777777777776E-7</v>
      </c>
      <c r="S38">
        <v>0</v>
      </c>
      <c r="T38">
        <v>19.39</v>
      </c>
      <c r="U38">
        <v>-1</v>
      </c>
      <c r="V38">
        <v>2020</v>
      </c>
      <c r="AO38" s="36">
        <v>12.1770297029703</v>
      </c>
    </row>
    <row r="39" spans="1:42" x14ac:dyDescent="0.35">
      <c r="A39" t="s">
        <v>8</v>
      </c>
      <c r="B39" t="s">
        <v>9</v>
      </c>
      <c r="C39" t="s">
        <v>134</v>
      </c>
      <c r="D39" t="s">
        <v>11</v>
      </c>
      <c r="E39" t="s">
        <v>136</v>
      </c>
      <c r="F39" t="s">
        <v>13</v>
      </c>
      <c r="K39" t="s">
        <v>38</v>
      </c>
      <c r="L39" t="s">
        <v>47</v>
      </c>
      <c r="M39" t="s">
        <v>41</v>
      </c>
      <c r="N39" s="2" t="s">
        <v>39</v>
      </c>
      <c r="O39" s="2"/>
      <c r="Q39" t="s">
        <v>22</v>
      </c>
      <c r="R39">
        <v>2.7777777777777776E-7</v>
      </c>
      <c r="S39">
        <v>0</v>
      </c>
      <c r="T39">
        <v>1.1160000000000001</v>
      </c>
      <c r="U39">
        <v>-1</v>
      </c>
      <c r="V39">
        <v>2020</v>
      </c>
      <c r="AO39">
        <v>1.1160000000000001</v>
      </c>
    </row>
    <row r="40" spans="1:42" x14ac:dyDescent="0.35">
      <c r="A40" t="s">
        <v>8</v>
      </c>
      <c r="B40" t="s">
        <v>9</v>
      </c>
      <c r="C40" t="s">
        <v>134</v>
      </c>
      <c r="D40" t="s">
        <v>11</v>
      </c>
      <c r="E40" t="s">
        <v>136</v>
      </c>
      <c r="F40" t="s">
        <v>14</v>
      </c>
      <c r="K40" t="s">
        <v>38</v>
      </c>
      <c r="L40" t="s">
        <v>47</v>
      </c>
      <c r="M40" t="s">
        <v>41</v>
      </c>
      <c r="N40" s="2" t="s">
        <v>39</v>
      </c>
      <c r="O40" s="2"/>
      <c r="Q40" t="s">
        <v>22</v>
      </c>
      <c r="R40">
        <v>2.7777777777777776E-7</v>
      </c>
      <c r="S40">
        <v>0</v>
      </c>
      <c r="T40">
        <v>6.4073592000000001</v>
      </c>
      <c r="U40">
        <v>-1</v>
      </c>
      <c r="V40">
        <v>2020</v>
      </c>
      <c r="AO40">
        <v>6.4073592000000001</v>
      </c>
    </row>
    <row r="41" spans="1:42" x14ac:dyDescent="0.35">
      <c r="A41" t="s">
        <v>8</v>
      </c>
      <c r="B41" t="s">
        <v>9</v>
      </c>
      <c r="C41" t="s">
        <v>134</v>
      </c>
      <c r="D41" t="s">
        <v>11</v>
      </c>
      <c r="E41" t="s">
        <v>136</v>
      </c>
      <c r="F41" t="s">
        <v>15</v>
      </c>
      <c r="K41" t="s">
        <v>38</v>
      </c>
      <c r="L41" t="s">
        <v>47</v>
      </c>
      <c r="M41" t="s">
        <v>41</v>
      </c>
      <c r="N41" s="2" t="s">
        <v>39</v>
      </c>
      <c r="O41" s="2"/>
      <c r="Q41" t="s">
        <v>22</v>
      </c>
      <c r="R41">
        <v>2.7777777777777776E-7</v>
      </c>
      <c r="S41">
        <v>0</v>
      </c>
      <c r="T41">
        <v>0</v>
      </c>
      <c r="U41">
        <v>-1</v>
      </c>
      <c r="V41">
        <v>2020</v>
      </c>
      <c r="AO41">
        <v>0</v>
      </c>
    </row>
    <row r="42" spans="1:42" x14ac:dyDescent="0.35">
      <c r="A42" t="s">
        <v>8</v>
      </c>
      <c r="B42" t="s">
        <v>9</v>
      </c>
      <c r="C42" t="s">
        <v>134</v>
      </c>
      <c r="D42" t="s">
        <v>12</v>
      </c>
      <c r="E42" t="s">
        <v>135</v>
      </c>
      <c r="K42" t="s">
        <v>43</v>
      </c>
      <c r="L42" t="s">
        <v>44</v>
      </c>
      <c r="M42" t="s">
        <v>56</v>
      </c>
      <c r="N42" t="s">
        <v>39</v>
      </c>
      <c r="O42" s="2"/>
      <c r="Q42" t="s">
        <v>23</v>
      </c>
      <c r="R42">
        <v>0.01</v>
      </c>
      <c r="Y42">
        <v>100</v>
      </c>
      <c r="AB42">
        <v>100</v>
      </c>
      <c r="AD42">
        <v>100</v>
      </c>
      <c r="AI42">
        <v>100</v>
      </c>
      <c r="AJ42">
        <v>85</v>
      </c>
      <c r="AL42">
        <v>0</v>
      </c>
      <c r="AO42">
        <v>0</v>
      </c>
    </row>
    <row r="43" spans="1:42" x14ac:dyDescent="0.35">
      <c r="A43" t="s">
        <v>8</v>
      </c>
      <c r="B43" t="s">
        <v>9</v>
      </c>
      <c r="C43" t="s">
        <v>134</v>
      </c>
      <c r="D43" t="s">
        <v>12</v>
      </c>
      <c r="E43" t="s">
        <v>136</v>
      </c>
      <c r="K43" t="s">
        <v>43</v>
      </c>
      <c r="L43" t="s">
        <v>44</v>
      </c>
      <c r="M43" t="s">
        <v>56</v>
      </c>
      <c r="N43" t="s">
        <v>39</v>
      </c>
      <c r="O43" s="2"/>
      <c r="Q43" t="s">
        <v>23</v>
      </c>
      <c r="R43">
        <v>0.01</v>
      </c>
      <c r="Y43">
        <v>0</v>
      </c>
      <c r="AB43">
        <v>0</v>
      </c>
      <c r="AD43">
        <v>0</v>
      </c>
      <c r="AI43">
        <v>0</v>
      </c>
      <c r="AJ43">
        <v>15</v>
      </c>
      <c r="AL43">
        <v>100</v>
      </c>
      <c r="AO43">
        <v>0</v>
      </c>
    </row>
    <row r="44" spans="1:42" s="5" customFormat="1" x14ac:dyDescent="0.35">
      <c r="A44"/>
      <c r="C44"/>
      <c r="G44" s="6"/>
      <c r="K44" s="6"/>
      <c r="L44" s="6"/>
      <c r="M44"/>
      <c r="N44" s="10"/>
      <c r="Y44"/>
      <c r="AB44"/>
      <c r="AC44"/>
      <c r="AI44"/>
      <c r="AP44"/>
    </row>
    <row r="45" spans="1:42" s="5" customFormat="1" x14ac:dyDescent="0.35">
      <c r="K45" s="6"/>
      <c r="L45" s="6"/>
      <c r="M45"/>
      <c r="N45" s="10"/>
      <c r="AB45"/>
      <c r="AC45"/>
      <c r="AP45"/>
    </row>
    <row r="46" spans="1:42" s="5" customFormat="1" x14ac:dyDescent="0.35">
      <c r="K46" s="6"/>
      <c r="L46" s="6"/>
      <c r="M46"/>
      <c r="N46" s="10"/>
      <c r="AB46"/>
      <c r="AC46"/>
      <c r="AP46"/>
    </row>
    <row r="47" spans="1:42" s="5" customFormat="1" x14ac:dyDescent="0.35">
      <c r="K47" s="6"/>
      <c r="L47" s="6"/>
      <c r="M47"/>
      <c r="N47" s="10"/>
      <c r="AB47"/>
      <c r="AC47"/>
      <c r="AP47"/>
    </row>
    <row r="48" spans="1:42" s="5" customFormat="1" x14ac:dyDescent="0.35">
      <c r="K48" s="6"/>
      <c r="L48" s="6"/>
      <c r="M48"/>
      <c r="N48" s="10"/>
      <c r="AB48"/>
      <c r="AC48"/>
      <c r="AP48"/>
    </row>
    <row r="49" spans="1:42" s="5" customFormat="1" x14ac:dyDescent="0.35">
      <c r="K49" s="6"/>
      <c r="L49" s="6"/>
      <c r="M49"/>
      <c r="N49" s="10"/>
      <c r="AB49"/>
      <c r="AC49"/>
      <c r="AP49"/>
    </row>
    <row r="50" spans="1:42" s="5" customFormat="1" x14ac:dyDescent="0.35">
      <c r="K50" s="6"/>
      <c r="L50" s="6"/>
      <c r="M50"/>
      <c r="N50" s="10"/>
      <c r="AB50"/>
      <c r="AC50"/>
      <c r="AP50"/>
    </row>
    <row r="51" spans="1:42" s="5" customFormat="1" x14ac:dyDescent="0.35">
      <c r="G51" s="6"/>
      <c r="K51" s="6"/>
      <c r="L51" s="6"/>
      <c r="M51"/>
      <c r="N51" s="10"/>
      <c r="AB51"/>
      <c r="AC51"/>
      <c r="AP51"/>
    </row>
    <row r="52" spans="1:42" s="5" customFormat="1" x14ac:dyDescent="0.35">
      <c r="G52" s="6"/>
      <c r="K52" s="6"/>
      <c r="L52" s="6"/>
      <c r="M52"/>
      <c r="N52" s="10"/>
      <c r="AB52"/>
      <c r="AC52"/>
      <c r="AP52"/>
    </row>
    <row r="53" spans="1:42" s="5" customFormat="1" x14ac:dyDescent="0.35">
      <c r="G53" s="6"/>
      <c r="K53" s="6"/>
      <c r="L53" s="6"/>
      <c r="M53"/>
      <c r="N53" s="10"/>
      <c r="AB53"/>
      <c r="AC53"/>
      <c r="AP53"/>
    </row>
    <row r="54" spans="1:42" s="5" customFormat="1" x14ac:dyDescent="0.35">
      <c r="K54" s="6"/>
      <c r="L54" s="6"/>
      <c r="M54"/>
      <c r="N54" s="10"/>
      <c r="AB54"/>
      <c r="AC54"/>
      <c r="AP54"/>
    </row>
    <row r="55" spans="1:42" s="5" customFormat="1" x14ac:dyDescent="0.35">
      <c r="K55" s="6"/>
      <c r="L55" s="6"/>
      <c r="M55"/>
      <c r="N55" s="10"/>
      <c r="AB55"/>
      <c r="AC55"/>
      <c r="AP55"/>
    </row>
    <row r="56" spans="1:42" s="5" customFormat="1" x14ac:dyDescent="0.35">
      <c r="K56" s="6"/>
      <c r="L56" s="6"/>
      <c r="M56"/>
      <c r="N56" s="10"/>
      <c r="AB56"/>
      <c r="AC56"/>
      <c r="AP56"/>
    </row>
    <row r="57" spans="1:42" s="5" customFormat="1" ht="15.65" customHeight="1" x14ac:dyDescent="0.35">
      <c r="K57" s="6"/>
      <c r="L57" s="6"/>
      <c r="M57"/>
      <c r="N57" s="10"/>
      <c r="AB57"/>
      <c r="AC57"/>
      <c r="AP57"/>
    </row>
    <row r="58" spans="1:42" s="5" customFormat="1" x14ac:dyDescent="0.35">
      <c r="G58" s="6"/>
      <c r="K58" s="6"/>
      <c r="L58" s="6"/>
      <c r="M58"/>
      <c r="N58" s="10"/>
      <c r="AB58"/>
      <c r="AC58"/>
      <c r="AP58"/>
    </row>
    <row r="59" spans="1:42" x14ac:dyDescent="0.35">
      <c r="A59" s="5"/>
      <c r="B59" s="5"/>
      <c r="D59" s="5"/>
      <c r="E59" s="5"/>
      <c r="K59" s="6"/>
      <c r="L59" s="6"/>
      <c r="N59" s="10"/>
      <c r="Q59" s="5"/>
      <c r="R59" s="5"/>
      <c r="Y59" s="5"/>
      <c r="AB59" s="5"/>
      <c r="AC59" s="5"/>
      <c r="AD59" s="5"/>
      <c r="AE59" s="5"/>
      <c r="AF59" s="5"/>
      <c r="AG59" s="5"/>
      <c r="AH59" s="5"/>
      <c r="AI59" s="5"/>
      <c r="AJ59" s="5"/>
      <c r="AM59" s="5"/>
      <c r="AO59" s="5"/>
    </row>
    <row r="60" spans="1:42" x14ac:dyDescent="0.35">
      <c r="A60" s="5"/>
      <c r="B60" s="5"/>
      <c r="D60" s="5"/>
      <c r="E60" s="5"/>
      <c r="K60" s="6"/>
      <c r="L60" s="6"/>
      <c r="N60" s="10"/>
      <c r="Q60" s="5"/>
      <c r="R60" s="5"/>
      <c r="X60" s="5"/>
      <c r="Y60" s="5"/>
      <c r="Z60" s="5"/>
      <c r="AA60" s="5"/>
      <c r="AD60" s="5"/>
      <c r="AE60" s="5"/>
      <c r="AF60" s="5"/>
      <c r="AG60" s="5"/>
      <c r="AH60" s="5"/>
      <c r="AI60" s="5"/>
      <c r="AJ60" s="5"/>
      <c r="AM60" s="5"/>
      <c r="AO60" s="5"/>
    </row>
    <row r="61" spans="1:42" x14ac:dyDescent="0.35">
      <c r="A61" s="5"/>
      <c r="B61" s="5"/>
      <c r="D61" s="5"/>
      <c r="E61" s="5"/>
      <c r="K61" s="6"/>
      <c r="L61" s="6"/>
      <c r="N61" s="10"/>
      <c r="Q61" s="5"/>
      <c r="R61" s="5"/>
      <c r="Y61" s="5"/>
      <c r="AB61" s="5"/>
      <c r="AC61" s="5"/>
      <c r="AD61" s="5"/>
      <c r="AE61" s="5"/>
      <c r="AF61" s="5"/>
      <c r="AG61" s="5"/>
      <c r="AH61" s="5"/>
      <c r="AI61" s="5"/>
      <c r="AJ61" s="5"/>
      <c r="AM61" s="5"/>
      <c r="AO61" s="5"/>
    </row>
    <row r="62" spans="1:42" x14ac:dyDescent="0.35">
      <c r="A62" s="5"/>
      <c r="B62" s="5"/>
      <c r="C62" s="5"/>
      <c r="D62" s="5"/>
      <c r="E62" s="5"/>
      <c r="K62" s="6"/>
      <c r="L62" s="6"/>
      <c r="N62" s="10"/>
      <c r="Q62" s="5"/>
      <c r="R62" s="5"/>
      <c r="Y62" s="5"/>
      <c r="AB62" s="5"/>
      <c r="AC62" s="5"/>
      <c r="AD62" s="5"/>
      <c r="AE62" s="5"/>
      <c r="AF62" s="5"/>
      <c r="AG62" s="5"/>
      <c r="AH62" s="5"/>
      <c r="AI62" s="5"/>
      <c r="AJ62" s="5"/>
      <c r="AM62" s="5"/>
      <c r="AO62" s="5"/>
    </row>
    <row r="63" spans="1:42" x14ac:dyDescent="0.35">
      <c r="A63" s="5"/>
      <c r="B63" s="5"/>
      <c r="D63" s="5"/>
      <c r="E63" s="5"/>
      <c r="K63" s="6"/>
      <c r="L63" s="6"/>
      <c r="N63" s="10"/>
      <c r="Q63" s="5"/>
      <c r="R63" s="5"/>
      <c r="Y63" s="5"/>
      <c r="AB63" s="5"/>
      <c r="AC63" s="5"/>
      <c r="AD63" s="5"/>
      <c r="AE63" s="5"/>
      <c r="AF63" s="5"/>
      <c r="AG63" s="5"/>
      <c r="AH63" s="5"/>
      <c r="AI63" s="5"/>
      <c r="AJ63" s="5"/>
      <c r="AM63" s="5"/>
      <c r="AO63" s="5"/>
    </row>
    <row r="64" spans="1:42" x14ac:dyDescent="0.35">
      <c r="A64" s="5"/>
      <c r="B64" s="5"/>
      <c r="D64" s="5"/>
      <c r="E64" s="5"/>
      <c r="K64" s="6"/>
      <c r="L64" s="6"/>
      <c r="N64" s="10"/>
      <c r="Q64" s="5"/>
      <c r="R64" s="5"/>
      <c r="X64" s="5"/>
      <c r="Y64" s="5"/>
      <c r="Z64" s="5"/>
      <c r="AA64" s="5"/>
      <c r="AD64" s="5"/>
      <c r="AE64" s="5"/>
      <c r="AF64" s="5"/>
      <c r="AG64" s="5"/>
      <c r="AH64" s="5"/>
      <c r="AI64" s="5"/>
      <c r="AJ64" s="5"/>
      <c r="AM64" s="5"/>
      <c r="AO64" s="5"/>
    </row>
    <row r="65" spans="1:41" x14ac:dyDescent="0.35">
      <c r="A65" s="5"/>
      <c r="B65" s="5"/>
      <c r="D65" s="5"/>
      <c r="E65" s="5"/>
      <c r="K65" s="6"/>
      <c r="L65" s="6"/>
      <c r="N65" s="10"/>
      <c r="Q65" s="5"/>
      <c r="R65" s="5"/>
      <c r="Y65" s="5"/>
      <c r="AB65" s="5"/>
      <c r="AC65" s="5"/>
      <c r="AD65" s="5"/>
      <c r="AE65" s="5"/>
      <c r="AF65" s="5"/>
      <c r="AG65" s="5"/>
      <c r="AH65" s="5"/>
      <c r="AI65" s="5"/>
      <c r="AJ65" s="5"/>
      <c r="AM65" s="5"/>
      <c r="AO65" s="5"/>
    </row>
    <row r="66" spans="1:41" x14ac:dyDescent="0.35">
      <c r="A66" s="5"/>
      <c r="B66" s="5"/>
      <c r="C66" s="5"/>
      <c r="D66" s="5"/>
      <c r="E66" s="5"/>
      <c r="K66" s="6"/>
      <c r="L66" s="6"/>
      <c r="N66" s="10"/>
      <c r="Q66" s="5"/>
      <c r="R66" s="5"/>
      <c r="Y66" s="5"/>
      <c r="AB66" s="5"/>
      <c r="AC66" s="5"/>
      <c r="AD66" s="5"/>
      <c r="AE66" s="5"/>
      <c r="AF66" s="5"/>
      <c r="AG66" s="5"/>
      <c r="AH66" s="5"/>
      <c r="AI66" s="5"/>
      <c r="AJ66" s="5"/>
      <c r="AM66" s="5"/>
      <c r="AO66" s="5"/>
    </row>
    <row r="68" spans="1:41" x14ac:dyDescent="0.35"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41" x14ac:dyDescent="0.35"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41" x14ac:dyDescent="0.35"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2" spans="1:41" x14ac:dyDescent="0.35"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41" x14ac:dyDescent="0.35"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41" x14ac:dyDescent="0.35"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41" x14ac:dyDescent="0.35">
      <c r="A75" s="5"/>
      <c r="B75" s="5"/>
      <c r="C75" s="5"/>
      <c r="D75" s="5"/>
      <c r="E75" s="5"/>
      <c r="F75" s="5"/>
      <c r="H75" s="5"/>
      <c r="R75" s="5"/>
    </row>
    <row r="76" spans="1:41" ht="0.5" customHeight="1" x14ac:dyDescent="0.35">
      <c r="A76" s="5" t="s">
        <v>83</v>
      </c>
      <c r="B76" s="5" t="s">
        <v>115</v>
      </c>
      <c r="C76" s="5" t="s">
        <v>8</v>
      </c>
      <c r="D76" s="5" t="s">
        <v>116</v>
      </c>
      <c r="E76" s="5" t="s">
        <v>8</v>
      </c>
      <c r="F76" s="5" t="s">
        <v>15</v>
      </c>
      <c r="K76" t="s">
        <v>43</v>
      </c>
      <c r="L76" t="s">
        <v>42</v>
      </c>
      <c r="M76" t="str" cm="1">
        <f t="array" ref="M76">_xlfn.XLOOKUP(L76, 'Function options'!$A$2:$A$22, 'Function options'!$B$2:B$22, "Not found")</f>
        <v>y = const = k0</v>
      </c>
      <c r="R76" s="5">
        <v>1</v>
      </c>
      <c r="S76">
        <v>0.88768220900000006</v>
      </c>
    </row>
    <row r="77" spans="1:41" x14ac:dyDescent="0.35">
      <c r="A77" s="5"/>
      <c r="B77" s="5"/>
      <c r="C77" s="5"/>
      <c r="D77" s="5"/>
      <c r="E77" s="5"/>
      <c r="F77" s="5"/>
      <c r="N77" s="5"/>
    </row>
    <row r="78" spans="1:41" x14ac:dyDescent="0.35">
      <c r="A78" s="5"/>
      <c r="B78" s="5"/>
      <c r="C78" s="5"/>
      <c r="D78" s="5"/>
      <c r="E78" s="5"/>
      <c r="F78" s="5"/>
      <c r="N78" s="5"/>
    </row>
    <row r="79" spans="1:41" x14ac:dyDescent="0.35">
      <c r="A79" s="5"/>
      <c r="B79" s="5"/>
      <c r="C79" s="5"/>
      <c r="D79" s="5"/>
      <c r="E79" s="5"/>
      <c r="F79" s="5"/>
      <c r="N79" s="5"/>
    </row>
    <row r="80" spans="1:41" x14ac:dyDescent="0.35">
      <c r="A80" s="5"/>
      <c r="B80" s="5"/>
      <c r="C80" s="5"/>
      <c r="D80" s="5"/>
      <c r="E80" s="5"/>
      <c r="F80" s="5"/>
      <c r="N80" s="5"/>
    </row>
    <row r="81" spans="1:14" x14ac:dyDescent="0.35">
      <c r="A81" s="5"/>
      <c r="B81" s="5"/>
      <c r="C81" s="5"/>
      <c r="D81" s="5"/>
      <c r="E81" s="5"/>
      <c r="F81" s="5"/>
      <c r="N81" s="5"/>
    </row>
    <row r="82" spans="1:14" x14ac:dyDescent="0.35">
      <c r="A82" s="5"/>
      <c r="B82" s="5"/>
      <c r="C82" s="5"/>
      <c r="D82" s="5"/>
      <c r="E82" s="5"/>
      <c r="F82" s="5"/>
      <c r="N82" s="5"/>
    </row>
    <row r="83" spans="1:14" x14ac:dyDescent="0.35">
      <c r="A83" s="5"/>
      <c r="B83" s="5"/>
      <c r="C83" s="5"/>
      <c r="D83" s="5"/>
      <c r="E83" s="5"/>
      <c r="F83" s="5"/>
      <c r="N83" s="5"/>
    </row>
  </sheetData>
  <autoFilter ref="A1:AP1" xr:uid="{388C9B27-6ED9-4C1D-81B9-7099B35C0F66}">
    <sortState xmlns:xlrd2="http://schemas.microsoft.com/office/spreadsheetml/2017/richdata2" ref="A2:AP47">
      <sortCondition ref="D1"/>
    </sortState>
  </autoFilter>
  <dataValidations count="3">
    <dataValidation allowBlank="1" showInputMessage="1" showErrorMessage="1" prompt="Mathematical explanation of the selected function on the left." sqref="M1" xr:uid="{034146FD-E2C1-4C46-8CBB-EDF67FBFB158}"/>
    <dataValidation type="list" allowBlank="1" showInputMessage="1" showErrorMessage="1" sqref="N84:N1048576 P86 O87:P1048576 O85:O86 N2:N76 O2:P84" xr:uid="{62B8407A-987E-4F59-B1D2-181B9179E42B}">
      <formula1>"TIME, POP, GDP, SIZE_HH, ELEC_PR, FLOOR_HH, HW_PER_CAP"</formula1>
    </dataValidation>
    <dataValidation type="list" allowBlank="1" showInputMessage="1" showErrorMessage="1" sqref="K2:K83" xr:uid="{E1D08762-2F51-4977-A5BB-6EE690B0DDFC}">
      <formula1>"Historical, User"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E1A61A-B23F-4ADB-AE46-57B8FA65E809}">
          <x14:formula1>
            <xm:f>'Function options'!$A$2:$A$22</xm:f>
          </x14:formula1>
          <xm:sqref>L44:L1048576 L1:L31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A060-4DBB-43BE-815F-AABB0C6E35C8}">
  <sheetPr codeName="Tabelle2"/>
  <dimension ref="A1:DP2"/>
  <sheetViews>
    <sheetView topLeftCell="B1" zoomScale="70" zoomScaleNormal="70" workbookViewId="0">
      <pane xSplit="4" ySplit="1" topLeftCell="AK2" activePane="bottomRight" state="frozen"/>
      <selection activeCell="B1" sqref="B1"/>
      <selection pane="topRight" activeCell="F1" sqref="F1"/>
      <selection pane="bottomLeft" activeCell="B2" sqref="B2"/>
      <selection pane="bottomRight" activeCell="AN31" sqref="AN31"/>
    </sheetView>
  </sheetViews>
  <sheetFormatPr baseColWidth="10" defaultRowHeight="14.5" outlineLevelCol="1" x14ac:dyDescent="0.35"/>
  <cols>
    <col min="5" max="5" width="14" bestFit="1" customWidth="1"/>
    <col min="13" max="13" width="15.1796875" customWidth="1"/>
    <col min="14" max="14" width="61.453125" bestFit="1" customWidth="1"/>
    <col min="20" max="20" width="15.26953125" bestFit="1" customWidth="1"/>
    <col min="23" max="23" width="12" bestFit="1" customWidth="1"/>
    <col min="27" max="27" width="17.453125" bestFit="1" customWidth="1"/>
    <col min="30" max="30" width="18.54296875" customWidth="1"/>
    <col min="31" max="39" width="18.54296875" customWidth="1" outlineLevel="1"/>
    <col min="40" max="40" width="18.54296875" customWidth="1"/>
    <col min="41" max="43" width="18.54296875" customWidth="1" outlineLevel="1"/>
    <col min="44" max="49" width="11.453125" customWidth="1" outlineLevel="1"/>
    <col min="50" max="50" width="10.81640625"/>
    <col min="51" max="59" width="11.453125" hidden="1" customWidth="1" outlineLevel="1"/>
    <col min="60" max="60" width="10.81640625" collapsed="1"/>
    <col min="61" max="69" width="11.453125" hidden="1" customWidth="1" outlineLevel="1"/>
    <col min="70" max="70" width="10.81640625" collapsed="1"/>
    <col min="71" max="79" width="11.453125" hidden="1" customWidth="1" outlineLevel="1"/>
    <col min="80" max="80" width="10.81640625" collapsed="1"/>
    <col min="81" max="89" width="11.453125" hidden="1" customWidth="1" outlineLevel="1"/>
    <col min="90" max="90" width="10.81640625" collapsed="1"/>
    <col min="91" max="99" width="11.453125" hidden="1" customWidth="1" outlineLevel="1"/>
    <col min="100" max="100" width="10.81640625" collapsed="1"/>
    <col min="101" max="109" width="11.453125" hidden="1" customWidth="1" outlineLevel="1"/>
    <col min="110" max="110" width="10.81640625" collapsed="1"/>
    <col min="111" max="119" width="11.453125" hidden="1" customWidth="1" outlineLevel="1"/>
    <col min="120" max="120" width="10.81640625" collapsed="1"/>
  </cols>
  <sheetData>
    <row r="1" spans="1:120" s="15" customFormat="1" x14ac:dyDescent="0.35">
      <c r="A1" s="15" t="s">
        <v>119</v>
      </c>
      <c r="B1" s="1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53</v>
      </c>
      <c r="H1" s="19" t="s">
        <v>54</v>
      </c>
      <c r="I1" s="18" t="s">
        <v>5</v>
      </c>
      <c r="J1" s="20" t="s">
        <v>50</v>
      </c>
      <c r="K1" s="21" t="s">
        <v>51</v>
      </c>
      <c r="L1" s="1" t="s">
        <v>28</v>
      </c>
      <c r="M1" s="1" t="s">
        <v>26</v>
      </c>
      <c r="N1" s="1" t="s">
        <v>27</v>
      </c>
      <c r="O1" s="1" t="s">
        <v>29</v>
      </c>
      <c r="P1" s="3" t="s">
        <v>30</v>
      </c>
      <c r="Q1" s="3" t="s">
        <v>48</v>
      </c>
      <c r="R1" s="3" t="s">
        <v>84</v>
      </c>
      <c r="S1" s="3" t="s">
        <v>85</v>
      </c>
      <c r="T1" s="1" t="s">
        <v>6</v>
      </c>
      <c r="U1" s="1" t="s">
        <v>25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36</v>
      </c>
      <c r="AB1" s="15" t="s">
        <v>7</v>
      </c>
      <c r="AC1" s="15" t="s">
        <v>45</v>
      </c>
      <c r="AD1" s="16">
        <v>2010</v>
      </c>
      <c r="AE1" s="16">
        <v>2011</v>
      </c>
      <c r="AF1" s="16">
        <v>2012</v>
      </c>
      <c r="AG1" s="16">
        <v>2013</v>
      </c>
      <c r="AH1" s="16">
        <v>2014</v>
      </c>
      <c r="AI1" s="16">
        <v>2015</v>
      </c>
      <c r="AJ1" s="16">
        <v>2016</v>
      </c>
      <c r="AK1" s="16">
        <v>2017</v>
      </c>
      <c r="AL1" s="16">
        <v>2018</v>
      </c>
      <c r="AM1" s="16">
        <v>2019</v>
      </c>
      <c r="AN1" s="16">
        <v>2020</v>
      </c>
      <c r="AO1" s="16">
        <v>2021</v>
      </c>
      <c r="AP1" s="16">
        <v>2022</v>
      </c>
      <c r="AQ1" s="16">
        <v>2023</v>
      </c>
      <c r="AR1" s="16">
        <v>2024</v>
      </c>
      <c r="AS1" s="16">
        <v>2025</v>
      </c>
      <c r="AT1" s="16">
        <v>2026</v>
      </c>
      <c r="AU1" s="16">
        <v>2027</v>
      </c>
      <c r="AV1" s="16">
        <v>2028</v>
      </c>
      <c r="AW1" s="16">
        <v>2029</v>
      </c>
      <c r="AX1" s="16">
        <v>2030</v>
      </c>
      <c r="AY1" s="16">
        <v>2031</v>
      </c>
      <c r="AZ1" s="16">
        <v>2032</v>
      </c>
      <c r="BA1" s="16">
        <v>2033</v>
      </c>
      <c r="BB1" s="16">
        <v>2034</v>
      </c>
      <c r="BC1" s="16">
        <v>2035</v>
      </c>
      <c r="BD1" s="16">
        <v>2036</v>
      </c>
      <c r="BE1" s="16">
        <v>2037</v>
      </c>
      <c r="BF1" s="16">
        <v>2038</v>
      </c>
      <c r="BG1" s="16">
        <v>2039</v>
      </c>
      <c r="BH1" s="16">
        <v>2040</v>
      </c>
      <c r="BI1" s="16">
        <v>2041</v>
      </c>
      <c r="BJ1" s="16">
        <v>2042</v>
      </c>
      <c r="BK1" s="16">
        <v>2043</v>
      </c>
      <c r="BL1" s="16">
        <v>2044</v>
      </c>
      <c r="BM1" s="16">
        <v>2045</v>
      </c>
      <c r="BN1" s="16">
        <v>2046</v>
      </c>
      <c r="BO1" s="16">
        <v>2047</v>
      </c>
      <c r="BP1" s="16">
        <v>2048</v>
      </c>
      <c r="BQ1" s="16">
        <v>2049</v>
      </c>
      <c r="BR1" s="16">
        <v>2050</v>
      </c>
      <c r="BS1" s="16">
        <v>2051</v>
      </c>
      <c r="BT1" s="16">
        <v>2052</v>
      </c>
      <c r="BU1" s="16">
        <v>2053</v>
      </c>
      <c r="BV1" s="16">
        <v>2054</v>
      </c>
      <c r="BW1" s="16">
        <v>2055</v>
      </c>
      <c r="BX1" s="16">
        <v>2056</v>
      </c>
      <c r="BY1" s="16">
        <v>2057</v>
      </c>
      <c r="BZ1" s="16">
        <v>2058</v>
      </c>
      <c r="CA1" s="16">
        <v>2059</v>
      </c>
      <c r="CB1" s="16">
        <v>2060</v>
      </c>
      <c r="CC1" s="16">
        <v>2061</v>
      </c>
      <c r="CD1" s="16">
        <v>2062</v>
      </c>
      <c r="CE1" s="16">
        <v>2063</v>
      </c>
      <c r="CF1" s="16">
        <v>2064</v>
      </c>
      <c r="CG1" s="16">
        <v>2065</v>
      </c>
      <c r="CH1" s="16">
        <v>2066</v>
      </c>
      <c r="CI1" s="16">
        <v>2067</v>
      </c>
      <c r="CJ1" s="16">
        <v>2068</v>
      </c>
      <c r="CK1" s="16">
        <v>2069</v>
      </c>
      <c r="CL1" s="16">
        <v>2070</v>
      </c>
      <c r="CM1" s="16">
        <v>2071</v>
      </c>
      <c r="CN1" s="16">
        <v>2072</v>
      </c>
      <c r="CO1" s="16">
        <v>2073</v>
      </c>
      <c r="CP1" s="16">
        <v>2074</v>
      </c>
      <c r="CQ1" s="16">
        <v>2075</v>
      </c>
      <c r="CR1" s="16">
        <v>2076</v>
      </c>
      <c r="CS1" s="16">
        <v>2077</v>
      </c>
      <c r="CT1" s="16">
        <v>2078</v>
      </c>
      <c r="CU1" s="16">
        <v>2079</v>
      </c>
      <c r="CV1" s="16">
        <v>2080</v>
      </c>
      <c r="CW1" s="16">
        <v>2081</v>
      </c>
      <c r="CX1" s="16">
        <v>2082</v>
      </c>
      <c r="CY1" s="16">
        <v>2083</v>
      </c>
      <c r="CZ1" s="16">
        <v>2084</v>
      </c>
      <c r="DA1" s="16">
        <v>2085</v>
      </c>
      <c r="DB1" s="16">
        <v>2086</v>
      </c>
      <c r="DC1" s="16">
        <v>2087</v>
      </c>
      <c r="DD1" s="16">
        <v>2088</v>
      </c>
      <c r="DE1" s="16">
        <v>2089</v>
      </c>
      <c r="DF1" s="16">
        <v>2090</v>
      </c>
      <c r="DG1" s="16">
        <v>2091</v>
      </c>
      <c r="DH1" s="16">
        <v>2092</v>
      </c>
      <c r="DI1" s="16">
        <v>2093</v>
      </c>
      <c r="DJ1" s="16">
        <v>2094</v>
      </c>
      <c r="DK1" s="16">
        <v>2095</v>
      </c>
      <c r="DL1" s="16">
        <v>2096</v>
      </c>
      <c r="DM1" s="16">
        <v>2097</v>
      </c>
      <c r="DN1" s="16">
        <v>2098</v>
      </c>
      <c r="DO1" s="16">
        <v>2099</v>
      </c>
      <c r="DP1" s="16">
        <v>2100</v>
      </c>
    </row>
    <row r="2" spans="1:120" x14ac:dyDescent="0.35">
      <c r="A2" t="s">
        <v>118</v>
      </c>
      <c r="B2" t="s">
        <v>83</v>
      </c>
      <c r="C2" t="s">
        <v>8</v>
      </c>
      <c r="D2" t="s">
        <v>8</v>
      </c>
      <c r="E2" t="s">
        <v>40</v>
      </c>
      <c r="F2" t="s">
        <v>8</v>
      </c>
      <c r="L2" t="s">
        <v>43</v>
      </c>
      <c r="M2" t="s">
        <v>44</v>
      </c>
      <c r="N2" t="str" cm="1">
        <f t="array" ref="N2">_xlfn.XLOOKUP(M2,'Function options'!$A$2:$A$17, 'Function options'!$B$2:B$17, "Not found")</f>
        <v>lin interpolation between given points - based on driver as x-aches</v>
      </c>
      <c r="O2" t="s">
        <v>39</v>
      </c>
      <c r="U2">
        <v>1</v>
      </c>
      <c r="AS2">
        <v>83199070</v>
      </c>
      <c r="AT2">
        <v>83134877</v>
      </c>
      <c r="AU2">
        <v>83058838</v>
      </c>
      <c r="AV2">
        <v>82971794</v>
      </c>
      <c r="AW2">
        <v>82873294</v>
      </c>
      <c r="AX2">
        <v>82762676</v>
      </c>
      <c r="AY2">
        <v>82643647</v>
      </c>
      <c r="AZ2">
        <v>82515756</v>
      </c>
      <c r="BA2">
        <v>82377569</v>
      </c>
      <c r="BB2">
        <v>82230377</v>
      </c>
      <c r="BC2">
        <v>82073885</v>
      </c>
      <c r="BD2">
        <v>81910193</v>
      </c>
      <c r="BE2">
        <v>81742143</v>
      </c>
      <c r="BF2">
        <v>81569127</v>
      </c>
      <c r="BG2">
        <v>81389362</v>
      </c>
      <c r="BH2">
        <v>81201104</v>
      </c>
      <c r="BI2">
        <v>81006025</v>
      </c>
      <c r="BJ2">
        <v>80804806</v>
      </c>
      <c r="BK2">
        <v>80596076</v>
      </c>
      <c r="BL2">
        <v>80379919</v>
      </c>
      <c r="BM2">
        <v>80157776</v>
      </c>
      <c r="BN2">
        <v>79928543</v>
      </c>
      <c r="BO2">
        <v>79691578</v>
      </c>
      <c r="BP2">
        <v>79446826</v>
      </c>
      <c r="BQ2">
        <v>79193152</v>
      </c>
      <c r="BR2">
        <v>78932228</v>
      </c>
      <c r="BS2">
        <v>78665188</v>
      </c>
      <c r="BT2">
        <v>78391674</v>
      </c>
      <c r="BU2">
        <v>78112717</v>
      </c>
      <c r="BV2">
        <v>77830769</v>
      </c>
      <c r="BW2">
        <v>77545526</v>
      </c>
      <c r="BX2">
        <v>77257540</v>
      </c>
      <c r="BY2">
        <v>76969951</v>
      </c>
      <c r="BZ2">
        <v>76685629</v>
      </c>
      <c r="CA2">
        <v>76405360</v>
      </c>
      <c r="CB2">
        <v>76130209</v>
      </c>
      <c r="CC2">
        <v>75862236</v>
      </c>
      <c r="CD2">
        <v>75602683</v>
      </c>
      <c r="CE2">
        <v>75353041</v>
      </c>
      <c r="CF2">
        <v>75113485</v>
      </c>
      <c r="CG2">
        <v>74884119</v>
      </c>
      <c r="CH2">
        <v>74663932</v>
      </c>
      <c r="CI2">
        <v>74450625</v>
      </c>
      <c r="CJ2">
        <v>74243912</v>
      </c>
      <c r="CK2">
        <v>74043688</v>
      </c>
      <c r="CL2">
        <v>73848370</v>
      </c>
      <c r="CM2">
        <v>73655672</v>
      </c>
      <c r="CN2">
        <v>73463457</v>
      </c>
      <c r="CO2">
        <v>73270699</v>
      </c>
      <c r="CP2">
        <v>73077408</v>
      </c>
      <c r="CQ2">
        <v>72883376</v>
      </c>
      <c r="CR2">
        <v>72689184</v>
      </c>
      <c r="CS2">
        <v>72495166</v>
      </c>
      <c r="CT2">
        <v>72299996</v>
      </c>
      <c r="CU2">
        <v>72104751</v>
      </c>
      <c r="CV2">
        <v>71910856</v>
      </c>
      <c r="CW2">
        <v>71717186</v>
      </c>
      <c r="CX2">
        <v>71523820</v>
      </c>
      <c r="CY2">
        <v>71332955</v>
      </c>
      <c r="CZ2">
        <v>71145752</v>
      </c>
      <c r="DA2">
        <v>70963141</v>
      </c>
      <c r="DB2">
        <v>70784979</v>
      </c>
      <c r="DC2">
        <v>70611359</v>
      </c>
      <c r="DD2">
        <v>70444086</v>
      </c>
      <c r="DE2">
        <v>70284069</v>
      </c>
      <c r="DF2">
        <v>70130955</v>
      </c>
      <c r="DG2">
        <v>69983583</v>
      </c>
      <c r="DH2">
        <v>69842458</v>
      </c>
      <c r="DI2">
        <v>69709011</v>
      </c>
      <c r="DJ2">
        <v>69582707</v>
      </c>
      <c r="DK2">
        <v>69462191</v>
      </c>
      <c r="DL2">
        <v>69347300</v>
      </c>
      <c r="DM2">
        <v>69237823</v>
      </c>
      <c r="DN2">
        <v>69133244</v>
      </c>
      <c r="DO2">
        <v>69033371</v>
      </c>
      <c r="DP2">
        <v>68936103</v>
      </c>
    </row>
  </sheetData>
  <autoFilter ref="A1:DP1" xr:uid="{AD9FA060-4DBB-43BE-815F-AABB0C6E35C8}"/>
  <phoneticPr fontId="14" type="noConversion"/>
  <dataValidations count="3">
    <dataValidation allowBlank="1" showInputMessage="1" showErrorMessage="1" prompt="Select function from the drop-down menu. Mathematical explanation of the function is given in the Equation field on the right." sqref="M1" xr:uid="{6891FEA5-D1C0-43F7-A585-00C89AF825C6}"/>
    <dataValidation allowBlank="1" showInputMessage="1" showErrorMessage="1" prompt="Mathematical explanation of the selected function on the left." sqref="N1" xr:uid="{1FFB8537-E487-402F-98DD-EA9CCB7BA719}"/>
    <dataValidation type="list" allowBlank="1" showInputMessage="1" showErrorMessage="1" sqref="L2" xr:uid="{182A39A3-96BE-46B8-AA03-D79680348E9F}">
      <formula1>"Historical, User"</formula1>
    </dataValidation>
  </dataValidation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0687A4-A8E6-495A-B3E9-C3C0CFDB74FF}">
          <x14:formula1>
            <xm:f>'Function options'!$A$2:$A$17</xm:f>
          </x14:formula1>
          <xm:sqref>M2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4019-E9DC-4FD2-9EB7-C3F492DCC6C9}">
  <dimension ref="A1:DO2"/>
  <sheetViews>
    <sheetView zoomScale="70" zoomScaleNormal="70" workbookViewId="0">
      <selection activeCell="D33" sqref="D33"/>
    </sheetView>
  </sheetViews>
  <sheetFormatPr baseColWidth="10" defaultRowHeight="14.5" outlineLevelCol="1" x14ac:dyDescent="0.35"/>
  <cols>
    <col min="4" max="4" width="33.81640625" bestFit="1" customWidth="1"/>
    <col min="5" max="5" width="14" bestFit="1" customWidth="1"/>
    <col min="6" max="6" width="15" bestFit="1" customWidth="1"/>
    <col min="13" max="13" width="15.1796875" customWidth="1"/>
    <col min="14" max="14" width="43.81640625" customWidth="1"/>
    <col min="20" max="20" width="11.26953125" customWidth="1"/>
    <col min="23" max="23" width="12" bestFit="1" customWidth="1"/>
    <col min="29" max="29" width="18.54296875" customWidth="1"/>
    <col min="30" max="38" width="18.54296875" hidden="1" customWidth="1" outlineLevel="1"/>
    <col min="39" max="39" width="18.54296875" customWidth="1" collapsed="1"/>
    <col min="40" max="42" width="18.54296875" hidden="1" customWidth="1" outlineLevel="1"/>
    <col min="43" max="48" width="10.81640625" hidden="1" customWidth="1" outlineLevel="1"/>
    <col min="49" max="49" width="11.453125" collapsed="1"/>
    <col min="50" max="58" width="10.81640625" hidden="1" customWidth="1" outlineLevel="1"/>
    <col min="59" max="59" width="11.453125" collapsed="1"/>
    <col min="60" max="68" width="11.453125" hidden="1" customWidth="1" outlineLevel="1"/>
    <col min="69" max="69" width="10.81640625" collapsed="1"/>
    <col min="70" max="78" width="11.453125" hidden="1" customWidth="1" outlineLevel="1"/>
    <col min="79" max="79" width="10.81640625" collapsed="1"/>
    <col min="80" max="88" width="11.453125" hidden="1" customWidth="1" outlineLevel="1"/>
    <col min="89" max="89" width="10.81640625" collapsed="1"/>
    <col min="90" max="98" width="11.453125" hidden="1" customWidth="1" outlineLevel="1"/>
    <col min="99" max="99" width="10.81640625" collapsed="1"/>
    <col min="100" max="108" width="11.453125" hidden="1" customWidth="1" outlineLevel="1"/>
    <col min="109" max="109" width="10.81640625" collapsed="1"/>
    <col min="110" max="118" width="11.453125" hidden="1" customWidth="1" outlineLevel="1"/>
    <col min="119" max="119" width="10.81640625" collapsed="1"/>
  </cols>
  <sheetData>
    <row r="1" spans="1:119" s="15" customFormat="1" x14ac:dyDescent="0.35">
      <c r="A1" s="1" t="s">
        <v>0</v>
      </c>
      <c r="B1" s="15" t="s">
        <v>120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53</v>
      </c>
      <c r="H1" s="19" t="s">
        <v>54</v>
      </c>
      <c r="I1" s="18" t="s">
        <v>5</v>
      </c>
      <c r="J1" s="20" t="s">
        <v>50</v>
      </c>
      <c r="K1" s="21" t="s">
        <v>51</v>
      </c>
      <c r="L1" s="1" t="s">
        <v>28</v>
      </c>
      <c r="M1" s="1" t="s">
        <v>26</v>
      </c>
      <c r="N1" s="1" t="s">
        <v>27</v>
      </c>
      <c r="O1" s="1" t="s">
        <v>29</v>
      </c>
      <c r="P1" s="3" t="s">
        <v>30</v>
      </c>
      <c r="Q1" s="3" t="s">
        <v>48</v>
      </c>
      <c r="R1" s="3" t="s">
        <v>84</v>
      </c>
      <c r="S1" s="3" t="s">
        <v>85</v>
      </c>
      <c r="T1" s="1" t="s">
        <v>6</v>
      </c>
      <c r="U1" s="1" t="s">
        <v>25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15" t="s">
        <v>7</v>
      </c>
      <c r="AB1" s="15" t="s">
        <v>45</v>
      </c>
      <c r="AC1" s="16">
        <v>2010</v>
      </c>
      <c r="AD1" s="16">
        <v>2011</v>
      </c>
      <c r="AE1" s="16">
        <v>2012</v>
      </c>
      <c r="AF1" s="16">
        <v>2013</v>
      </c>
      <c r="AG1" s="16">
        <v>2014</v>
      </c>
      <c r="AH1" s="16">
        <v>2015</v>
      </c>
      <c r="AI1" s="16">
        <v>2016</v>
      </c>
      <c r="AJ1" s="16">
        <v>2017</v>
      </c>
      <c r="AK1" s="16">
        <v>2018</v>
      </c>
      <c r="AL1" s="16">
        <v>2019</v>
      </c>
      <c r="AM1" s="16">
        <v>2020</v>
      </c>
      <c r="AN1" s="16">
        <v>2021</v>
      </c>
      <c r="AO1" s="16">
        <v>2022</v>
      </c>
      <c r="AP1" s="16">
        <v>2023</v>
      </c>
      <c r="AQ1" s="16">
        <v>2024</v>
      </c>
      <c r="AR1" s="16">
        <v>2025</v>
      </c>
      <c r="AS1" s="16">
        <v>2026</v>
      </c>
      <c r="AT1" s="16">
        <v>2027</v>
      </c>
      <c r="AU1" s="16">
        <v>2028</v>
      </c>
      <c r="AV1" s="16">
        <v>2029</v>
      </c>
      <c r="AW1" s="16">
        <v>2030</v>
      </c>
      <c r="AX1" s="16">
        <v>2031</v>
      </c>
      <c r="AY1" s="16">
        <v>2032</v>
      </c>
      <c r="AZ1" s="16">
        <v>2033</v>
      </c>
      <c r="BA1" s="16">
        <v>2034</v>
      </c>
      <c r="BB1" s="16">
        <v>2035</v>
      </c>
      <c r="BC1" s="16">
        <v>2036</v>
      </c>
      <c r="BD1" s="16">
        <v>2037</v>
      </c>
      <c r="BE1" s="16">
        <v>2038</v>
      </c>
      <c r="BF1" s="16">
        <v>2039</v>
      </c>
      <c r="BG1" s="16">
        <v>2040</v>
      </c>
      <c r="BH1" s="16">
        <v>2041</v>
      </c>
      <c r="BI1" s="16">
        <v>2042</v>
      </c>
      <c r="BJ1" s="16">
        <v>2043</v>
      </c>
      <c r="BK1" s="16">
        <v>2044</v>
      </c>
      <c r="BL1" s="16">
        <v>2045</v>
      </c>
      <c r="BM1" s="16">
        <v>2046</v>
      </c>
      <c r="BN1" s="16">
        <v>2047</v>
      </c>
      <c r="BO1" s="16">
        <v>2048</v>
      </c>
      <c r="BP1" s="16">
        <v>2049</v>
      </c>
      <c r="BQ1" s="16">
        <v>2050</v>
      </c>
      <c r="BR1" s="16">
        <v>2051</v>
      </c>
      <c r="BS1" s="16">
        <v>2052</v>
      </c>
      <c r="BT1" s="16">
        <v>2053</v>
      </c>
      <c r="BU1" s="16">
        <v>2054</v>
      </c>
      <c r="BV1" s="16">
        <v>2055</v>
      </c>
      <c r="BW1" s="16">
        <v>2056</v>
      </c>
      <c r="BX1" s="16">
        <v>2057</v>
      </c>
      <c r="BY1" s="16">
        <v>2058</v>
      </c>
      <c r="BZ1" s="16">
        <v>2059</v>
      </c>
      <c r="CA1" s="16">
        <v>2060</v>
      </c>
      <c r="CB1" s="16">
        <v>2061</v>
      </c>
      <c r="CC1" s="16">
        <v>2062</v>
      </c>
      <c r="CD1" s="16">
        <v>2063</v>
      </c>
      <c r="CE1" s="16">
        <v>2064</v>
      </c>
      <c r="CF1" s="16">
        <v>2065</v>
      </c>
      <c r="CG1" s="16">
        <v>2066</v>
      </c>
      <c r="CH1" s="16">
        <v>2067</v>
      </c>
      <c r="CI1" s="16">
        <v>2068</v>
      </c>
      <c r="CJ1" s="16">
        <v>2069</v>
      </c>
      <c r="CK1" s="16">
        <v>2070</v>
      </c>
      <c r="CL1" s="16">
        <v>2071</v>
      </c>
      <c r="CM1" s="16">
        <v>2072</v>
      </c>
      <c r="CN1" s="16">
        <v>2073</v>
      </c>
      <c r="CO1" s="16">
        <v>2074</v>
      </c>
      <c r="CP1" s="16">
        <v>2075</v>
      </c>
      <c r="CQ1" s="16">
        <v>2076</v>
      </c>
      <c r="CR1" s="16">
        <v>2077</v>
      </c>
      <c r="CS1" s="16">
        <v>2078</v>
      </c>
      <c r="CT1" s="16">
        <v>2079</v>
      </c>
      <c r="CU1" s="16">
        <v>2080</v>
      </c>
      <c r="CV1" s="16">
        <v>2081</v>
      </c>
      <c r="CW1" s="16">
        <v>2082</v>
      </c>
      <c r="CX1" s="16">
        <v>2083</v>
      </c>
      <c r="CY1" s="16">
        <v>2084</v>
      </c>
      <c r="CZ1" s="16">
        <v>2085</v>
      </c>
      <c r="DA1" s="16">
        <v>2086</v>
      </c>
      <c r="DB1" s="16">
        <v>2087</v>
      </c>
      <c r="DC1" s="16">
        <v>2088</v>
      </c>
      <c r="DD1" s="16">
        <v>2089</v>
      </c>
      <c r="DE1" s="16">
        <v>2090</v>
      </c>
      <c r="DF1" s="16">
        <v>2091</v>
      </c>
      <c r="DG1" s="16">
        <v>2092</v>
      </c>
      <c r="DH1" s="16">
        <v>2093</v>
      </c>
      <c r="DI1" s="16">
        <v>2094</v>
      </c>
      <c r="DJ1" s="16">
        <v>2095</v>
      </c>
      <c r="DK1" s="16">
        <v>2096</v>
      </c>
      <c r="DL1" s="16">
        <v>2097</v>
      </c>
      <c r="DM1" s="16">
        <v>2098</v>
      </c>
      <c r="DN1" s="16">
        <v>2099</v>
      </c>
      <c r="DO1" s="16">
        <v>2100</v>
      </c>
    </row>
    <row r="2" spans="1:119" x14ac:dyDescent="0.35">
      <c r="A2" t="s">
        <v>8</v>
      </c>
      <c r="B2" t="s">
        <v>8</v>
      </c>
      <c r="C2" t="s">
        <v>8</v>
      </c>
      <c r="D2" t="s">
        <v>8</v>
      </c>
      <c r="E2" s="28" t="s">
        <v>117</v>
      </c>
      <c r="F2" s="3"/>
      <c r="G2" s="3"/>
      <c r="H2" s="3"/>
      <c r="I2" s="3"/>
      <c r="J2" s="3"/>
      <c r="L2" s="2" t="s">
        <v>38</v>
      </c>
      <c r="M2" t="s">
        <v>47</v>
      </c>
      <c r="N2" t="str" cm="1">
        <f t="array" ref="N2">_xlfn.XLOOKUP(M2,'Function options'!$A$2:$A$17, 'Function options'!$B$2:B$17, "Not found")</f>
        <v>y = const = y(t_hist)</v>
      </c>
      <c r="O2" s="2"/>
      <c r="P2" s="2"/>
      <c r="Q2" s="2"/>
      <c r="AA2" s="17"/>
    </row>
  </sheetData>
  <autoFilter ref="A1:DO2" xr:uid="{B79E4019-E9DC-4FD2-9EB7-C3F492DCC6C9}"/>
  <dataValidations count="4">
    <dataValidation allowBlank="1" showInputMessage="1" showErrorMessage="1" prompt="Mathematical explanation of the selected function on the left." sqref="N1" xr:uid="{79461525-5BED-4C45-B45C-E0D7490A53D0}"/>
    <dataValidation allowBlank="1" showInputMessage="1" showErrorMessage="1" prompt="Select function from the drop-down menu. Mathematical explanation of the function is given in the Equation field on the right." sqref="M1" xr:uid="{B941A627-676E-43CE-A342-E37101DFBA2A}"/>
    <dataValidation type="list" allowBlank="1" showInputMessage="1" showErrorMessage="1" sqref="O2:Q2" xr:uid="{94D76E01-336B-4D5B-8F21-E9763008FBB8}">
      <formula1>"TIME, POP, GDP, SIZE_HH, ELEC_PR, m2_HH, HW_PER_CAP"</formula1>
    </dataValidation>
    <dataValidation type="list" allowBlank="1" showInputMessage="1" showErrorMessage="1" sqref="L2" xr:uid="{80334614-8F54-43EA-8E2A-FC5804A30382}">
      <formula1>"Historical, User"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3DFF96-CEC3-4858-8D47-1FBE4F92FFA8}">
          <x14:formula1>
            <xm:f>'Function options'!$A$2:$A$18</xm:f>
          </x14:formula1>
          <xm:sqref>M2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C875-424F-48FA-B7D4-E26B1743A8D2}">
  <sheetPr codeName="Tabelle3"/>
  <dimension ref="A1:D51"/>
  <sheetViews>
    <sheetView zoomScaleNormal="100" workbookViewId="0">
      <selection activeCell="B22" sqref="B22"/>
    </sheetView>
  </sheetViews>
  <sheetFormatPr baseColWidth="10" defaultColWidth="11.54296875" defaultRowHeight="14.5" x14ac:dyDescent="0.35"/>
  <cols>
    <col min="1" max="1" width="14.54296875" bestFit="1" customWidth="1"/>
    <col min="2" max="2" width="61.1796875" bestFit="1" customWidth="1"/>
    <col min="3" max="3" width="17.54296875" bestFit="1" customWidth="1"/>
  </cols>
  <sheetData>
    <row r="1" spans="1:4" ht="29" x14ac:dyDescent="0.35">
      <c r="A1" s="33" t="s">
        <v>26</v>
      </c>
      <c r="B1" s="11" t="s">
        <v>27</v>
      </c>
      <c r="C1" s="34" t="s">
        <v>66</v>
      </c>
    </row>
    <row r="2" spans="1:4" x14ac:dyDescent="0.35">
      <c r="A2" s="22" t="s">
        <v>37</v>
      </c>
      <c r="B2" t="s">
        <v>49</v>
      </c>
      <c r="C2" s="23" t="s">
        <v>67</v>
      </c>
    </row>
    <row r="3" spans="1:4" x14ac:dyDescent="0.35">
      <c r="A3" s="22" t="s">
        <v>55</v>
      </c>
      <c r="B3" t="s">
        <v>65</v>
      </c>
      <c r="C3" s="23" t="s">
        <v>43</v>
      </c>
    </row>
    <row r="4" spans="1:4" x14ac:dyDescent="0.35">
      <c r="A4" s="22" t="s">
        <v>44</v>
      </c>
      <c r="B4" t="s">
        <v>56</v>
      </c>
      <c r="C4" s="23" t="s">
        <v>43</v>
      </c>
      <c r="D4" t="s">
        <v>121</v>
      </c>
    </row>
    <row r="5" spans="1:4" x14ac:dyDescent="0.35">
      <c r="A5" s="22" t="s">
        <v>42</v>
      </c>
      <c r="B5" t="s">
        <v>57</v>
      </c>
      <c r="C5" s="23" t="s">
        <v>43</v>
      </c>
    </row>
    <row r="6" spans="1:4" x14ac:dyDescent="0.35">
      <c r="A6" s="22" t="s">
        <v>47</v>
      </c>
      <c r="B6" t="s">
        <v>41</v>
      </c>
      <c r="C6" s="23" t="s">
        <v>38</v>
      </c>
    </row>
    <row r="7" spans="1:4" x14ac:dyDescent="0.35">
      <c r="A7" s="22" t="s">
        <v>46</v>
      </c>
      <c r="B7" t="s">
        <v>58</v>
      </c>
      <c r="C7" s="23" t="s">
        <v>38</v>
      </c>
    </row>
    <row r="8" spans="1:4" x14ac:dyDescent="0.35">
      <c r="A8" s="22" t="s">
        <v>59</v>
      </c>
      <c r="B8" t="s">
        <v>60</v>
      </c>
      <c r="C8" s="23" t="s">
        <v>43</v>
      </c>
    </row>
    <row r="9" spans="1:4" x14ac:dyDescent="0.35">
      <c r="A9" s="22" t="s">
        <v>61</v>
      </c>
      <c r="B9" t="s">
        <v>62</v>
      </c>
      <c r="C9" s="23" t="s">
        <v>43</v>
      </c>
    </row>
    <row r="10" spans="1:4" x14ac:dyDescent="0.35">
      <c r="A10" s="22" t="s">
        <v>71</v>
      </c>
      <c r="B10" t="s">
        <v>72</v>
      </c>
      <c r="C10" s="23" t="s">
        <v>38</v>
      </c>
    </row>
    <row r="11" spans="1:4" x14ac:dyDescent="0.35">
      <c r="A11" s="22" t="s">
        <v>63</v>
      </c>
      <c r="B11" t="s">
        <v>64</v>
      </c>
      <c r="C11" s="23" t="s">
        <v>43</v>
      </c>
    </row>
    <row r="12" spans="1:4" x14ac:dyDescent="0.35">
      <c r="A12" s="22" t="s">
        <v>52</v>
      </c>
      <c r="B12" t="s">
        <v>69</v>
      </c>
      <c r="C12" s="23" t="s">
        <v>43</v>
      </c>
    </row>
    <row r="13" spans="1:4" x14ac:dyDescent="0.35">
      <c r="A13" s="22" t="s">
        <v>68</v>
      </c>
      <c r="B13" t="s">
        <v>70</v>
      </c>
      <c r="C13" s="23" t="s">
        <v>67</v>
      </c>
    </row>
    <row r="14" spans="1:4" x14ac:dyDescent="0.35">
      <c r="A14" s="22" t="s">
        <v>124</v>
      </c>
      <c r="B14" t="s">
        <v>127</v>
      </c>
      <c r="C14" s="23" t="s">
        <v>67</v>
      </c>
    </row>
    <row r="15" spans="1:4" x14ac:dyDescent="0.35">
      <c r="A15" s="22" t="s">
        <v>123</v>
      </c>
      <c r="B15" t="s">
        <v>122</v>
      </c>
      <c r="C15" s="23" t="s">
        <v>67</v>
      </c>
    </row>
    <row r="16" spans="1:4" x14ac:dyDescent="0.35">
      <c r="A16" s="22" t="s">
        <v>125</v>
      </c>
      <c r="B16" t="s">
        <v>129</v>
      </c>
      <c r="C16" s="23" t="s">
        <v>67</v>
      </c>
    </row>
    <row r="17" spans="1:3" ht="15" thickBot="1" x14ac:dyDescent="0.4">
      <c r="A17" s="24" t="s">
        <v>126</v>
      </c>
      <c r="B17" s="32" t="s">
        <v>128</v>
      </c>
      <c r="C17" s="23" t="s">
        <v>67</v>
      </c>
    </row>
    <row r="18" spans="1:3" x14ac:dyDescent="0.35">
      <c r="A18" s="29" t="s">
        <v>86</v>
      </c>
      <c r="B18" s="30" t="s">
        <v>87</v>
      </c>
      <c r="C18" s="31" t="s">
        <v>43</v>
      </c>
    </row>
    <row r="19" spans="1:3" x14ac:dyDescent="0.35">
      <c r="A19" s="22" t="s">
        <v>132</v>
      </c>
      <c r="B19" t="s">
        <v>131</v>
      </c>
      <c r="C19" s="23" t="s">
        <v>43</v>
      </c>
    </row>
    <row r="20" spans="1:3" x14ac:dyDescent="0.35">
      <c r="A20" s="22" t="s">
        <v>86</v>
      </c>
      <c r="C20" s="23" t="s">
        <v>43</v>
      </c>
    </row>
    <row r="21" spans="1:3" x14ac:dyDescent="0.35">
      <c r="A21" s="22" t="s">
        <v>86</v>
      </c>
      <c r="C21" s="23" t="s">
        <v>43</v>
      </c>
    </row>
    <row r="22" spans="1:3" x14ac:dyDescent="0.35">
      <c r="A22" s="22" t="s">
        <v>86</v>
      </c>
      <c r="C22" s="23" t="s">
        <v>43</v>
      </c>
    </row>
    <row r="23" spans="1:3" x14ac:dyDescent="0.35">
      <c r="A23" s="22"/>
      <c r="C23" s="23"/>
    </row>
    <row r="24" spans="1:3" x14ac:dyDescent="0.35">
      <c r="A24" s="22"/>
      <c r="C24" s="23"/>
    </row>
    <row r="25" spans="1:3" x14ac:dyDescent="0.35">
      <c r="A25" s="22"/>
      <c r="C25" s="23"/>
    </row>
    <row r="26" spans="1:3" x14ac:dyDescent="0.35">
      <c r="A26" s="22"/>
      <c r="C26" s="23"/>
    </row>
    <row r="27" spans="1:3" x14ac:dyDescent="0.35">
      <c r="A27" s="22"/>
      <c r="C27" s="23"/>
    </row>
    <row r="28" spans="1:3" x14ac:dyDescent="0.35">
      <c r="A28" s="22"/>
      <c r="C28" s="23"/>
    </row>
    <row r="29" spans="1:3" x14ac:dyDescent="0.35">
      <c r="A29" s="22"/>
      <c r="C29" s="23"/>
    </row>
    <row r="30" spans="1:3" x14ac:dyDescent="0.35">
      <c r="A30" s="22"/>
      <c r="C30" s="23"/>
    </row>
    <row r="31" spans="1:3" ht="15" thickBot="1" x14ac:dyDescent="0.4">
      <c r="A31" s="24"/>
      <c r="B31" s="32"/>
      <c r="C31" s="25"/>
    </row>
    <row r="32" spans="1:3" x14ac:dyDescent="0.35">
      <c r="A32" s="35" t="s">
        <v>130</v>
      </c>
      <c r="B32" s="35" t="s">
        <v>133</v>
      </c>
      <c r="C32" s="35"/>
    </row>
    <row r="38" spans="1:2" ht="15" thickBot="1" x14ac:dyDescent="0.4"/>
    <row r="39" spans="1:2" x14ac:dyDescent="0.35">
      <c r="A39" s="26" t="s">
        <v>88</v>
      </c>
      <c r="B39" s="27" t="s">
        <v>113</v>
      </c>
    </row>
    <row r="40" spans="1:2" x14ac:dyDescent="0.35">
      <c r="A40" s="22" t="s">
        <v>89</v>
      </c>
      <c r="B40" s="23" t="s">
        <v>90</v>
      </c>
    </row>
    <row r="41" spans="1:2" x14ac:dyDescent="0.35">
      <c r="A41" s="22" t="s">
        <v>91</v>
      </c>
      <c r="B41" s="23" t="s">
        <v>92</v>
      </c>
    </row>
    <row r="42" spans="1:2" x14ac:dyDescent="0.35">
      <c r="A42" s="22" t="s">
        <v>98</v>
      </c>
      <c r="B42" s="23" t="s">
        <v>93</v>
      </c>
    </row>
    <row r="43" spans="1:2" x14ac:dyDescent="0.35">
      <c r="A43" s="22" t="s">
        <v>94</v>
      </c>
      <c r="B43" s="23" t="s">
        <v>95</v>
      </c>
    </row>
    <row r="44" spans="1:2" x14ac:dyDescent="0.35">
      <c r="A44" s="22" t="s">
        <v>96</v>
      </c>
      <c r="B44" s="23" t="s">
        <v>97</v>
      </c>
    </row>
    <row r="45" spans="1:2" x14ac:dyDescent="0.35">
      <c r="A45" s="22" t="s">
        <v>99</v>
      </c>
      <c r="B45" s="23" t="s">
        <v>100</v>
      </c>
    </row>
    <row r="46" spans="1:2" x14ac:dyDescent="0.35">
      <c r="A46" s="22" t="s">
        <v>101</v>
      </c>
      <c r="B46" s="23" t="s">
        <v>102</v>
      </c>
    </row>
    <row r="47" spans="1:2" x14ac:dyDescent="0.35">
      <c r="A47" s="22" t="s">
        <v>103</v>
      </c>
      <c r="B47" s="23" t="s">
        <v>104</v>
      </c>
    </row>
    <row r="48" spans="1:2" x14ac:dyDescent="0.35">
      <c r="A48" s="22" t="s">
        <v>105</v>
      </c>
      <c r="B48" s="23" t="s">
        <v>106</v>
      </c>
    </row>
    <row r="49" spans="1:2" x14ac:dyDescent="0.35">
      <c r="A49" s="22" t="s">
        <v>107</v>
      </c>
      <c r="B49" s="23" t="s">
        <v>108</v>
      </c>
    </row>
    <row r="50" spans="1:2" x14ac:dyDescent="0.35">
      <c r="A50" s="22" t="s">
        <v>109</v>
      </c>
      <c r="B50" s="23" t="s">
        <v>110</v>
      </c>
    </row>
    <row r="51" spans="1:2" ht="15" thickBot="1" x14ac:dyDescent="0.4">
      <c r="A51" s="24" t="s">
        <v>111</v>
      </c>
      <c r="B51" s="25" t="s">
        <v>112</v>
      </c>
    </row>
  </sheetData>
  <dataValidations count="3">
    <dataValidation allowBlank="1" showInputMessage="1" showErrorMessage="1" prompt="List of functions you can use for the forecast of the variables." sqref="A1" xr:uid="{DBB45AAF-199F-46A4-AD1C-BD7BF1D336F7}"/>
    <dataValidation allowBlank="1" showInputMessage="1" showErrorMessage="1" prompt="Explanation of the function - equation corresponding to the function name" sqref="B1" xr:uid="{9F2AE1FD-217C-4EAB-9D29-00C6CED20142}"/>
    <dataValidation allowBlank="1" showInputMessage="1" showErrorMessage="1" prompt="Some functions are currently applicable only to the user given or to the historical data. Why: Multiple applicable coefficient determination methods, or the programming code for calculation of the  coefficients from the historical data is in process." sqref="C1" xr:uid="{0CA1EFA8-FAD1-4164-AA12-57E72E363C09}"/>
  </dataValidation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E26C-26D8-4438-BF7C-2063411D3351}">
  <sheetPr codeName="Tabelle4"/>
  <dimension ref="A2:G16"/>
  <sheetViews>
    <sheetView workbookViewId="0">
      <selection activeCell="D15" sqref="D15"/>
    </sheetView>
  </sheetViews>
  <sheetFormatPr baseColWidth="10" defaultColWidth="8.7265625" defaultRowHeight="14.5" x14ac:dyDescent="0.35"/>
  <cols>
    <col min="1" max="1" width="11.81640625" bestFit="1" customWidth="1"/>
    <col min="3" max="3" width="33" customWidth="1"/>
    <col min="4" max="4" width="52.453125" customWidth="1"/>
    <col min="6" max="6" width="26.54296875" customWidth="1"/>
    <col min="8" max="8" width="19.54296875" customWidth="1"/>
  </cols>
  <sheetData>
    <row r="2" spans="1:7" x14ac:dyDescent="0.35">
      <c r="A2" t="s">
        <v>76</v>
      </c>
      <c r="B2" t="s">
        <v>80</v>
      </c>
    </row>
    <row r="4" spans="1:7" x14ac:dyDescent="0.35">
      <c r="C4" t="s">
        <v>77</v>
      </c>
    </row>
    <row r="5" spans="1:7" x14ac:dyDescent="0.35">
      <c r="A5" t="s">
        <v>78</v>
      </c>
      <c r="B5" t="s">
        <v>79</v>
      </c>
      <c r="C5" s="13" t="s">
        <v>81</v>
      </c>
      <c r="D5" t="s">
        <v>82</v>
      </c>
    </row>
    <row r="6" spans="1:7" x14ac:dyDescent="0.35">
      <c r="D6" s="12"/>
    </row>
    <row r="7" spans="1:7" x14ac:dyDescent="0.35">
      <c r="D7" s="12"/>
    </row>
    <row r="8" spans="1:7" x14ac:dyDescent="0.35">
      <c r="F8" s="12"/>
    </row>
    <row r="9" spans="1:7" ht="45" customHeight="1" x14ac:dyDescent="0.35">
      <c r="C9" s="13"/>
      <c r="D9" s="13"/>
      <c r="E9" s="12"/>
    </row>
    <row r="10" spans="1:7" x14ac:dyDescent="0.35">
      <c r="E10" s="12"/>
    </row>
    <row r="11" spans="1:7" x14ac:dyDescent="0.35">
      <c r="E11" s="12"/>
    </row>
    <row r="12" spans="1:7" x14ac:dyDescent="0.35">
      <c r="G12" s="12"/>
    </row>
    <row r="13" spans="1:7" ht="16.399999999999999" customHeight="1" x14ac:dyDescent="0.35">
      <c r="E13" s="12"/>
    </row>
    <row r="14" spans="1:7" x14ac:dyDescent="0.35">
      <c r="F14" s="14"/>
    </row>
    <row r="15" spans="1:7" x14ac:dyDescent="0.35">
      <c r="F15" s="14"/>
    </row>
    <row r="16" spans="1:7" x14ac:dyDescent="0.35">
      <c r="E1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ECUs_DDets_Region</vt:lpstr>
      <vt:lpstr>Demand_Drivers</vt:lpstr>
      <vt:lpstr>Subregional_division</vt:lpstr>
      <vt:lpstr>Function options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Amadu Epishev</dc:creator>
  <cp:lastModifiedBy>Markus Haag</cp:lastModifiedBy>
  <dcterms:created xsi:type="dcterms:W3CDTF">2025-01-16T15:04:58Z</dcterms:created>
  <dcterms:modified xsi:type="dcterms:W3CDTF">2026-04-15T13:18:31Z</dcterms:modified>
</cp:coreProperties>
</file>